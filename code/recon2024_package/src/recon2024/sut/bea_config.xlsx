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9" autoFilterDateGrouping="1"/>
  </bookViews>
  <sheets>
    <sheet xmlns:r="http://schemas.openxmlformats.org/officeDocument/2006/relationships" name="pce_agg" sheetId="1" state="visible" r:id="rId1"/>
    <sheet xmlns:r="http://schemas.openxmlformats.org/officeDocument/2006/relationships" name="pce_det" sheetId="2" state="visible" r:id="rId2"/>
    <sheet xmlns:r="http://schemas.openxmlformats.org/officeDocument/2006/relationships" name="va_agg" sheetId="3" state="visible" r:id="rId3"/>
    <sheet xmlns:r="http://schemas.openxmlformats.org/officeDocument/2006/relationships" name="va_det" sheetId="4" state="visible" r:id="rId4"/>
    <sheet xmlns:r="http://schemas.openxmlformats.org/officeDocument/2006/relationships" name="government" sheetId="5" state="visible" r:id="rId5"/>
    <sheet xmlns:r="http://schemas.openxmlformats.org/officeDocument/2006/relationships" name="trade" sheetId="6" state="visible" r:id="rId6"/>
    <sheet xmlns:r="http://schemas.openxmlformats.org/officeDocument/2006/relationships" name="tax_det" sheetId="7" state="visible" r:id="rId7"/>
    <sheet xmlns:r="http://schemas.openxmlformats.org/officeDocument/2006/relationships" name="tax_agg" sheetId="8" state="visible" r:id="rId8"/>
    <sheet xmlns:r="http://schemas.openxmlformats.org/officeDocument/2006/relationships" name="metadata" sheetId="9" state="visible" r:id="rId9"/>
    <sheet xmlns:r="http://schemas.openxmlformats.org/officeDocument/2006/relationships" name="jobs_earnings" sheetId="10" state="visible" r:id="rId10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8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  <font>
      <name val="Arial"/>
      <charset val="1"/>
      <family val="2"/>
      <color rgb="FF000000"/>
      <sz val="10"/>
    </font>
    <font>
      <name val="Calibri"/>
      <charset val="1"/>
      <family val="2"/>
      <b val="1"/>
      <color theme="1"/>
      <sz val="11"/>
    </font>
    <font>
      <name val="Cambria"/>
      <charset val="1"/>
      <family val="0"/>
      <b val="1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0C2CD"/>
        <bgColor rgb="FFB4C7DC"/>
      </patternFill>
    </fill>
    <fill>
      <patternFill patternType="solid">
        <fgColor rgb="FFBBE33D"/>
        <bgColor rgb="FFFFFF00"/>
      </patternFill>
    </fill>
    <fill>
      <patternFill patternType="solid">
        <fgColor rgb="FFBF819E"/>
        <bgColor rgb="FF808080"/>
      </patternFill>
    </fill>
    <fill>
      <patternFill patternType="solid">
        <fgColor rgb="FFB4C7DC"/>
        <bgColor rgb="FF99CCFF"/>
      </patternFill>
    </fill>
    <fill>
      <patternFill patternType="solid">
        <fgColor rgb="FFFFBF00"/>
        <bgColor rgb="FFFF990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13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top"/>
    </xf>
    <xf numFmtId="2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top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2" fontId="0" fillId="2" borderId="2" applyAlignment="1" pivotButton="0" quotePrefix="0" xfId="0">
      <alignment horizontal="general" vertical="bottom"/>
    </xf>
    <xf numFmtId="2" fontId="0" fillId="2" borderId="0" applyAlignment="1" pivotButton="0" quotePrefix="0" xfId="0">
      <alignment horizontal="general" vertical="bottom"/>
    </xf>
    <xf numFmtId="2" fontId="0" fillId="2" borderId="3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2" fontId="0" fillId="3" borderId="2" applyAlignment="1" pivotButton="0" quotePrefix="0" xfId="0">
      <alignment horizontal="general" vertical="bottom"/>
    </xf>
    <xf numFmtId="2" fontId="0" fillId="3" borderId="0" applyAlignment="1" pivotButton="0" quotePrefix="0" xfId="0">
      <alignment horizontal="general" vertical="bottom"/>
    </xf>
    <xf numFmtId="2" fontId="0" fillId="3" borderId="3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2" fontId="0" fillId="4" borderId="2" applyAlignment="1" pivotButton="0" quotePrefix="0" xfId="0">
      <alignment horizontal="general" vertical="bottom"/>
    </xf>
    <xf numFmtId="2" fontId="0" fillId="4" borderId="0" applyAlignment="1" pivotButton="0" quotePrefix="0" xfId="0">
      <alignment horizontal="general" vertical="bottom"/>
    </xf>
    <xf numFmtId="2" fontId="0" fillId="4" borderId="3" applyAlignment="1" pivotButton="0" quotePrefix="0" xfId="0">
      <alignment horizontal="general" vertical="bottom"/>
    </xf>
    <xf numFmtId="2" fontId="0" fillId="0" borderId="2" applyAlignment="1" pivotButton="0" quotePrefix="0" xfId="0">
      <alignment horizontal="general" vertical="bottom"/>
    </xf>
    <xf numFmtId="2" fontId="0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6" fillId="5" borderId="1" applyAlignment="1" pivotButton="0" quotePrefix="0" xfId="0">
      <alignment horizontal="center" vertical="top"/>
    </xf>
    <xf numFmtId="0" fontId="0" fillId="5" borderId="0" applyAlignment="1" pivotButton="0" quotePrefix="0" xfId="0">
      <alignment horizontal="general" vertical="bottom"/>
    </xf>
    <xf numFmtId="0" fontId="0" fillId="5" borderId="2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top"/>
    </xf>
    <xf numFmtId="0" fontId="0" fillId="4" borderId="0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2" fontId="0" fillId="4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6" fillId="6" borderId="1" applyAlignment="1" pivotButton="0" quotePrefix="0" xfId="0">
      <alignment horizontal="center" vertical="top"/>
    </xf>
    <xf numFmtId="0" fontId="0" fillId="6" borderId="0" applyAlignment="1" pivotButton="0" quotePrefix="0" xfId="0">
      <alignment horizontal="general" vertical="bottom"/>
    </xf>
    <xf numFmtId="0" fontId="0" fillId="6" borderId="2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6" borderId="3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bottom"/>
    </xf>
    <xf numFmtId="0" fontId="0" fillId="7" borderId="3" applyAlignment="1" pivotButton="0" quotePrefix="0" xfId="0">
      <alignment horizontal="general" vertical="bottom"/>
    </xf>
    <xf numFmtId="2" fontId="0" fillId="7" borderId="2" applyAlignment="1" pivotButton="0" quotePrefix="0" xfId="0">
      <alignment horizontal="general" vertical="bottom"/>
    </xf>
    <xf numFmtId="2" fontId="0" fillId="7" borderId="0" applyAlignment="1" pivotButton="0" quotePrefix="0" xfId="0">
      <alignment horizontal="general" vertical="bottom"/>
    </xf>
    <xf numFmtId="2" fontId="0" fillId="7" borderId="3" applyAlignment="1" pivotButton="0" quotePrefix="0" xfId="0">
      <alignment horizontal="general" vertical="bottom"/>
    </xf>
    <xf numFmtId="0" fontId="0" fillId="6" borderId="2" applyAlignment="1" pivotButton="0" quotePrefix="0" xfId="0">
      <alignment horizontal="general" vertical="bottom"/>
    </xf>
    <xf numFmtId="0" fontId="0" fillId="6" borderId="3" applyAlignment="1" pivotButton="0" quotePrefix="0" xfId="0">
      <alignment horizontal="general" vertical="bottom"/>
    </xf>
    <xf numFmtId="2" fontId="0" fillId="6" borderId="2" applyAlignment="1" pivotButton="0" quotePrefix="0" xfId="0">
      <alignment horizontal="general" vertical="bottom"/>
    </xf>
    <xf numFmtId="2" fontId="0" fillId="6" borderId="0" applyAlignment="1" pivotButton="0" quotePrefix="0" xfId="0">
      <alignment horizontal="general" vertical="bottom"/>
    </xf>
    <xf numFmtId="2" fontId="0" fillId="6" borderId="3" applyAlignment="1" pivotButton="0" quotePrefix="0" xfId="0">
      <alignment horizontal="general" vertical="bottom"/>
    </xf>
    <xf numFmtId="0" fontId="6" fillId="7" borderId="1" applyAlignment="1" pivotButton="0" quotePrefix="0" xfId="0">
      <alignment horizontal="center" vertical="top"/>
    </xf>
    <xf numFmtId="0" fontId="0" fillId="7" borderId="0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7" borderId="3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top"/>
    </xf>
    <xf numFmtId="2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top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2" fontId="0" fillId="2" borderId="2" applyAlignment="1" pivotButton="0" quotePrefix="0" xfId="0">
      <alignment horizontal="general" vertical="bottom"/>
    </xf>
    <xf numFmtId="2" fontId="0" fillId="2" borderId="0" applyAlignment="1" pivotButton="0" quotePrefix="0" xfId="0">
      <alignment horizontal="general" vertical="bottom"/>
    </xf>
    <xf numFmtId="2" fontId="0" fillId="2" borderId="3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2" fontId="0" fillId="3" borderId="2" applyAlignment="1" pivotButton="0" quotePrefix="0" xfId="0">
      <alignment horizontal="general" vertical="bottom"/>
    </xf>
    <xf numFmtId="2" fontId="0" fillId="3" borderId="0" applyAlignment="1" pivotButton="0" quotePrefix="0" xfId="0">
      <alignment horizontal="general" vertical="bottom"/>
    </xf>
    <xf numFmtId="2" fontId="0" fillId="3" borderId="3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2" fontId="0" fillId="4" borderId="2" applyAlignment="1" pivotButton="0" quotePrefix="0" xfId="0">
      <alignment horizontal="general" vertical="bottom"/>
    </xf>
    <xf numFmtId="2" fontId="0" fillId="4" borderId="0" applyAlignment="1" pivotButton="0" quotePrefix="0" xfId="0">
      <alignment horizontal="general" vertical="bottom"/>
    </xf>
    <xf numFmtId="2" fontId="0" fillId="4" borderId="3" applyAlignment="1" pivotButton="0" quotePrefix="0" xfId="0">
      <alignment horizontal="general" vertical="bottom"/>
    </xf>
    <xf numFmtId="2" fontId="0" fillId="0" borderId="2" applyAlignment="1" pivotButton="0" quotePrefix="0" xfId="0">
      <alignment horizontal="general" vertical="bottom"/>
    </xf>
    <xf numFmtId="2" fontId="0" fillId="0" borderId="3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6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top"/>
    </xf>
    <xf numFmtId="0" fontId="0" fillId="6" borderId="0" applyAlignment="1" pivotButton="0" quotePrefix="0" xfId="0">
      <alignment horizontal="general" vertical="bottom"/>
    </xf>
    <xf numFmtId="0" fontId="6" fillId="6" borderId="1" applyAlignment="1" pivotButton="0" quotePrefix="0" xfId="0">
      <alignment horizontal="center" vertical="top"/>
    </xf>
    <xf numFmtId="0" fontId="0" fillId="6" borderId="2" applyAlignment="1" pivotButton="0" quotePrefix="0" xfId="0">
      <alignment horizontal="general" vertical="bottom"/>
    </xf>
    <xf numFmtId="0" fontId="0" fillId="6" borderId="3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bottom"/>
    </xf>
    <xf numFmtId="0" fontId="0" fillId="7" borderId="3" applyAlignment="1" pivotButton="0" quotePrefix="0" xfId="0">
      <alignment horizontal="general" vertical="bottom"/>
    </xf>
    <xf numFmtId="2" fontId="0" fillId="7" borderId="2" applyAlignment="1" pivotButton="0" quotePrefix="0" xfId="0">
      <alignment horizontal="general" vertical="bottom"/>
    </xf>
    <xf numFmtId="2" fontId="0" fillId="7" borderId="0" applyAlignment="1" pivotButton="0" quotePrefix="0" xfId="0">
      <alignment horizontal="general" vertical="bottom"/>
    </xf>
    <xf numFmtId="2" fontId="0" fillId="7" borderId="3" applyAlignment="1" pivotButton="0" quotePrefix="0" xfId="0">
      <alignment horizontal="general" vertical="bottom"/>
    </xf>
    <xf numFmtId="2" fontId="0" fillId="6" borderId="2" applyAlignment="1" pivotButton="0" quotePrefix="0" xfId="0">
      <alignment horizontal="general" vertical="bottom"/>
    </xf>
    <xf numFmtId="2" fontId="0" fillId="6" borderId="0" applyAlignment="1" pivotButton="0" quotePrefix="0" xfId="0">
      <alignment horizontal="general" vertical="bottom"/>
    </xf>
    <xf numFmtId="2" fontId="0" fillId="6" borderId="3" applyAlignment="1" pivotButton="0" quotePrefix="0" xfId="0">
      <alignment horizontal="general" vertical="bottom"/>
    </xf>
    <xf numFmtId="0" fontId="6" fillId="7" borderId="1" applyAlignment="1" pivotButton="0" quotePrefix="0" xfId="0">
      <alignment horizontal="center" vertical="top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4 2" xfId="6"/>
    <cellStyle name="Normal_Sheet1" xfId="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C2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BF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76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I4" activeCellId="0" sqref="I4"/>
    </sheetView>
  </sheetViews>
  <sheetFormatPr baseColWidth="8" defaultColWidth="11.53515625" defaultRowHeight="12.8" zeroHeight="0" outlineLevelRow="0"/>
  <sheetData>
    <row r="1" ht="12.8" customHeight="1" s="82">
      <c r="A1" s="83" t="inlineStr">
        <is>
          <t>agg</t>
        </is>
      </c>
      <c r="B1" s="83" t="inlineStr">
        <is>
          <t>bea</t>
        </is>
      </c>
      <c r="C1" s="83" t="inlineStr">
        <is>
          <t>target</t>
        </is>
      </c>
      <c r="D1" s="83" t="inlineStr">
        <is>
          <t>source</t>
        </is>
      </c>
    </row>
    <row r="2" ht="13.8" customHeight="1" s="82">
      <c r="A2" s="84" t="inlineStr">
        <is>
          <t>code</t>
        </is>
      </c>
      <c r="B2" s="84" t="inlineStr">
        <is>
          <t>pce</t>
        </is>
      </c>
      <c r="C2" s="84" t="inlineStr">
        <is>
          <t>pce</t>
        </is>
      </c>
      <c r="D2" s="84" t="inlineStr">
        <is>
          <t>pce</t>
        </is>
      </c>
      <c r="E2" s="83" t="inlineStr">
        <is>
          <t>ratio</t>
        </is>
      </c>
      <c r="F2" s="83" t="inlineStr">
        <is>
          <t>abs_diff</t>
        </is>
      </c>
      <c r="G2" s="83" t="inlineStr">
        <is>
          <t>comment</t>
        </is>
      </c>
    </row>
    <row r="3" ht="13.8" customHeight="1" s="82">
      <c r="A3" s="84" t="inlineStr">
        <is>
          <t>81</t>
        </is>
      </c>
      <c r="B3" s="83" t="n">
        <v>176</v>
      </c>
      <c r="C3" s="83" t="n">
        <v>764303</v>
      </c>
      <c r="D3" s="83" t="n">
        <v>613310</v>
      </c>
      <c r="E3" s="85">
        <f>B3/C3</f>
        <v/>
      </c>
      <c r="F3" s="83">
        <f>ABS(B3-C3)</f>
        <v/>
      </c>
      <c r="G3" s="86" t="inlineStr">
        <is>
          <t xml:space="preserve">reset 813100, 813A00, 813B00 </t>
        </is>
      </c>
    </row>
    <row r="4" ht="13.8" customHeight="1" s="82">
      <c r="A4" s="84" t="inlineStr">
        <is>
          <t>624</t>
        </is>
      </c>
      <c r="B4" s="83" t="n">
        <v>615333</v>
      </c>
      <c r="C4" s="83" t="n">
        <v>302549</v>
      </c>
      <c r="D4" s="83" t="n">
        <v>225279</v>
      </c>
      <c r="E4" s="85">
        <f>B4/C4</f>
        <v/>
      </c>
      <c r="F4" s="83">
        <f>ABS(B4-C4)</f>
        <v/>
      </c>
    </row>
    <row r="5" ht="13.8" customHeight="1" s="82">
      <c r="A5" s="84" t="inlineStr">
        <is>
          <t>61</t>
        </is>
      </c>
      <c r="B5" s="83" t="n">
        <v>696241</v>
      </c>
      <c r="C5" s="83" t="n">
        <v>425875</v>
      </c>
      <c r="D5" s="83" t="n">
        <v>360205</v>
      </c>
      <c r="E5" s="85">
        <f>B5/C5</f>
        <v/>
      </c>
      <c r="F5" s="83">
        <f>ABS(B5-C5)</f>
        <v/>
      </c>
    </row>
    <row r="6" ht="13.8" customHeight="1" s="82">
      <c r="A6" s="84" t="inlineStr">
        <is>
          <t>514</t>
        </is>
      </c>
      <c r="B6" s="83" t="n">
        <v>66358</v>
      </c>
      <c r="C6" s="83" t="n">
        <v>138105</v>
      </c>
      <c r="D6" s="83" t="n">
        <v>46715</v>
      </c>
      <c r="E6" s="85">
        <f>B6/C6</f>
        <v/>
      </c>
      <c r="F6" s="83">
        <f>ABS(B6-C6)</f>
        <v/>
      </c>
    </row>
    <row r="7" ht="13.8" customHeight="1" s="82">
      <c r="A7" s="84" t="inlineStr">
        <is>
          <t>711AS</t>
        </is>
      </c>
      <c r="B7" s="83" t="n">
        <v>164377</v>
      </c>
      <c r="C7" s="83" t="n">
        <v>97132</v>
      </c>
      <c r="D7" s="83" t="n">
        <v>86972</v>
      </c>
      <c r="E7" s="85">
        <f>B7/C7</f>
        <v/>
      </c>
      <c r="F7" s="83">
        <f>ABS(B7-C7)</f>
        <v/>
      </c>
    </row>
    <row r="8" ht="13.8" customHeight="1" s="82">
      <c r="A8" s="84" t="inlineStr">
        <is>
          <t>HS</t>
        </is>
      </c>
      <c r="B8" s="83" t="n">
        <v>2676405</v>
      </c>
      <c r="C8" s="83" t="n">
        <v>2615605</v>
      </c>
      <c r="D8" s="83" t="n">
        <v>2020853</v>
      </c>
      <c r="E8" s="85">
        <f>B8/C8</f>
        <v/>
      </c>
      <c r="F8" s="83">
        <f>ABS(B8-C8)</f>
        <v/>
      </c>
    </row>
    <row r="9" ht="13.8" customHeight="1" s="82">
      <c r="A9" s="84" t="inlineStr">
        <is>
          <t>525</t>
        </is>
      </c>
      <c r="B9" s="83" t="n">
        <v>220510</v>
      </c>
      <c r="C9" s="83" t="n">
        <v>160462</v>
      </c>
      <c r="D9" s="83" t="n">
        <v>170526</v>
      </c>
      <c r="E9" s="85">
        <f>B9/C9</f>
        <v/>
      </c>
      <c r="F9" s="83">
        <f>ABS(B9-C9)</f>
        <v/>
      </c>
    </row>
    <row r="10" ht="13.8" customHeight="1" s="82">
      <c r="A10" s="84" t="inlineStr">
        <is>
          <t>622</t>
        </is>
      </c>
      <c r="B10" s="83" t="n">
        <v>1377978</v>
      </c>
      <c r="C10" s="83" t="n">
        <v>1323066</v>
      </c>
      <c r="D10" s="83" t="n">
        <v>1039196</v>
      </c>
      <c r="E10" s="85">
        <f>B10/C10</f>
        <v/>
      </c>
      <c r="F10" s="83">
        <f>ABS(B10-C10)</f>
        <v/>
      </c>
    </row>
    <row r="11" ht="13.8" customHeight="1" s="82">
      <c r="A11" s="84" t="inlineStr">
        <is>
          <t>621</t>
        </is>
      </c>
      <c r="B11" s="83" t="n">
        <v>1359718</v>
      </c>
      <c r="C11" s="83" t="n">
        <v>1306603</v>
      </c>
      <c r="D11" s="83" t="n">
        <v>1050872</v>
      </c>
      <c r="E11" s="85">
        <f>B11/C11</f>
        <v/>
      </c>
      <c r="F11" s="83">
        <f>ABS(B11-C11)</f>
        <v/>
      </c>
    </row>
    <row r="12" ht="13.8" customHeight="1" s="82">
      <c r="A12" s="84" t="inlineStr">
        <is>
          <t>713</t>
        </is>
      </c>
      <c r="B12" s="83" t="n">
        <v>282353</v>
      </c>
      <c r="C12" s="83" t="n">
        <v>244516</v>
      </c>
      <c r="D12" s="83" t="n">
        <v>210212</v>
      </c>
      <c r="E12" s="85">
        <f>B12/C12</f>
        <v/>
      </c>
      <c r="F12" s="83">
        <f>ABS(B12-C12)</f>
        <v/>
      </c>
    </row>
    <row r="13" ht="13.8" customHeight="1" s="82">
      <c r="A13" s="84" t="inlineStr">
        <is>
          <t>623</t>
        </is>
      </c>
      <c r="B13" s="83" t="n">
        <v>320846</v>
      </c>
      <c r="C13" s="83" t="n">
        <v>284090</v>
      </c>
      <c r="D13" s="83" t="n">
        <v>241619</v>
      </c>
      <c r="E13" s="85">
        <f>B13/C13</f>
        <v/>
      </c>
      <c r="F13" s="83">
        <f>ABS(B13-C13)</f>
        <v/>
      </c>
    </row>
    <row r="14" ht="13.8" customHeight="1" s="82">
      <c r="A14" s="84" t="inlineStr">
        <is>
          <t>513</t>
        </is>
      </c>
      <c r="B14" s="83" t="n">
        <v>425188</v>
      </c>
      <c r="C14" s="83" t="n">
        <v>388726</v>
      </c>
      <c r="D14" s="83" t="n">
        <v>349013</v>
      </c>
      <c r="E14" s="85">
        <f>B14/C14</f>
        <v/>
      </c>
      <c r="F14" s="83">
        <f>ABS(B14-C14)</f>
        <v/>
      </c>
    </row>
    <row r="15" ht="13.8" customHeight="1" s="82">
      <c r="A15" s="84" t="inlineStr">
        <is>
          <t>524</t>
        </is>
      </c>
      <c r="B15" s="83" t="n">
        <v>473295</v>
      </c>
      <c r="C15" s="83" t="n">
        <v>445444</v>
      </c>
      <c r="D15" s="83" t="n">
        <v>398564</v>
      </c>
      <c r="E15" s="85">
        <f>B15/C15</f>
        <v/>
      </c>
      <c r="F15" s="83">
        <f>ABS(B15-C15)</f>
        <v/>
      </c>
    </row>
    <row r="16" ht="13.8" customHeight="1" s="82">
      <c r="A16" s="84" t="inlineStr">
        <is>
          <t>481</t>
        </is>
      </c>
      <c r="B16" s="83" t="n">
        <v>192534</v>
      </c>
      <c r="C16" s="83" t="n">
        <v>219527</v>
      </c>
      <c r="D16" s="83" t="n">
        <v>129785</v>
      </c>
      <c r="E16" s="85">
        <f>B16/C16</f>
        <v/>
      </c>
      <c r="F16" s="83">
        <f>ABS(B16-C16)</f>
        <v/>
      </c>
    </row>
    <row r="17" ht="13.8" customHeight="1" s="82">
      <c r="A17" s="84" t="inlineStr">
        <is>
          <t>311FT</t>
        </is>
      </c>
      <c r="B17" s="83" t="n">
        <v>1466660</v>
      </c>
      <c r="C17" s="83" t="n">
        <v>1445555</v>
      </c>
      <c r="D17" s="83" t="n">
        <v>1083133</v>
      </c>
      <c r="E17" s="85">
        <f>B17/C17</f>
        <v/>
      </c>
      <c r="F17" s="83">
        <f>ABS(B17-C17)</f>
        <v/>
      </c>
    </row>
    <row r="18" ht="13.8" customHeight="1" s="82">
      <c r="A18" s="84" t="inlineStr">
        <is>
          <t>334</t>
        </is>
      </c>
      <c r="B18" s="83" t="n">
        <v>236977</v>
      </c>
      <c r="C18" s="83" t="n">
        <v>219344</v>
      </c>
      <c r="D18" s="83" t="n">
        <v>152826</v>
      </c>
      <c r="E18" s="85">
        <f>B18/C18</f>
        <v/>
      </c>
      <c r="F18" s="83">
        <f>ABS(B18-C18)</f>
        <v/>
      </c>
    </row>
    <row r="19" ht="13.8" customHeight="1" s="82">
      <c r="A19" s="84" t="inlineStr">
        <is>
          <t>512</t>
        </is>
      </c>
      <c r="B19" s="83" t="n">
        <v>41446</v>
      </c>
      <c r="C19" s="83" t="n">
        <v>26215</v>
      </c>
      <c r="D19" s="83" t="n">
        <v>29445</v>
      </c>
      <c r="E19" s="85">
        <f>B19/C19</f>
        <v/>
      </c>
      <c r="F19" s="83">
        <f>ABS(B19-C19)</f>
        <v/>
      </c>
    </row>
    <row r="20" ht="13.8" customHeight="1" s="82">
      <c r="A20" s="84" t="inlineStr">
        <is>
          <t>483</t>
        </is>
      </c>
      <c r="B20" s="83" t="n">
        <v>25178</v>
      </c>
      <c r="C20" s="83" t="n">
        <v>10942</v>
      </c>
      <c r="D20" s="83" t="n">
        <v>22027</v>
      </c>
      <c r="E20" s="85">
        <f>B20/C20</f>
        <v/>
      </c>
      <c r="F20" s="83">
        <f>ABS(B20-C20)</f>
        <v/>
      </c>
    </row>
    <row r="21" ht="13.8" customHeight="1" s="82">
      <c r="A21" s="84" t="inlineStr">
        <is>
          <t>111CA</t>
        </is>
      </c>
      <c r="B21" s="83" t="n">
        <v>219473</v>
      </c>
      <c r="C21" s="83" t="n">
        <v>233600</v>
      </c>
      <c r="D21" s="83" t="n">
        <v>153165</v>
      </c>
      <c r="E21" s="85">
        <f>B21/C21</f>
        <v/>
      </c>
      <c r="F21" s="83">
        <f>ABS(B21-C21)</f>
        <v/>
      </c>
    </row>
    <row r="22" ht="13.8" customHeight="1" s="82">
      <c r="A22" s="84" t="inlineStr">
        <is>
          <t>OTHER</t>
        </is>
      </c>
      <c r="B22" s="83" t="n">
        <v>-31700</v>
      </c>
      <c r="C22" s="83" t="n">
        <v>-19483</v>
      </c>
      <c r="D22" s="83" t="n">
        <v>-90776</v>
      </c>
      <c r="E22" s="85">
        <f>B22/C22</f>
        <v/>
      </c>
      <c r="F22" s="83">
        <f>ABS(B22-C22)</f>
        <v/>
      </c>
    </row>
    <row r="23" ht="13.8" customHeight="1" s="82">
      <c r="A23" s="84" t="inlineStr">
        <is>
          <t>339</t>
        </is>
      </c>
      <c r="B23" s="83" t="n">
        <v>375872</v>
      </c>
      <c r="C23" s="83" t="n">
        <v>386642</v>
      </c>
      <c r="D23" s="83" t="n">
        <v>245077</v>
      </c>
      <c r="E23" s="85">
        <f>B23/C23</f>
        <v/>
      </c>
      <c r="F23" s="83">
        <f>ABS(B23-C23)</f>
        <v/>
      </c>
    </row>
    <row r="24" ht="13.8" customHeight="1" s="82">
      <c r="A24" s="84" t="inlineStr">
        <is>
          <t>USED</t>
        </is>
      </c>
      <c r="B24" s="83" t="n">
        <v>303258</v>
      </c>
      <c r="C24" s="83" t="n">
        <v>313763</v>
      </c>
      <c r="D24" s="83" t="n">
        <v>209786</v>
      </c>
      <c r="E24" s="85">
        <f>B24/C24</f>
        <v/>
      </c>
      <c r="F24" s="83">
        <f>ABS(B24-C24)</f>
        <v/>
      </c>
    </row>
    <row r="25" ht="13.8" customHeight="1" s="82">
      <c r="A25" s="84" t="inlineStr">
        <is>
          <t>485</t>
        </is>
      </c>
      <c r="B25" s="83" t="n">
        <v>58075</v>
      </c>
      <c r="C25" s="83" t="n">
        <v>47714</v>
      </c>
      <c r="D25" s="83" t="n">
        <v>47460</v>
      </c>
      <c r="E25" s="85">
        <f>B25/C25</f>
        <v/>
      </c>
      <c r="F25" s="83">
        <f>ABS(B25-C25)</f>
        <v/>
      </c>
    </row>
    <row r="26" ht="13.8" customHeight="1" s="82">
      <c r="A26" s="84" t="inlineStr">
        <is>
          <t>322</t>
        </is>
      </c>
      <c r="B26" s="83" t="n">
        <v>79799</v>
      </c>
      <c r="C26" s="83" t="n">
        <v>70152</v>
      </c>
      <c r="D26" s="83" t="n">
        <v>59714</v>
      </c>
      <c r="E26" s="85">
        <f>B26/C26</f>
        <v/>
      </c>
      <c r="F26" s="83">
        <f>ABS(B26-C26)</f>
        <v/>
      </c>
    </row>
    <row r="27" ht="13.8" customHeight="1" s="82">
      <c r="A27" s="84" t="inlineStr">
        <is>
          <t>315AL</t>
        </is>
      </c>
      <c r="B27" s="83" t="n">
        <v>515272</v>
      </c>
      <c r="C27" s="83" t="n">
        <v>524717</v>
      </c>
      <c r="D27" s="83" t="n">
        <v>413131</v>
      </c>
      <c r="E27" s="85">
        <f>B27/C27</f>
        <v/>
      </c>
      <c r="F27" s="83">
        <f>ABS(B27-C27)</f>
        <v/>
      </c>
    </row>
    <row r="28" ht="13.8" customHeight="1" s="82">
      <c r="A28" s="84" t="inlineStr">
        <is>
          <t>333</t>
        </is>
      </c>
      <c r="B28" s="83" t="n">
        <v>43629</v>
      </c>
      <c r="C28" s="83" t="n">
        <v>52492</v>
      </c>
      <c r="D28" s="83" t="n">
        <v>28856</v>
      </c>
      <c r="E28" s="85">
        <f>B28/C28</f>
        <v/>
      </c>
      <c r="F28" s="83">
        <f>ABS(B28-C28)</f>
        <v/>
      </c>
    </row>
    <row r="29" ht="13.8" customHeight="1" s="82">
      <c r="A29" s="84" t="inlineStr">
        <is>
          <t>523</t>
        </is>
      </c>
      <c r="B29" s="83" t="n">
        <v>280005</v>
      </c>
      <c r="C29" s="83" t="n">
        <v>288208</v>
      </c>
      <c r="D29" s="83" t="n">
        <v>225226</v>
      </c>
      <c r="E29" s="85">
        <f>B29/C29</f>
        <v/>
      </c>
      <c r="F29" s="83">
        <f>ABS(B29-C29)</f>
        <v/>
      </c>
    </row>
    <row r="30" ht="13.8" customHeight="1" s="82">
      <c r="A30" s="84" t="inlineStr">
        <is>
          <t>5411</t>
        </is>
      </c>
      <c r="B30" s="83" t="n">
        <v>130851</v>
      </c>
      <c r="C30" s="83" t="n">
        <v>123013</v>
      </c>
      <c r="D30" s="83" t="n">
        <v>104093</v>
      </c>
      <c r="E30" s="85">
        <f>B30/C30</f>
        <v/>
      </c>
      <c r="F30" s="83">
        <f>ABS(B30-C30)</f>
        <v/>
      </c>
    </row>
    <row r="31" ht="13.8" customHeight="1" s="82">
      <c r="A31" s="84" t="inlineStr">
        <is>
          <t>3361MV</t>
        </is>
      </c>
      <c r="B31" s="83" t="n">
        <v>474537</v>
      </c>
      <c r="C31" s="83" t="n">
        <v>481331</v>
      </c>
      <c r="D31" s="83" t="n">
        <v>350153</v>
      </c>
      <c r="E31" s="85">
        <f>B31/C31</f>
        <v/>
      </c>
      <c r="F31" s="83">
        <f>ABS(B31-C31)</f>
        <v/>
      </c>
    </row>
    <row r="32" ht="13.8" customHeight="1" s="82">
      <c r="A32" s="84" t="inlineStr">
        <is>
          <t>511</t>
        </is>
      </c>
      <c r="B32" s="83" t="n">
        <v>237803</v>
      </c>
      <c r="C32" s="83" t="n">
        <v>244582</v>
      </c>
      <c r="D32" s="83" t="n">
        <v>149041</v>
      </c>
      <c r="E32" s="85">
        <f>B32/C32</f>
        <v/>
      </c>
      <c r="F32" s="83">
        <f>ABS(B32-C32)</f>
        <v/>
      </c>
    </row>
    <row r="33" ht="13.8" customHeight="1" s="82">
      <c r="A33" s="84" t="inlineStr">
        <is>
          <t>325</t>
        </is>
      </c>
      <c r="B33" s="83" t="n">
        <v>739995</v>
      </c>
      <c r="C33" s="83" t="n">
        <v>733412</v>
      </c>
      <c r="D33" s="83" t="n">
        <v>554972</v>
      </c>
      <c r="E33" s="85">
        <f>B33/C33</f>
        <v/>
      </c>
      <c r="F33" s="83">
        <f>ABS(B33-C33)</f>
        <v/>
      </c>
    </row>
    <row r="34" ht="13.8" customHeight="1" s="82">
      <c r="A34" s="84" t="inlineStr">
        <is>
          <t>335</t>
        </is>
      </c>
      <c r="B34" s="83" t="n">
        <v>120537</v>
      </c>
      <c r="C34" s="83" t="n">
        <v>127086</v>
      </c>
      <c r="D34" s="83" t="n">
        <v>83750</v>
      </c>
      <c r="E34" s="85">
        <f>B34/C34</f>
        <v/>
      </c>
      <c r="F34" s="83">
        <f>ABS(B34-C34)</f>
        <v/>
      </c>
    </row>
    <row r="35" ht="13.8" customHeight="1" s="82">
      <c r="A35" s="84" t="inlineStr">
        <is>
          <t>5412OP</t>
        </is>
      </c>
      <c r="B35" s="83" t="n">
        <v>113877</v>
      </c>
      <c r="C35" s="83" t="n">
        <v>107540</v>
      </c>
      <c r="D35" s="83" t="n">
        <v>72410</v>
      </c>
      <c r="E35" s="85">
        <f>B35/C35</f>
        <v/>
      </c>
      <c r="F35" s="83">
        <f>ABS(B35-C35)</f>
        <v/>
      </c>
    </row>
    <row r="36" ht="13.8" customHeight="1" s="82">
      <c r="A36" s="84" t="inlineStr">
        <is>
          <t>313TT</t>
        </is>
      </c>
      <c r="B36" s="83" t="n">
        <v>95812</v>
      </c>
      <c r="C36" s="83" t="n">
        <v>101826</v>
      </c>
      <c r="D36" s="83" t="n">
        <v>67219</v>
      </c>
      <c r="E36" s="85">
        <f>B36/C36</f>
        <v/>
      </c>
      <c r="F36" s="83">
        <f>ABS(B36-C36)</f>
        <v/>
      </c>
    </row>
    <row r="37" ht="13.8" customHeight="1" s="82">
      <c r="A37" s="84" t="inlineStr">
        <is>
          <t>4A0</t>
        </is>
      </c>
      <c r="B37" s="83" t="n">
        <v>7490</v>
      </c>
      <c r="C37" s="83" t="n">
        <v>13257</v>
      </c>
      <c r="D37" s="83" t="n">
        <v>5974</v>
      </c>
      <c r="E37" s="85">
        <f>B37/C37</f>
        <v/>
      </c>
      <c r="F37" s="83">
        <f>ABS(B37-C37)</f>
        <v/>
      </c>
    </row>
    <row r="38" ht="13.8" customHeight="1" s="82">
      <c r="A38" s="84" t="inlineStr">
        <is>
          <t>324</t>
        </is>
      </c>
      <c r="B38" s="83" t="n">
        <v>514458</v>
      </c>
      <c r="C38" s="83" t="n">
        <v>509437</v>
      </c>
      <c r="D38" s="83" t="n">
        <v>324184</v>
      </c>
      <c r="E38" s="85">
        <f>B38/C38</f>
        <v/>
      </c>
      <c r="F38" s="83">
        <f>ABS(B38-C38)</f>
        <v/>
      </c>
    </row>
    <row r="39" ht="13.8" customHeight="1" s="82">
      <c r="A39" s="84" t="inlineStr">
        <is>
          <t>561</t>
        </is>
      </c>
      <c r="B39" s="83" t="n">
        <v>85309</v>
      </c>
      <c r="C39" s="83" t="n">
        <v>81074</v>
      </c>
      <c r="D39" s="83" t="n">
        <v>64490</v>
      </c>
      <c r="E39" s="85">
        <f>B39/C39</f>
        <v/>
      </c>
      <c r="F39" s="83">
        <f>ABS(B39-C39)</f>
        <v/>
      </c>
    </row>
    <row r="40" ht="13.8" customHeight="1" s="82">
      <c r="A40" s="84" t="inlineStr">
        <is>
          <t>3364OT</t>
        </is>
      </c>
      <c r="B40" s="83" t="n">
        <v>56722</v>
      </c>
      <c r="C40" s="83" t="n">
        <v>60091</v>
      </c>
      <c r="D40" s="83" t="n">
        <v>37019</v>
      </c>
      <c r="E40" s="85">
        <f>B40/C40</f>
        <v/>
      </c>
      <c r="F40" s="83">
        <f>ABS(B40-C40)</f>
        <v/>
      </c>
    </row>
    <row r="41" ht="13.8" customHeight="1" s="82">
      <c r="A41" s="84" t="inlineStr">
        <is>
          <t>562</t>
        </is>
      </c>
      <c r="B41" s="83" t="n">
        <v>33904</v>
      </c>
      <c r="C41" s="83" t="n">
        <v>37074</v>
      </c>
      <c r="D41" s="83" t="n">
        <v>28334</v>
      </c>
      <c r="E41" s="85">
        <f>B41/C41</f>
        <v/>
      </c>
      <c r="F41" s="83">
        <f>ABS(B41-C41)</f>
        <v/>
      </c>
    </row>
    <row r="42" ht="13.8" customHeight="1" s="82">
      <c r="A42" s="84" t="inlineStr">
        <is>
          <t>521CI</t>
        </is>
      </c>
      <c r="B42" s="83" t="n">
        <v>355056</v>
      </c>
      <c r="C42" s="83" t="n">
        <v>358215</v>
      </c>
      <c r="D42" s="83" t="n">
        <v>278750</v>
      </c>
      <c r="E42" s="85">
        <f>B42/C42</f>
        <v/>
      </c>
      <c r="F42" s="83">
        <f>ABS(B42-C42)</f>
        <v/>
      </c>
    </row>
    <row r="43" ht="13.8" customHeight="1" s="82">
      <c r="A43" s="84" t="inlineStr">
        <is>
          <t>323</t>
        </is>
      </c>
      <c r="B43" s="83" t="n">
        <v>12139</v>
      </c>
      <c r="C43" s="83" t="n">
        <v>9298</v>
      </c>
      <c r="D43" s="83" t="n">
        <v>8499</v>
      </c>
      <c r="E43" s="85">
        <f>B43/C43</f>
        <v/>
      </c>
      <c r="F43" s="83">
        <f>ABS(B43-C43)</f>
        <v/>
      </c>
    </row>
    <row r="44" ht="13.8" customHeight="1" s="82">
      <c r="A44" s="84" t="inlineStr">
        <is>
          <t>337</t>
        </is>
      </c>
      <c r="B44" s="83" t="n">
        <v>165786</v>
      </c>
      <c r="C44" s="83" t="n">
        <v>162998</v>
      </c>
      <c r="D44" s="83" t="n">
        <v>110214</v>
      </c>
      <c r="E44" s="85">
        <f>B44/C44</f>
        <v/>
      </c>
      <c r="F44" s="83">
        <f>ABS(B44-C44)</f>
        <v/>
      </c>
    </row>
    <row r="45" ht="13.8" customHeight="1" s="82">
      <c r="A45" s="84" t="inlineStr">
        <is>
          <t>22</t>
        </is>
      </c>
      <c r="B45" s="83" t="n">
        <v>361228</v>
      </c>
      <c r="C45" s="83" t="n">
        <v>358884</v>
      </c>
      <c r="D45" s="83" t="n">
        <v>265417</v>
      </c>
      <c r="E45" s="85">
        <f>B45/C45</f>
        <v/>
      </c>
      <c r="F45" s="83">
        <f>ABS(B45-C45)</f>
        <v/>
      </c>
    </row>
    <row r="46" ht="13.8" customHeight="1" s="82">
      <c r="A46" s="84" t="inlineStr">
        <is>
          <t>GFE</t>
        </is>
      </c>
      <c r="B46" s="83" t="n">
        <v>8688</v>
      </c>
      <c r="C46" s="83" t="n">
        <v>6676</v>
      </c>
      <c r="D46" s="83" t="n">
        <v>6914</v>
      </c>
      <c r="E46" s="85">
        <f>B46/C46</f>
        <v/>
      </c>
      <c r="F46" s="83">
        <f>ABS(B46-C46)</f>
        <v/>
      </c>
    </row>
    <row r="47" ht="13.8" customHeight="1" s="82">
      <c r="A47" s="84" t="inlineStr">
        <is>
          <t>722</t>
        </is>
      </c>
      <c r="B47" s="83" t="n">
        <v>1022980</v>
      </c>
      <c r="C47" s="83" t="n">
        <v>1024940</v>
      </c>
      <c r="D47" s="83" t="n">
        <v>731851</v>
      </c>
      <c r="E47" s="85">
        <f>B47/C47</f>
        <v/>
      </c>
      <c r="F47" s="83">
        <f>ABS(B47-C47)</f>
        <v/>
      </c>
    </row>
    <row r="48" ht="13.8" customHeight="1" s="82">
      <c r="A48" s="84" t="inlineStr">
        <is>
          <t>532RL</t>
        </is>
      </c>
      <c r="B48" s="83" t="n">
        <v>106238</v>
      </c>
      <c r="C48" s="83" t="n">
        <v>104470</v>
      </c>
      <c r="D48" s="83" t="n">
        <v>97091</v>
      </c>
      <c r="E48" s="85">
        <f>B48/C48</f>
        <v/>
      </c>
      <c r="F48" s="83">
        <f>ABS(B48-C48)</f>
        <v/>
      </c>
    </row>
    <row r="49" ht="13.8" customHeight="1" s="82">
      <c r="A49" s="84" t="inlineStr">
        <is>
          <t>113FF</t>
        </is>
      </c>
      <c r="B49" s="83" t="n">
        <v>11443</v>
      </c>
      <c r="C49" s="83" t="n">
        <v>12886</v>
      </c>
      <c r="D49" s="83" t="n">
        <v>8819</v>
      </c>
      <c r="E49" s="85">
        <f>B49/C49</f>
        <v/>
      </c>
      <c r="F49" s="83">
        <f>ABS(B49-C49)</f>
        <v/>
      </c>
    </row>
    <row r="50" ht="13.8" customHeight="1" s="82">
      <c r="A50" s="84" t="inlineStr">
        <is>
          <t>ORE</t>
        </is>
      </c>
      <c r="B50" s="83" t="n">
        <v>7857</v>
      </c>
      <c r="C50" s="83" t="n">
        <v>6468</v>
      </c>
      <c r="D50" s="83" t="n">
        <v>5861</v>
      </c>
      <c r="E50" s="85">
        <f>B50/C50</f>
        <v/>
      </c>
      <c r="F50" s="83">
        <f>ABS(B50-C50)</f>
        <v/>
      </c>
    </row>
    <row r="51" ht="13.8" customHeight="1" s="82">
      <c r="A51" s="84" t="inlineStr">
        <is>
          <t>327</t>
        </is>
      </c>
      <c r="B51" s="83" t="n">
        <v>30081</v>
      </c>
      <c r="C51" s="83" t="n">
        <v>28743</v>
      </c>
      <c r="D51" s="83" t="n">
        <v>21299</v>
      </c>
      <c r="E51" s="85">
        <f>B51/C51</f>
        <v/>
      </c>
      <c r="F51" s="83">
        <f>ABS(B51-C51)</f>
        <v/>
      </c>
    </row>
    <row r="52" ht="13.8" customHeight="1" s="82">
      <c r="A52" s="84" t="inlineStr">
        <is>
          <t>GSLE</t>
        </is>
      </c>
      <c r="B52" s="83" t="n">
        <v>86073</v>
      </c>
      <c r="C52" s="83" t="n">
        <v>87288</v>
      </c>
      <c r="D52" s="83" t="n">
        <v>72509</v>
      </c>
      <c r="E52" s="85">
        <f>B52/C52</f>
        <v/>
      </c>
      <c r="F52" s="83">
        <f>ABS(B52-C52)</f>
        <v/>
      </c>
    </row>
    <row r="53" ht="13.8" customHeight="1" s="82">
      <c r="A53" s="84" t="inlineStr">
        <is>
          <t>332</t>
        </is>
      </c>
      <c r="B53" s="83" t="n">
        <v>69530</v>
      </c>
      <c r="C53" s="83" t="n">
        <v>68505</v>
      </c>
      <c r="D53" s="83" t="n">
        <v>44258</v>
      </c>
      <c r="E53" s="85">
        <f>B53/C53</f>
        <v/>
      </c>
      <c r="F53" s="83">
        <f>ABS(B53-C53)</f>
        <v/>
      </c>
    </row>
    <row r="54" ht="13.8" customHeight="1" s="82">
      <c r="A54" s="84" t="inlineStr">
        <is>
          <t>321</t>
        </is>
      </c>
      <c r="B54" s="83" t="n">
        <v>9905</v>
      </c>
      <c r="C54" s="83" t="n">
        <v>10808</v>
      </c>
      <c r="D54" s="83" t="n">
        <v>6760</v>
      </c>
      <c r="E54" s="85">
        <f>B54/C54</f>
        <v/>
      </c>
      <c r="F54" s="83">
        <f>ABS(B54-C54)</f>
        <v/>
      </c>
    </row>
    <row r="55" ht="13.8" customHeight="1" s="82">
      <c r="A55" s="84" t="inlineStr">
        <is>
          <t>487OS</t>
        </is>
      </c>
      <c r="B55" s="83" t="n">
        <v>23860</v>
      </c>
      <c r="C55" s="83" t="n">
        <v>24613</v>
      </c>
      <c r="D55" s="83" t="n">
        <v>17855</v>
      </c>
      <c r="E55" s="85">
        <f>B55/C55</f>
        <v/>
      </c>
      <c r="F55" s="83">
        <f>ABS(B55-C55)</f>
        <v/>
      </c>
    </row>
    <row r="56" ht="13.8" customHeight="1" s="82">
      <c r="A56" s="84" t="inlineStr">
        <is>
          <t>482</t>
        </is>
      </c>
      <c r="B56" s="83" t="n">
        <v>1810</v>
      </c>
      <c r="C56" s="83" t="n">
        <v>1214</v>
      </c>
      <c r="D56" s="83" t="n">
        <v>1458</v>
      </c>
      <c r="E56" s="85">
        <f>B56/C56</f>
        <v/>
      </c>
      <c r="F56" s="83">
        <f>ABS(B56-C56)</f>
        <v/>
      </c>
    </row>
    <row r="57" ht="13.8" customHeight="1" s="82">
      <c r="A57" s="84" t="inlineStr">
        <is>
          <t>326</t>
        </is>
      </c>
      <c r="B57" s="83" t="n">
        <v>102232</v>
      </c>
      <c r="C57" s="83" t="n">
        <v>102733</v>
      </c>
      <c r="D57" s="83" t="n">
        <v>72246</v>
      </c>
      <c r="E57" s="85">
        <f>B57/C57</f>
        <v/>
      </c>
      <c r="F57" s="83">
        <f>ABS(B57-C57)</f>
        <v/>
      </c>
    </row>
    <row r="58" ht="13.8" customHeight="1" s="82">
      <c r="A58" s="84" t="inlineStr">
        <is>
          <t>721</t>
        </is>
      </c>
      <c r="B58" s="83" t="n">
        <v>189334</v>
      </c>
      <c r="C58" s="83" t="n">
        <v>189009</v>
      </c>
      <c r="D58" s="83" t="n">
        <v>163295</v>
      </c>
      <c r="E58" s="85">
        <f>B58/C58</f>
        <v/>
      </c>
      <c r="F58" s="83">
        <f>ABS(B58-C58)</f>
        <v/>
      </c>
    </row>
    <row r="59" ht="13.8" customHeight="1" s="82">
      <c r="A59" s="84" t="inlineStr">
        <is>
          <t>212</t>
        </is>
      </c>
      <c r="B59" s="83" t="n">
        <v>503</v>
      </c>
      <c r="C59" s="83" t="n">
        <v>324</v>
      </c>
      <c r="D59" s="83" t="n">
        <v>334</v>
      </c>
      <c r="E59" s="85">
        <f>B59/C59</f>
        <v/>
      </c>
      <c r="F59" s="83">
        <f>ABS(B59-C59)</f>
        <v/>
      </c>
    </row>
    <row r="60" ht="13.8" customHeight="1" s="82">
      <c r="A60" s="84" t="inlineStr">
        <is>
          <t>331</t>
        </is>
      </c>
      <c r="B60" s="83" t="n">
        <v>2090</v>
      </c>
      <c r="C60" s="83" t="n">
        <v>1993</v>
      </c>
      <c r="D60" s="83" t="n">
        <v>1415</v>
      </c>
      <c r="E60" s="85">
        <f>B60/C60</f>
        <v/>
      </c>
      <c r="F60" s="83">
        <f>ABS(B60-C60)</f>
        <v/>
      </c>
    </row>
    <row r="61" ht="13.8" customHeight="1" s="82">
      <c r="A61" s="84" t="inlineStr">
        <is>
          <t>484</t>
        </is>
      </c>
      <c r="B61" s="83" t="n">
        <v>15684</v>
      </c>
      <c r="C61" s="83" t="n">
        <v>15774</v>
      </c>
      <c r="D61" s="83" t="n">
        <v>11700</v>
      </c>
      <c r="E61" s="85">
        <f>B61/C61</f>
        <v/>
      </c>
      <c r="F61" s="83">
        <f>ABS(B61-C61)</f>
        <v/>
      </c>
    </row>
    <row r="62" ht="13.8" customHeight="1" s="82">
      <c r="A62" s="84" t="inlineStr">
        <is>
          <t>493</t>
        </is>
      </c>
      <c r="B62" s="83" t="n">
        <v>336</v>
      </c>
      <c r="C62" s="83" t="n">
        <v>314</v>
      </c>
      <c r="D62" s="83" t="n">
        <v>251</v>
      </c>
      <c r="E62" s="85">
        <f>B62/C62</f>
        <v/>
      </c>
      <c r="F62" s="83">
        <f>ABS(B62-C62)</f>
        <v/>
      </c>
    </row>
    <row r="63" ht="13.8" customHeight="1" s="82">
      <c r="A63" s="84" t="inlineStr">
        <is>
          <t>211</t>
        </is>
      </c>
      <c r="B63" s="83" t="n">
        <v>0</v>
      </c>
      <c r="C63" s="83" t="n">
        <v>0</v>
      </c>
      <c r="D63" s="83" t="n">
        <v>0</v>
      </c>
      <c r="E63" s="85">
        <f>B63/C63</f>
        <v/>
      </c>
      <c r="F63" s="83">
        <f>ABS(B63-C63)</f>
        <v/>
      </c>
    </row>
    <row r="64" ht="13.8" customHeight="1" s="82">
      <c r="A64" s="84" t="inlineStr">
        <is>
          <t>213</t>
        </is>
      </c>
      <c r="B64" s="83" t="n">
        <v>0</v>
      </c>
      <c r="C64" s="83" t="n">
        <v>0</v>
      </c>
      <c r="D64" s="83" t="n">
        <v>0</v>
      </c>
      <c r="E64" s="85">
        <f>B64/C64</f>
        <v/>
      </c>
      <c r="F64" s="83">
        <f>ABS(B64-C64)</f>
        <v/>
      </c>
    </row>
    <row r="65" ht="13.8" customHeight="1" s="82">
      <c r="A65" s="84" t="inlineStr">
        <is>
          <t>23</t>
        </is>
      </c>
      <c r="B65" s="83" t="n">
        <v>0</v>
      </c>
      <c r="C65" s="83" t="n">
        <v>0</v>
      </c>
      <c r="D65" s="83" t="n">
        <v>0</v>
      </c>
      <c r="E65" s="85">
        <f>B65/C65</f>
        <v/>
      </c>
      <c r="F65" s="83">
        <f>ABS(B65-C65)</f>
        <v/>
      </c>
    </row>
    <row r="66" ht="13.8" customHeight="1" s="82">
      <c r="A66" s="84" t="inlineStr">
        <is>
          <t>42</t>
        </is>
      </c>
      <c r="B66" s="83" t="n">
        <v>0</v>
      </c>
      <c r="C66" s="83" t="n">
        <v>0</v>
      </c>
      <c r="D66" s="83" t="n">
        <v>0</v>
      </c>
      <c r="E66" s="85">
        <f>B66/C66</f>
        <v/>
      </c>
      <c r="F66" s="83">
        <f>ABS(B66-C66)</f>
        <v/>
      </c>
    </row>
    <row r="67" ht="13.8" customHeight="1" s="82">
      <c r="A67" s="84" t="inlineStr">
        <is>
          <t>441</t>
        </is>
      </c>
      <c r="B67" s="83" t="n">
        <v>0</v>
      </c>
      <c r="C67" s="83" t="n">
        <v>0</v>
      </c>
      <c r="D67" s="83" t="n">
        <v>0</v>
      </c>
      <c r="E67" s="85">
        <f>B67/C67</f>
        <v/>
      </c>
      <c r="F67" s="83">
        <f>ABS(B67-C67)</f>
        <v/>
      </c>
    </row>
    <row r="68" ht="13.8" customHeight="1" s="82">
      <c r="A68" s="84" t="inlineStr">
        <is>
          <t>445</t>
        </is>
      </c>
      <c r="B68" s="83" t="n">
        <v>0</v>
      </c>
      <c r="C68" s="83" t="n">
        <v>0</v>
      </c>
      <c r="D68" s="83" t="n">
        <v>0</v>
      </c>
      <c r="E68" s="85">
        <f>B68/C68</f>
        <v/>
      </c>
      <c r="F68" s="83">
        <f>ABS(B68-C68)</f>
        <v/>
      </c>
    </row>
    <row r="69" ht="13.8" customHeight="1" s="82">
      <c r="A69" s="84" t="inlineStr">
        <is>
          <t>452</t>
        </is>
      </c>
      <c r="B69" s="83" t="n">
        <v>0</v>
      </c>
      <c r="C69" s="83" t="n">
        <v>0</v>
      </c>
      <c r="D69" s="83" t="n">
        <v>0</v>
      </c>
      <c r="E69" s="85">
        <f>B69/C69</f>
        <v/>
      </c>
      <c r="F69" s="83">
        <f>ABS(B69-C69)</f>
        <v/>
      </c>
    </row>
    <row r="70" ht="13.8" customHeight="1" s="82">
      <c r="A70" s="84" t="inlineStr">
        <is>
          <t>486</t>
        </is>
      </c>
      <c r="B70" s="83" t="n">
        <v>0</v>
      </c>
      <c r="C70" s="83" t="n">
        <v>0</v>
      </c>
      <c r="D70" s="83" t="n">
        <v>0</v>
      </c>
      <c r="E70" s="85">
        <f>B70/C70</f>
        <v/>
      </c>
      <c r="F70" s="83">
        <f>ABS(B70-C70)</f>
        <v/>
      </c>
    </row>
    <row r="71" ht="13.8" customHeight="1" s="82">
      <c r="A71" s="84" t="inlineStr">
        <is>
          <t>5415</t>
        </is>
      </c>
      <c r="B71" s="83" t="n">
        <v>0</v>
      </c>
      <c r="C71" s="83" t="n">
        <v>0</v>
      </c>
      <c r="D71" s="83" t="n">
        <v>0</v>
      </c>
      <c r="E71" s="85">
        <f>B71/C71</f>
        <v/>
      </c>
      <c r="F71" s="83">
        <f>ABS(B71-C71)</f>
        <v/>
      </c>
    </row>
    <row r="72" ht="13.8" customHeight="1" s="82">
      <c r="A72" s="84" t="inlineStr">
        <is>
          <t>55</t>
        </is>
      </c>
      <c r="B72" s="83" t="n">
        <v>0</v>
      </c>
      <c r="C72" s="83" t="n">
        <v>0</v>
      </c>
      <c r="D72" s="83" t="n">
        <v>0</v>
      </c>
      <c r="E72" s="85">
        <f>B72/C72</f>
        <v/>
      </c>
      <c r="F72" s="83">
        <f>ABS(B72-C72)</f>
        <v/>
      </c>
    </row>
    <row r="73" ht="13.8" customHeight="1" s="82">
      <c r="A73" s="84" t="inlineStr">
        <is>
          <t>GFGD</t>
        </is>
      </c>
      <c r="B73" s="83" t="n">
        <v>0</v>
      </c>
      <c r="C73" s="83" t="n">
        <v>0</v>
      </c>
      <c r="D73" s="83" t="n">
        <v>0</v>
      </c>
      <c r="E73" s="85">
        <f>B73/C73</f>
        <v/>
      </c>
      <c r="F73" s="83">
        <f>ABS(B73-C73)</f>
        <v/>
      </c>
    </row>
    <row r="74" ht="13.8" customHeight="1" s="82">
      <c r="A74" s="84" t="inlineStr">
        <is>
          <t>GFGN</t>
        </is>
      </c>
      <c r="B74" s="83" t="n">
        <v>0</v>
      </c>
      <c r="C74" s="83" t="n">
        <v>0</v>
      </c>
      <c r="D74" s="83" t="n">
        <v>0</v>
      </c>
      <c r="E74" s="85">
        <f>B74/C74</f>
        <v/>
      </c>
      <c r="F74" s="83">
        <f>ABS(B74-C74)</f>
        <v/>
      </c>
    </row>
    <row r="75" ht="13.8" customHeight="1" s="82">
      <c r="A75" s="84" t="inlineStr">
        <is>
          <t>GSLG</t>
        </is>
      </c>
      <c r="B75" s="83" t="n">
        <v>0</v>
      </c>
      <c r="C75" s="83" t="n">
        <v>0</v>
      </c>
      <c r="D75" s="83" t="n">
        <v>0</v>
      </c>
      <c r="E75" s="85">
        <f>B75/C75</f>
        <v/>
      </c>
      <c r="F75" s="83">
        <f>ABS(B75-C75)</f>
        <v/>
      </c>
    </row>
    <row r="76" ht="12.8" customHeight="1" s="82">
      <c r="B76" s="83">
        <f>SUM(B3:B75)</f>
        <v/>
      </c>
      <c r="C76" s="83">
        <f>SUM(C3:C75)</f>
        <v/>
      </c>
      <c r="D76" s="83">
        <f>SUM(D3:D75)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405"/>
  <sheetViews>
    <sheetView showFormulas="0" showGridLines="1" showRowColHeaders="1" showZeros="1" rightToLeft="0" tabSelected="0" showOutlineSymbols="1" defaultGridColor="1" view="normal" topLeftCell="A370" colorId="64" zoomScale="140" zoomScaleNormal="140" zoomScalePageLayoutView="100" workbookViewId="0">
      <selection pane="topLeft" activeCell="F393" activeCellId="0" sqref="F393"/>
    </sheetView>
  </sheetViews>
  <sheetFormatPr baseColWidth="8" defaultColWidth="11.53515625" defaultRowHeight="12.8" zeroHeight="0" outlineLevelRow="0"/>
  <sheetData>
    <row r="1" ht="12.8" customHeight="1" s="82">
      <c r="G1" s="83" t="inlineStr">
        <is>
          <t>bea</t>
        </is>
      </c>
      <c r="H1" s="83" t="n">
        <v>2017</v>
      </c>
    </row>
    <row r="2" ht="13.8" customHeight="1" s="82">
      <c r="A2" s="87" t="inlineStr">
        <is>
          <t>offspring_code</t>
        </is>
      </c>
      <c r="B2" s="87" t="inlineStr">
        <is>
          <t>parent_code</t>
        </is>
      </c>
      <c r="C2" s="87" t="inlineStr">
        <is>
          <t>match</t>
        </is>
      </c>
      <c r="D2" s="87" t="inlineStr">
        <is>
          <t>parent_title</t>
        </is>
      </c>
      <c r="E2" s="87" t="inlineStr">
        <is>
          <t>offspring_title</t>
        </is>
      </c>
      <c r="F2" s="84" t="inlineStr">
        <is>
          <t>code</t>
        </is>
      </c>
      <c r="G2" s="84" t="inlineStr">
        <is>
          <t>pce</t>
        </is>
      </c>
      <c r="H2" s="84" t="inlineStr">
        <is>
          <t>pce</t>
        </is>
      </c>
    </row>
    <row r="3" ht="13.8" customHeight="1" s="82">
      <c r="A3" s="83" t="inlineStr">
        <is>
          <t>1111A0</t>
        </is>
      </c>
      <c r="B3" s="83" t="inlineStr">
        <is>
          <t>111CA</t>
        </is>
      </c>
      <c r="C3" s="83">
        <f>TRUE()</f>
        <v/>
      </c>
      <c r="D3" s="83" t="inlineStr">
        <is>
          <t>Farms</t>
        </is>
      </c>
      <c r="E3" s="83" t="inlineStr">
        <is>
          <t>Oilseed farming</t>
        </is>
      </c>
      <c r="F3" s="84" t="inlineStr">
        <is>
          <t>1111A0</t>
        </is>
      </c>
      <c r="G3" s="83" t="n">
        <v>0</v>
      </c>
      <c r="H3" s="83" t="n">
        <v>0</v>
      </c>
      <c r="I3" s="88">
        <f>G3/H3</f>
        <v/>
      </c>
    </row>
    <row r="4" ht="13.8" customHeight="1" s="82">
      <c r="A4" s="83" t="inlineStr">
        <is>
          <t>1111B0</t>
        </is>
      </c>
      <c r="B4" s="83" t="inlineStr">
        <is>
          <t>111CA</t>
        </is>
      </c>
      <c r="C4" s="83">
        <f>TRUE()</f>
        <v/>
      </c>
      <c r="D4" s="83" t="inlineStr">
        <is>
          <t>Farms</t>
        </is>
      </c>
      <c r="E4" s="83" t="inlineStr">
        <is>
          <t>Grain farming</t>
        </is>
      </c>
      <c r="F4" s="84" t="inlineStr">
        <is>
          <t>1111B0</t>
        </is>
      </c>
      <c r="G4" s="83" t="n">
        <v>7006</v>
      </c>
      <c r="H4" s="83" t="n">
        <v>4939</v>
      </c>
      <c r="I4" s="88">
        <f>G4/H4</f>
        <v/>
      </c>
    </row>
    <row r="5" ht="13.8" customHeight="1" s="82">
      <c r="A5" s="83" t="inlineStr">
        <is>
          <t>111200</t>
        </is>
      </c>
      <c r="B5" s="83" t="inlineStr">
        <is>
          <t>111CA</t>
        </is>
      </c>
      <c r="C5" s="83">
        <f>TRUE()</f>
        <v/>
      </c>
      <c r="D5" s="83" t="inlineStr">
        <is>
          <t>Farms</t>
        </is>
      </c>
      <c r="E5" s="83" t="inlineStr">
        <is>
          <t>Vegetable and melon farming</t>
        </is>
      </c>
      <c r="F5" s="84" t="inlineStr">
        <is>
          <t>111200</t>
        </is>
      </c>
      <c r="G5" s="83" t="n">
        <v>54064</v>
      </c>
      <c r="H5" s="83" t="n">
        <v>39518</v>
      </c>
      <c r="I5" s="88">
        <f>G5/H5</f>
        <v/>
      </c>
    </row>
    <row r="6" ht="13.8" customHeight="1" s="82">
      <c r="A6" s="83" t="inlineStr">
        <is>
          <t>111300</t>
        </is>
      </c>
      <c r="B6" s="83" t="inlineStr">
        <is>
          <t>111CA</t>
        </is>
      </c>
      <c r="C6" s="83">
        <f>TRUE()</f>
        <v/>
      </c>
      <c r="D6" s="83" t="inlineStr">
        <is>
          <t>Farms</t>
        </is>
      </c>
      <c r="E6" s="83" t="inlineStr">
        <is>
          <t>Fruit and tree nut farming</t>
        </is>
      </c>
      <c r="F6" s="84" t="inlineStr">
        <is>
          <t>111300</t>
        </is>
      </c>
      <c r="G6" s="83" t="n">
        <v>65876</v>
      </c>
      <c r="H6" s="83" t="n">
        <v>48125</v>
      </c>
      <c r="I6" s="88">
        <f>G6/H6</f>
        <v/>
      </c>
    </row>
    <row r="7" ht="13.8" customHeight="1" s="82">
      <c r="A7" s="83" t="inlineStr">
        <is>
          <t>111400</t>
        </is>
      </c>
      <c r="B7" s="83" t="inlineStr">
        <is>
          <t>111CA</t>
        </is>
      </c>
      <c r="C7" s="83">
        <f>TRUE()</f>
        <v/>
      </c>
      <c r="D7" s="83" t="inlineStr">
        <is>
          <t>Farms</t>
        </is>
      </c>
      <c r="E7" s="83" t="inlineStr">
        <is>
          <t>Greenhouse, nursery, and floriculture production</t>
        </is>
      </c>
      <c r="F7" s="84" t="inlineStr">
        <is>
          <t>111400</t>
        </is>
      </c>
      <c r="G7" s="83" t="n">
        <v>49572</v>
      </c>
      <c r="H7" s="83" t="n">
        <v>31499</v>
      </c>
      <c r="I7" s="88">
        <f>G7/H7</f>
        <v/>
      </c>
    </row>
    <row r="8" ht="13.8" customHeight="1" s="82">
      <c r="A8" s="83" t="inlineStr">
        <is>
          <t>111900</t>
        </is>
      </c>
      <c r="B8" s="83" t="inlineStr">
        <is>
          <t>111CA</t>
        </is>
      </c>
      <c r="C8" s="83">
        <f>TRUE()</f>
        <v/>
      </c>
      <c r="D8" s="83" t="inlineStr">
        <is>
          <t>Farms</t>
        </is>
      </c>
      <c r="E8" s="83" t="inlineStr">
        <is>
          <t>Other crop farming</t>
        </is>
      </c>
      <c r="F8" s="84" t="inlineStr">
        <is>
          <t>111900</t>
        </is>
      </c>
      <c r="G8" s="83" t="n">
        <v>10511</v>
      </c>
      <c r="H8" s="83" t="n">
        <v>7475</v>
      </c>
      <c r="I8" s="88">
        <f>G8/H8</f>
        <v/>
      </c>
    </row>
    <row r="9" ht="13.8" customHeight="1" s="82">
      <c r="A9" s="83" t="inlineStr">
        <is>
          <t>112120</t>
        </is>
      </c>
      <c r="B9" s="83" t="inlineStr">
        <is>
          <t>111CA</t>
        </is>
      </c>
      <c r="C9" s="83">
        <f>FALSE()</f>
        <v/>
      </c>
      <c r="D9" s="83" t="inlineStr">
        <is>
          <t>Farms</t>
        </is>
      </c>
      <c r="E9" s="83" t="inlineStr">
        <is>
          <t>Dairy cattle and milk production</t>
        </is>
      </c>
      <c r="F9" s="84" t="inlineStr">
        <is>
          <t>112120</t>
        </is>
      </c>
      <c r="G9" s="83" t="n">
        <v>336</v>
      </c>
      <c r="H9" s="83" t="n">
        <v>165</v>
      </c>
      <c r="I9" s="88">
        <f>G9/H9</f>
        <v/>
      </c>
    </row>
    <row r="10" ht="13.8" customHeight="1" s="82">
      <c r="A10" s="83" t="inlineStr">
        <is>
          <t>1121A0</t>
        </is>
      </c>
      <c r="B10" s="83" t="inlineStr">
        <is>
          <t>111CA</t>
        </is>
      </c>
      <c r="C10" s="83">
        <f>FALSE()</f>
        <v/>
      </c>
      <c r="D10" s="83" t="inlineStr">
        <is>
          <t>Farms</t>
        </is>
      </c>
      <c r="E10" s="83" t="inlineStr">
        <is>
          <t>Beef cattle ranching and farming, including feedlots and dual-purpose ranching and farming</t>
        </is>
      </c>
      <c r="F10" s="84" t="inlineStr">
        <is>
          <t>1121A0</t>
        </is>
      </c>
      <c r="G10" s="83" t="n">
        <v>197</v>
      </c>
      <c r="H10" s="83" t="n">
        <v>97</v>
      </c>
      <c r="I10" s="88">
        <f>G10/H10</f>
        <v/>
      </c>
    </row>
    <row r="11" ht="13.8" customHeight="1" s="82">
      <c r="A11" s="83" t="inlineStr">
        <is>
          <t>112300</t>
        </is>
      </c>
      <c r="B11" s="83" t="inlineStr">
        <is>
          <t>111CA</t>
        </is>
      </c>
      <c r="C11" s="83">
        <f>FALSE()</f>
        <v/>
      </c>
      <c r="D11" s="83" t="inlineStr">
        <is>
          <t>Farms</t>
        </is>
      </c>
      <c r="E11" s="83" t="inlineStr">
        <is>
          <t>Poultry and egg production</t>
        </is>
      </c>
      <c r="F11" s="84" t="inlineStr">
        <is>
          <t>112300</t>
        </is>
      </c>
      <c r="G11" s="83" t="n">
        <v>11973</v>
      </c>
      <c r="H11" s="83" t="n">
        <v>8774</v>
      </c>
      <c r="I11" s="88">
        <f>G11/H11</f>
        <v/>
      </c>
    </row>
    <row r="12" ht="13.8" customHeight="1" s="82">
      <c r="A12" s="83" t="inlineStr">
        <is>
          <t>112A00</t>
        </is>
      </c>
      <c r="B12" s="83" t="inlineStr">
        <is>
          <t>111CA</t>
        </is>
      </c>
      <c r="C12" s="83">
        <f>FALSE()</f>
        <v/>
      </c>
      <c r="D12" s="83" t="inlineStr">
        <is>
          <t>Farms</t>
        </is>
      </c>
      <c r="E12" s="83" t="inlineStr">
        <is>
          <t>Animal production, except cattle and poultry and eggs</t>
        </is>
      </c>
      <c r="F12" s="84" t="inlineStr">
        <is>
          <t>112A00</t>
        </is>
      </c>
      <c r="G12" s="83" t="n">
        <v>19938</v>
      </c>
      <c r="H12" s="83" t="n">
        <v>12574</v>
      </c>
      <c r="I12" s="88">
        <f>G12/H12</f>
        <v/>
      </c>
    </row>
    <row r="13" ht="13.8" customHeight="1" s="82">
      <c r="A13" s="83" t="inlineStr">
        <is>
          <t>113000</t>
        </is>
      </c>
      <c r="B13" s="83" t="inlineStr">
        <is>
          <t>113FF</t>
        </is>
      </c>
      <c r="C13" s="83">
        <f>TRUE()</f>
        <v/>
      </c>
      <c r="D13" s="83" t="inlineStr">
        <is>
          <t>Forestry, fishing, and related activities</t>
        </is>
      </c>
      <c r="E13" s="83" t="inlineStr">
        <is>
          <t>Forestry and logging</t>
        </is>
      </c>
      <c r="F13" s="84" t="inlineStr">
        <is>
          <t>113000</t>
        </is>
      </c>
      <c r="G13" s="83" t="n">
        <v>0</v>
      </c>
      <c r="H13" s="83" t="n">
        <v>0</v>
      </c>
      <c r="I13" s="88">
        <f>G13/H13</f>
        <v/>
      </c>
    </row>
    <row r="14" ht="13.8" customHeight="1" s="82">
      <c r="A14" s="83" t="inlineStr">
        <is>
          <t>114000</t>
        </is>
      </c>
      <c r="B14" s="83" t="inlineStr">
        <is>
          <t>113FF</t>
        </is>
      </c>
      <c r="C14" s="83">
        <f>FALSE()</f>
        <v/>
      </c>
      <c r="D14" s="83" t="inlineStr">
        <is>
          <t>Forestry, fishing, and related activities</t>
        </is>
      </c>
      <c r="E14" s="83" t="inlineStr">
        <is>
          <t>Fishing, hunting and trapping</t>
        </is>
      </c>
      <c r="F14" s="84" t="inlineStr">
        <is>
          <t>114000</t>
        </is>
      </c>
      <c r="G14" s="83" t="n">
        <v>11271</v>
      </c>
      <c r="H14" s="83" t="n">
        <v>8695</v>
      </c>
      <c r="I14" s="88">
        <f>G14/H14</f>
        <v/>
      </c>
    </row>
    <row r="15" ht="13.8" customHeight="1" s="82">
      <c r="A15" s="83" t="inlineStr">
        <is>
          <t>115000</t>
        </is>
      </c>
      <c r="B15" s="83" t="inlineStr">
        <is>
          <t>113FF</t>
        </is>
      </c>
      <c r="C15" s="83">
        <f>FALSE()</f>
        <v/>
      </c>
      <c r="D15" s="83" t="inlineStr">
        <is>
          <t>Forestry, fishing, and related activities</t>
        </is>
      </c>
      <c r="E15" s="83" t="inlineStr">
        <is>
          <t>Support activities for agriculture and forestry</t>
        </is>
      </c>
      <c r="F15" s="84" t="inlineStr">
        <is>
          <t>115000</t>
        </is>
      </c>
      <c r="G15" s="83" t="n">
        <v>172</v>
      </c>
      <c r="H15" s="83" t="n">
        <v>124</v>
      </c>
      <c r="I15" s="88">
        <f>G15/H15</f>
        <v/>
      </c>
    </row>
    <row r="16" ht="13.8" customHeight="1" s="82">
      <c r="A16" s="83" t="inlineStr">
        <is>
          <t>211000</t>
        </is>
      </c>
      <c r="B16" s="83" t="inlineStr">
        <is>
          <t>211</t>
        </is>
      </c>
      <c r="C16" s="83">
        <f>TRUE()</f>
        <v/>
      </c>
      <c r="D16" s="83" t="inlineStr">
        <is>
          <t>Oil and gas extraction</t>
        </is>
      </c>
      <c r="E16" s="83" t="inlineStr">
        <is>
          <t>Oil and gas extraction</t>
        </is>
      </c>
      <c r="F16" s="84" t="inlineStr">
        <is>
          <t>211000</t>
        </is>
      </c>
      <c r="G16" s="83" t="n">
        <v>0</v>
      </c>
      <c r="H16" s="83" t="n">
        <v>0</v>
      </c>
      <c r="I16" s="88">
        <f>G16/H16</f>
        <v/>
      </c>
    </row>
    <row r="17" ht="13.8" customHeight="1" s="82">
      <c r="A17" s="83" t="inlineStr">
        <is>
          <t>212100</t>
        </is>
      </c>
      <c r="B17" s="83" t="inlineStr">
        <is>
          <t>212</t>
        </is>
      </c>
      <c r="C17" s="83">
        <f>TRUE()</f>
        <v/>
      </c>
      <c r="D17" s="83" t="inlineStr">
        <is>
          <t>Mining, except oil and gas</t>
        </is>
      </c>
      <c r="E17" s="83" t="inlineStr">
        <is>
          <t>Coal mining</t>
        </is>
      </c>
      <c r="F17" s="84" t="inlineStr">
        <is>
          <t>212100</t>
        </is>
      </c>
      <c r="G17" s="83" t="n">
        <v>339</v>
      </c>
      <c r="H17" s="83" t="n">
        <v>221</v>
      </c>
      <c r="I17" s="88">
        <f>G17/H17</f>
        <v/>
      </c>
    </row>
    <row r="18" ht="13.8" customHeight="1" s="82">
      <c r="A18" s="83" t="inlineStr">
        <is>
          <t>212230</t>
        </is>
      </c>
      <c r="B18" s="83" t="inlineStr">
        <is>
          <t>212</t>
        </is>
      </c>
      <c r="C18" s="83">
        <f>TRUE()</f>
        <v/>
      </c>
      <c r="D18" s="83" t="inlineStr">
        <is>
          <t>Mining, except oil and gas</t>
        </is>
      </c>
      <c r="E18" s="83" t="inlineStr">
        <is>
          <t>Copper, nickel, lead, and zinc mining</t>
        </is>
      </c>
      <c r="F18" s="84" t="inlineStr">
        <is>
          <t>212230</t>
        </is>
      </c>
      <c r="G18" s="83" t="n">
        <v>0</v>
      </c>
      <c r="H18" s="83" t="n">
        <v>0</v>
      </c>
      <c r="I18" s="88">
        <f>G18/H18</f>
        <v/>
      </c>
    </row>
    <row r="19" ht="13.8" customHeight="1" s="82">
      <c r="A19" s="83" t="inlineStr">
        <is>
          <t>2122A0</t>
        </is>
      </c>
      <c r="B19" s="83" t="inlineStr">
        <is>
          <t>212</t>
        </is>
      </c>
      <c r="C19" s="83">
        <f>TRUE()</f>
        <v/>
      </c>
      <c r="D19" s="83" t="inlineStr">
        <is>
          <t>Mining, except oil and gas</t>
        </is>
      </c>
      <c r="E19" s="83" t="inlineStr">
        <is>
          <t>Iron, gold, silver, and other metal ore mining</t>
        </is>
      </c>
      <c r="F19" s="84" t="inlineStr">
        <is>
          <t>2122A0</t>
        </is>
      </c>
      <c r="G19" s="83" t="n">
        <v>0</v>
      </c>
      <c r="H19" s="83" t="n">
        <v>0</v>
      </c>
      <c r="I19" s="88">
        <f>G19/H19</f>
        <v/>
      </c>
    </row>
    <row r="20" ht="13.8" customHeight="1" s="82">
      <c r="A20" s="83" t="inlineStr">
        <is>
          <t>212310</t>
        </is>
      </c>
      <c r="B20" s="83" t="inlineStr">
        <is>
          <t>212</t>
        </is>
      </c>
      <c r="C20" s="83">
        <f>TRUE()</f>
        <v/>
      </c>
      <c r="D20" s="83" t="inlineStr">
        <is>
          <t>Mining, except oil and gas</t>
        </is>
      </c>
      <c r="E20" s="83" t="inlineStr">
        <is>
          <t>Stone mining and quarrying</t>
        </is>
      </c>
      <c r="F20" s="84" t="inlineStr">
        <is>
          <t>212310</t>
        </is>
      </c>
      <c r="G20" s="83" t="n">
        <v>0</v>
      </c>
      <c r="H20" s="83" t="n">
        <v>0</v>
      </c>
      <c r="I20" s="88">
        <f>G20/H20</f>
        <v/>
      </c>
    </row>
    <row r="21" ht="13.8" customHeight="1" s="82">
      <c r="A21" s="83" t="inlineStr">
        <is>
          <t>2123A0</t>
        </is>
      </c>
      <c r="B21" s="83" t="inlineStr">
        <is>
          <t>212</t>
        </is>
      </c>
      <c r="C21" s="83">
        <f>TRUE()</f>
        <v/>
      </c>
      <c r="D21" s="83" t="inlineStr">
        <is>
          <t>Mining, except oil and gas</t>
        </is>
      </c>
      <c r="E21" s="83" t="inlineStr">
        <is>
          <t>Other nonmetallic mineral mining and quarrying</t>
        </is>
      </c>
      <c r="F21" s="84" t="inlineStr">
        <is>
          <t>2123A0</t>
        </is>
      </c>
      <c r="G21" s="83" t="n">
        <v>164</v>
      </c>
      <c r="H21" s="83" t="n">
        <v>113</v>
      </c>
      <c r="I21" s="88">
        <f>G21/H21</f>
        <v/>
      </c>
    </row>
    <row r="22" ht="13.8" customHeight="1" s="82">
      <c r="A22" s="83" t="inlineStr">
        <is>
          <t>213111</t>
        </is>
      </c>
      <c r="B22" s="83" t="inlineStr">
        <is>
          <t>213</t>
        </is>
      </c>
      <c r="C22" s="83">
        <f>TRUE()</f>
        <v/>
      </c>
      <c r="D22" s="83" t="inlineStr">
        <is>
          <t>Support activities for mining</t>
        </is>
      </c>
      <c r="E22" s="83" t="inlineStr">
        <is>
          <t>Drilling oil and gas wells</t>
        </is>
      </c>
      <c r="F22" s="84" t="inlineStr">
        <is>
          <t>213111</t>
        </is>
      </c>
      <c r="G22" s="83" t="n">
        <v>0</v>
      </c>
      <c r="H22" s="83" t="n">
        <v>0</v>
      </c>
      <c r="I22" s="88">
        <f>G22/H22</f>
        <v/>
      </c>
    </row>
    <row r="23" ht="13.8" customHeight="1" s="82">
      <c r="A23" s="83" t="inlineStr">
        <is>
          <t>21311A</t>
        </is>
      </c>
      <c r="B23" s="83" t="inlineStr">
        <is>
          <t>213</t>
        </is>
      </c>
      <c r="C23" s="83">
        <f>TRUE()</f>
        <v/>
      </c>
      <c r="D23" s="83" t="inlineStr">
        <is>
          <t>Support activities for mining</t>
        </is>
      </c>
      <c r="E23" s="83" t="inlineStr">
        <is>
          <t>Other support activities for mining</t>
        </is>
      </c>
      <c r="F23" s="84" t="inlineStr">
        <is>
          <t>21311A</t>
        </is>
      </c>
      <c r="G23" s="83" t="n">
        <v>0</v>
      </c>
      <c r="H23" s="83" t="n">
        <v>0</v>
      </c>
      <c r="I23" s="88">
        <f>G23/H23</f>
        <v/>
      </c>
    </row>
    <row r="24" ht="13.8" customHeight="1" s="82">
      <c r="A24" s="83" t="inlineStr">
        <is>
          <t>221100</t>
        </is>
      </c>
      <c r="B24" s="83" t="inlineStr">
        <is>
          <t>22</t>
        </is>
      </c>
      <c r="C24" s="83">
        <f>TRUE()</f>
        <v/>
      </c>
      <c r="D24" s="83" t="inlineStr">
        <is>
          <t>Utilities</t>
        </is>
      </c>
      <c r="E24" s="83" t="inlineStr">
        <is>
          <t>Electric power generation, transmission, and distribution</t>
        </is>
      </c>
      <c r="F24" s="84" t="inlineStr">
        <is>
          <t>221100</t>
        </is>
      </c>
      <c r="G24" s="83" t="n">
        <v>234797</v>
      </c>
      <c r="H24" s="83" t="n">
        <v>177661</v>
      </c>
      <c r="I24" s="88">
        <f>G24/H24</f>
        <v/>
      </c>
    </row>
    <row r="25" ht="13.8" customHeight="1" s="82">
      <c r="A25" s="83" t="inlineStr">
        <is>
          <t>221200</t>
        </is>
      </c>
      <c r="B25" s="83" t="inlineStr">
        <is>
          <t>22</t>
        </is>
      </c>
      <c r="C25" s="83">
        <f>TRUE()</f>
        <v/>
      </c>
      <c r="D25" s="83" t="inlineStr">
        <is>
          <t>Utilities</t>
        </is>
      </c>
      <c r="E25" s="83" t="inlineStr">
        <is>
          <t>Natural gas distribution</t>
        </is>
      </c>
      <c r="F25" s="84" t="inlineStr">
        <is>
          <t>221200</t>
        </is>
      </c>
      <c r="G25" s="83" t="n">
        <v>79001</v>
      </c>
      <c r="H25" s="83" t="n">
        <v>48152</v>
      </c>
      <c r="I25" s="88">
        <f>G25/H25</f>
        <v/>
      </c>
    </row>
    <row r="26" ht="13.8" customHeight="1" s="82">
      <c r="A26" s="83" t="inlineStr">
        <is>
          <t>221300</t>
        </is>
      </c>
      <c r="B26" s="83" t="inlineStr">
        <is>
          <t>22</t>
        </is>
      </c>
      <c r="C26" s="83">
        <f>TRUE()</f>
        <v/>
      </c>
      <c r="D26" s="83" t="inlineStr">
        <is>
          <t>Utilities</t>
        </is>
      </c>
      <c r="E26" s="83" t="inlineStr">
        <is>
          <t>Water, sewage and other systems</t>
        </is>
      </c>
      <c r="F26" s="84" t="inlineStr">
        <is>
          <t>221300</t>
        </is>
      </c>
      <c r="G26" s="83" t="n">
        <v>47430</v>
      </c>
      <c r="H26" s="83" t="n">
        <v>39603</v>
      </c>
      <c r="I26" s="88">
        <f>G26/H26</f>
        <v/>
      </c>
    </row>
    <row r="27" ht="13.8" customHeight="1" s="82">
      <c r="A27" s="83" t="inlineStr">
        <is>
          <t>230301</t>
        </is>
      </c>
      <c r="B27" s="83" t="inlineStr">
        <is>
          <t>23</t>
        </is>
      </c>
      <c r="C27" s="83">
        <f>TRUE()</f>
        <v/>
      </c>
      <c r="D27" s="83" t="inlineStr">
        <is>
          <t>Construction</t>
        </is>
      </c>
      <c r="E27" s="83" t="inlineStr">
        <is>
          <t>Nonresidential maintenance and repair</t>
        </is>
      </c>
      <c r="F27" s="84" t="inlineStr">
        <is>
          <t>230301</t>
        </is>
      </c>
      <c r="G27" s="83" t="n">
        <v>0</v>
      </c>
      <c r="H27" s="83" t="n">
        <v>0</v>
      </c>
      <c r="I27" s="88">
        <f>G27/H27</f>
        <v/>
      </c>
    </row>
    <row r="28" ht="13.8" customHeight="1" s="82">
      <c r="A28" s="83" t="inlineStr">
        <is>
          <t>230302</t>
        </is>
      </c>
      <c r="B28" s="83" t="inlineStr">
        <is>
          <t>23</t>
        </is>
      </c>
      <c r="C28" s="83">
        <f>TRUE()</f>
        <v/>
      </c>
      <c r="D28" s="83" t="inlineStr">
        <is>
          <t>Construction</t>
        </is>
      </c>
      <c r="E28" s="83" t="inlineStr">
        <is>
          <t>Residential maintenance and repair</t>
        </is>
      </c>
      <c r="F28" s="84" t="inlineStr">
        <is>
          <t>230302</t>
        </is>
      </c>
      <c r="G28" s="83" t="n">
        <v>0</v>
      </c>
      <c r="H28" s="83" t="n">
        <v>0</v>
      </c>
      <c r="I28" s="88">
        <f>G28/H28</f>
        <v/>
      </c>
    </row>
    <row r="29" ht="13.8" customHeight="1" s="82">
      <c r="A29" s="83" t="inlineStr">
        <is>
          <t>233210</t>
        </is>
      </c>
      <c r="B29" s="83" t="inlineStr">
        <is>
          <t>23</t>
        </is>
      </c>
      <c r="C29" s="83">
        <f>TRUE()</f>
        <v/>
      </c>
      <c r="D29" s="83" t="inlineStr">
        <is>
          <t>Construction</t>
        </is>
      </c>
      <c r="E29" s="83" t="inlineStr">
        <is>
          <t>Health care structures</t>
        </is>
      </c>
      <c r="F29" s="84" t="inlineStr">
        <is>
          <t>233210</t>
        </is>
      </c>
      <c r="G29" s="83" t="n">
        <v>0</v>
      </c>
      <c r="H29" s="83" t="n">
        <v>0</v>
      </c>
      <c r="I29" s="88">
        <f>G29/H29</f>
        <v/>
      </c>
    </row>
    <row r="30" ht="13.8" customHeight="1" s="82">
      <c r="A30" s="83" t="inlineStr">
        <is>
          <t>233230</t>
        </is>
      </c>
      <c r="B30" s="83" t="inlineStr">
        <is>
          <t>23</t>
        </is>
      </c>
      <c r="C30" s="83">
        <f>TRUE()</f>
        <v/>
      </c>
      <c r="D30" s="83" t="inlineStr">
        <is>
          <t>Construction</t>
        </is>
      </c>
      <c r="E30" s="83" t="inlineStr">
        <is>
          <t>Manufacturing structures</t>
        </is>
      </c>
      <c r="F30" s="84" t="inlineStr">
        <is>
          <t>233230</t>
        </is>
      </c>
      <c r="G30" s="83" t="n">
        <v>0</v>
      </c>
      <c r="H30" s="83" t="n">
        <v>0</v>
      </c>
      <c r="I30" s="88">
        <f>G30/H30</f>
        <v/>
      </c>
    </row>
    <row r="31" ht="13.8" customHeight="1" s="82">
      <c r="A31" s="83" t="inlineStr">
        <is>
          <t>233240</t>
        </is>
      </c>
      <c r="B31" s="83" t="inlineStr">
        <is>
          <t>23</t>
        </is>
      </c>
      <c r="C31" s="83">
        <f>TRUE()</f>
        <v/>
      </c>
      <c r="D31" s="83" t="inlineStr">
        <is>
          <t>Construction</t>
        </is>
      </c>
      <c r="E31" s="83" t="inlineStr">
        <is>
          <t>Power and communication structures</t>
        </is>
      </c>
      <c r="F31" s="84" t="inlineStr">
        <is>
          <t>233240</t>
        </is>
      </c>
      <c r="G31" s="83" t="n">
        <v>0</v>
      </c>
      <c r="H31" s="83" t="n">
        <v>0</v>
      </c>
      <c r="I31" s="88">
        <f>G31/H31</f>
        <v/>
      </c>
    </row>
    <row r="32" ht="13.8" customHeight="1" s="82">
      <c r="A32" s="83" t="inlineStr">
        <is>
          <t>233262</t>
        </is>
      </c>
      <c r="B32" s="83" t="inlineStr">
        <is>
          <t>23</t>
        </is>
      </c>
      <c r="C32" s="83">
        <f>TRUE()</f>
        <v/>
      </c>
      <c r="D32" s="83" t="inlineStr">
        <is>
          <t>Construction</t>
        </is>
      </c>
      <c r="E32" s="83" t="inlineStr">
        <is>
          <t>Educational and vocational structures</t>
        </is>
      </c>
      <c r="F32" s="84" t="inlineStr">
        <is>
          <t>233262</t>
        </is>
      </c>
      <c r="G32" s="83" t="n">
        <v>0</v>
      </c>
      <c r="H32" s="83" t="n">
        <v>0</v>
      </c>
      <c r="I32" s="88">
        <f>G32/H32</f>
        <v/>
      </c>
    </row>
    <row r="33" ht="13.8" customHeight="1" s="82">
      <c r="A33" s="83" t="inlineStr">
        <is>
          <t>2332A0</t>
        </is>
      </c>
      <c r="B33" s="83" t="inlineStr">
        <is>
          <t>23</t>
        </is>
      </c>
      <c r="C33" s="83">
        <f>TRUE()</f>
        <v/>
      </c>
      <c r="D33" s="83" t="inlineStr">
        <is>
          <t>Construction</t>
        </is>
      </c>
      <c r="E33" s="83" t="inlineStr">
        <is>
          <t>Office and commercial structures</t>
        </is>
      </c>
      <c r="F33" s="84" t="inlineStr">
        <is>
          <t>2332A0</t>
        </is>
      </c>
      <c r="G33" s="83" t="n">
        <v>0</v>
      </c>
      <c r="H33" s="83" t="n">
        <v>0</v>
      </c>
      <c r="I33" s="88">
        <f>G33/H33</f>
        <v/>
      </c>
    </row>
    <row r="34" ht="13.8" customHeight="1" s="82">
      <c r="A34" s="83" t="inlineStr">
        <is>
          <t>2332C0</t>
        </is>
      </c>
      <c r="B34" s="83" t="inlineStr">
        <is>
          <t>23</t>
        </is>
      </c>
      <c r="C34" s="83">
        <f>TRUE()</f>
        <v/>
      </c>
      <c r="D34" s="83" t="inlineStr">
        <is>
          <t>Construction</t>
        </is>
      </c>
      <c r="E34" s="83" t="inlineStr">
        <is>
          <t>Transportation structures and highways and streets</t>
        </is>
      </c>
      <c r="F34" s="84" t="inlineStr">
        <is>
          <t>2332C0</t>
        </is>
      </c>
      <c r="G34" s="83" t="n">
        <v>0</v>
      </c>
      <c r="H34" s="83" t="n">
        <v>0</v>
      </c>
      <c r="I34" s="88">
        <f>G34/H34</f>
        <v/>
      </c>
    </row>
    <row r="35" ht="13.8" customHeight="1" s="82">
      <c r="A35" s="83" t="inlineStr">
        <is>
          <t>2332D0</t>
        </is>
      </c>
      <c r="B35" s="83" t="inlineStr">
        <is>
          <t>23</t>
        </is>
      </c>
      <c r="C35" s="83">
        <f>TRUE()</f>
        <v/>
      </c>
      <c r="D35" s="83" t="inlineStr">
        <is>
          <t>Construction</t>
        </is>
      </c>
      <c r="E35" s="83" t="inlineStr">
        <is>
          <t>Other nonresidential structures</t>
        </is>
      </c>
      <c r="F35" s="84" t="inlineStr">
        <is>
          <t>2332D0</t>
        </is>
      </c>
      <c r="G35" s="83" t="n">
        <v>0</v>
      </c>
      <c r="H35" s="83" t="n">
        <v>0</v>
      </c>
      <c r="I35" s="88">
        <f>G35/H35</f>
        <v/>
      </c>
    </row>
    <row r="36" ht="13.8" customHeight="1" s="82">
      <c r="A36" s="83" t="inlineStr">
        <is>
          <t>233411</t>
        </is>
      </c>
      <c r="B36" s="83" t="inlineStr">
        <is>
          <t>23</t>
        </is>
      </c>
      <c r="C36" s="83">
        <f>TRUE()</f>
        <v/>
      </c>
      <c r="D36" s="83" t="inlineStr">
        <is>
          <t>Construction</t>
        </is>
      </c>
      <c r="E36" s="83" t="inlineStr">
        <is>
          <t>Single-family residential structures</t>
        </is>
      </c>
      <c r="F36" s="84" t="inlineStr">
        <is>
          <t>233411</t>
        </is>
      </c>
      <c r="G36" s="83" t="n">
        <v>0</v>
      </c>
      <c r="H36" s="83" t="n">
        <v>0</v>
      </c>
      <c r="I36" s="88">
        <f>G36/H36</f>
        <v/>
      </c>
    </row>
    <row r="37" ht="13.8" customHeight="1" s="82">
      <c r="A37" s="83" t="inlineStr">
        <is>
          <t>233412</t>
        </is>
      </c>
      <c r="B37" s="83" t="inlineStr">
        <is>
          <t>23</t>
        </is>
      </c>
      <c r="C37" s="83">
        <f>TRUE()</f>
        <v/>
      </c>
      <c r="D37" s="83" t="inlineStr">
        <is>
          <t>Construction</t>
        </is>
      </c>
      <c r="E37" s="83" t="inlineStr">
        <is>
          <t>Multifamily residential structures</t>
        </is>
      </c>
      <c r="F37" s="84" t="inlineStr">
        <is>
          <t>233412</t>
        </is>
      </c>
      <c r="G37" s="83" t="n">
        <v>0</v>
      </c>
      <c r="H37" s="83" t="n">
        <v>0</v>
      </c>
      <c r="I37" s="88">
        <f>G37/H37</f>
        <v/>
      </c>
    </row>
    <row r="38" ht="13.8" customHeight="1" s="82">
      <c r="A38" s="83" t="inlineStr">
        <is>
          <t>2334A0</t>
        </is>
      </c>
      <c r="B38" s="83" t="inlineStr">
        <is>
          <t>23</t>
        </is>
      </c>
      <c r="C38" s="83">
        <f>TRUE()</f>
        <v/>
      </c>
      <c r="D38" s="83" t="inlineStr">
        <is>
          <t>Construction</t>
        </is>
      </c>
      <c r="E38" s="83" t="inlineStr">
        <is>
          <t>Other residential structures</t>
        </is>
      </c>
      <c r="F38" s="84" t="inlineStr">
        <is>
          <t>2334A0</t>
        </is>
      </c>
      <c r="G38" s="83" t="n">
        <v>0</v>
      </c>
      <c r="H38" s="83" t="n">
        <v>0</v>
      </c>
      <c r="I38" s="88">
        <f>G38/H38</f>
        <v/>
      </c>
    </row>
    <row r="39" ht="13.8" customHeight="1" s="82">
      <c r="A39" s="83" t="inlineStr">
        <is>
          <t>311111</t>
        </is>
      </c>
      <c r="B39" s="83" t="inlineStr">
        <is>
          <t>311FT</t>
        </is>
      </c>
      <c r="C39" s="83">
        <f>TRUE()</f>
        <v/>
      </c>
      <c r="D39" s="83" t="inlineStr">
        <is>
          <t>Food and beverage and tobacco products</t>
        </is>
      </c>
      <c r="E39" s="83" t="inlineStr">
        <is>
          <t>Dog and cat food manufacturing</t>
        </is>
      </c>
      <c r="F39" s="84" t="inlineStr">
        <is>
          <t>311111</t>
        </is>
      </c>
      <c r="G39" s="83" t="n">
        <v>64351</v>
      </c>
      <c r="H39" s="83" t="n">
        <v>40451</v>
      </c>
      <c r="I39" s="88">
        <f>G39/H39</f>
        <v/>
      </c>
    </row>
    <row r="40" ht="13.8" customHeight="1" s="82">
      <c r="A40" s="83" t="inlineStr">
        <is>
          <t>311119</t>
        </is>
      </c>
      <c r="B40" s="83" t="inlineStr">
        <is>
          <t>311FT</t>
        </is>
      </c>
      <c r="C40" s="83">
        <f>TRUE()</f>
        <v/>
      </c>
      <c r="D40" s="83" t="inlineStr">
        <is>
          <t>Food and beverage and tobacco products</t>
        </is>
      </c>
      <c r="E40" s="83" t="inlineStr">
        <is>
          <t>Other animal food manufacturing</t>
        </is>
      </c>
      <c r="F40" s="84" t="inlineStr">
        <is>
          <t>311119</t>
        </is>
      </c>
      <c r="G40" s="83" t="n">
        <v>9545</v>
      </c>
      <c r="H40" s="83" t="n">
        <v>6000</v>
      </c>
      <c r="I40" s="88">
        <f>G40/H40</f>
        <v/>
      </c>
    </row>
    <row r="41" ht="13.8" customHeight="1" s="82">
      <c r="A41" s="83" t="inlineStr">
        <is>
          <t>311210</t>
        </is>
      </c>
      <c r="B41" s="83" t="inlineStr">
        <is>
          <t>311FT</t>
        </is>
      </c>
      <c r="C41" s="83">
        <f>TRUE()</f>
        <v/>
      </c>
      <c r="D41" s="83" t="inlineStr">
        <is>
          <t>Food and beverage and tobacco products</t>
        </is>
      </c>
      <c r="E41" s="83" t="inlineStr">
        <is>
          <t>Flour milling and malt manufacturing</t>
        </is>
      </c>
      <c r="F41" s="84" t="inlineStr">
        <is>
          <t>311210</t>
        </is>
      </c>
      <c r="G41" s="83" t="n">
        <v>7722</v>
      </c>
      <c r="H41" s="83" t="n">
        <v>5598</v>
      </c>
      <c r="I41" s="88">
        <f>G41/H41</f>
        <v/>
      </c>
    </row>
    <row r="42" ht="13.8" customHeight="1" s="82">
      <c r="A42" s="83" t="inlineStr">
        <is>
          <t>311221</t>
        </is>
      </c>
      <c r="B42" s="83" t="inlineStr">
        <is>
          <t>311FT</t>
        </is>
      </c>
      <c r="C42" s="83">
        <f>TRUE()</f>
        <v/>
      </c>
      <c r="D42" s="83" t="inlineStr">
        <is>
          <t>Food and beverage and tobacco products</t>
        </is>
      </c>
      <c r="E42" s="83" t="inlineStr">
        <is>
          <t>Wet corn milling</t>
        </is>
      </c>
      <c r="F42" s="84" t="inlineStr">
        <is>
          <t>311221</t>
        </is>
      </c>
      <c r="G42" s="83" t="n">
        <v>4285</v>
      </c>
      <c r="H42" s="83" t="n">
        <v>3204</v>
      </c>
      <c r="I42" s="88">
        <f>G42/H42</f>
        <v/>
      </c>
    </row>
    <row r="43" ht="13.8" customHeight="1" s="82">
      <c r="A43" s="83" t="inlineStr">
        <is>
          <t>311224</t>
        </is>
      </c>
      <c r="B43" s="83" t="inlineStr">
        <is>
          <t>311FT</t>
        </is>
      </c>
      <c r="C43" s="83">
        <f>TRUE()</f>
        <v/>
      </c>
      <c r="D43" s="83" t="inlineStr">
        <is>
          <t>Food and beverage and tobacco products</t>
        </is>
      </c>
      <c r="E43" s="83" t="inlineStr">
        <is>
          <t>Soybean and other oilseed processing</t>
        </is>
      </c>
      <c r="F43" s="84" t="inlineStr">
        <is>
          <t>311224</t>
        </is>
      </c>
      <c r="G43" s="83" t="n">
        <v>6854</v>
      </c>
      <c r="H43" s="83" t="n">
        <v>5006</v>
      </c>
      <c r="I43" s="88">
        <f>G43/H43</f>
        <v/>
      </c>
    </row>
    <row r="44" ht="13.8" customHeight="1" s="82">
      <c r="A44" s="83" t="inlineStr">
        <is>
          <t>311225</t>
        </is>
      </c>
      <c r="B44" s="83" t="inlineStr">
        <is>
          <t>311FT</t>
        </is>
      </c>
      <c r="C44" s="83">
        <f>TRUE()</f>
        <v/>
      </c>
      <c r="D44" s="83" t="inlineStr">
        <is>
          <t>Food and beverage and tobacco products</t>
        </is>
      </c>
      <c r="E44" s="83" t="inlineStr">
        <is>
          <t>Fats and oils refining and blending</t>
        </is>
      </c>
      <c r="F44" s="84" t="inlineStr">
        <is>
          <t>311225</t>
        </is>
      </c>
      <c r="G44" s="83" t="n">
        <v>7435</v>
      </c>
      <c r="H44" s="83" t="n">
        <v>5469</v>
      </c>
      <c r="I44" s="88">
        <f>G44/H44</f>
        <v/>
      </c>
    </row>
    <row r="45" ht="13.8" customHeight="1" s="82">
      <c r="A45" s="83" t="inlineStr">
        <is>
          <t>311230</t>
        </is>
      </c>
      <c r="B45" s="83" t="inlineStr">
        <is>
          <t>311FT</t>
        </is>
      </c>
      <c r="C45" s="83">
        <f>TRUE()</f>
        <v/>
      </c>
      <c r="D45" s="83" t="inlineStr">
        <is>
          <t>Food and beverage and tobacco products</t>
        </is>
      </c>
      <c r="E45" s="83" t="inlineStr">
        <is>
          <t>Breakfast cereal manufacturing</t>
        </is>
      </c>
      <c r="F45" s="84" t="inlineStr">
        <is>
          <t>311230</t>
        </is>
      </c>
      <c r="G45" s="83" t="n">
        <v>22309</v>
      </c>
      <c r="H45" s="83" t="n">
        <v>16361</v>
      </c>
      <c r="I45" s="88">
        <f>G45/H45</f>
        <v/>
      </c>
    </row>
    <row r="46" ht="13.8" customHeight="1" s="82">
      <c r="A46" s="83" t="inlineStr">
        <is>
          <t>311300</t>
        </is>
      </c>
      <c r="B46" s="83" t="inlineStr">
        <is>
          <t>311FT</t>
        </is>
      </c>
      <c r="C46" s="83">
        <f>TRUE()</f>
        <v/>
      </c>
      <c r="D46" s="83" t="inlineStr">
        <is>
          <t>Food and beverage and tobacco products</t>
        </is>
      </c>
      <c r="E46" s="83" t="inlineStr">
        <is>
          <t>Sugar and confectionery product manufacturing</t>
        </is>
      </c>
      <c r="F46" s="84" t="inlineStr">
        <is>
          <t>311300</t>
        </is>
      </c>
      <c r="G46" s="83" t="n">
        <v>64774</v>
      </c>
      <c r="H46" s="83" t="n">
        <v>47396</v>
      </c>
      <c r="I46" s="88">
        <f>G46/H46</f>
        <v/>
      </c>
    </row>
    <row r="47" ht="13.8" customHeight="1" s="82">
      <c r="A47" s="83" t="inlineStr">
        <is>
          <t>311410</t>
        </is>
      </c>
      <c r="B47" s="83" t="inlineStr">
        <is>
          <t>311FT</t>
        </is>
      </c>
      <c r="C47" s="83">
        <f>TRUE()</f>
        <v/>
      </c>
      <c r="D47" s="83" t="inlineStr">
        <is>
          <t>Food and beverage and tobacco products</t>
        </is>
      </c>
      <c r="E47" s="83" t="inlineStr">
        <is>
          <t>Frozen food manufacturing</t>
        </is>
      </c>
      <c r="F47" s="84" t="inlineStr">
        <is>
          <t>311410</t>
        </is>
      </c>
      <c r="G47" s="83" t="n">
        <v>68170</v>
      </c>
      <c r="H47" s="83" t="n">
        <v>49939</v>
      </c>
      <c r="I47" s="88">
        <f>G47/H47</f>
        <v/>
      </c>
    </row>
    <row r="48" ht="13.8" customHeight="1" s="82">
      <c r="A48" s="83" t="inlineStr">
        <is>
          <t>311420</t>
        </is>
      </c>
      <c r="B48" s="83" t="inlineStr">
        <is>
          <t>311FT</t>
        </is>
      </c>
      <c r="C48" s="83">
        <f>TRUE()</f>
        <v/>
      </c>
      <c r="D48" s="83" t="inlineStr">
        <is>
          <t>Food and beverage and tobacco products</t>
        </is>
      </c>
      <c r="E48" s="83" t="inlineStr">
        <is>
          <t>Fruit and vegetable canning, pickling, and drying</t>
        </is>
      </c>
      <c r="F48" s="84" t="inlineStr">
        <is>
          <t>311420</t>
        </is>
      </c>
      <c r="G48" s="83" t="n">
        <v>62872</v>
      </c>
      <c r="H48" s="83" t="n">
        <v>46064</v>
      </c>
      <c r="I48" s="88">
        <f>G48/H48</f>
        <v/>
      </c>
    </row>
    <row r="49" ht="13.8" customHeight="1" s="82">
      <c r="A49" s="83" t="inlineStr">
        <is>
          <t>311513</t>
        </is>
      </c>
      <c r="B49" s="83" t="inlineStr">
        <is>
          <t>311FT</t>
        </is>
      </c>
      <c r="C49" s="83">
        <f>TRUE()</f>
        <v/>
      </c>
      <c r="D49" s="83" t="inlineStr">
        <is>
          <t>Food and beverage and tobacco products</t>
        </is>
      </c>
      <c r="E49" s="83" t="inlineStr">
        <is>
          <t>Cheese manufacturing</t>
        </is>
      </c>
      <c r="F49" s="84" t="inlineStr">
        <is>
          <t>311513</t>
        </is>
      </c>
      <c r="G49" s="83" t="n">
        <v>38564</v>
      </c>
      <c r="H49" s="83" t="n">
        <v>28347</v>
      </c>
      <c r="I49" s="88">
        <f>G49/H49</f>
        <v/>
      </c>
    </row>
    <row r="50" ht="13.8" customHeight="1" s="82">
      <c r="A50" s="83" t="inlineStr">
        <is>
          <t>311514</t>
        </is>
      </c>
      <c r="B50" s="83" t="inlineStr">
        <is>
          <t>311FT</t>
        </is>
      </c>
      <c r="C50" s="83">
        <f>TRUE()</f>
        <v/>
      </c>
      <c r="D50" s="83" t="inlineStr">
        <is>
          <t>Food and beverage and tobacco products</t>
        </is>
      </c>
      <c r="E50" s="83" t="inlineStr">
        <is>
          <t>Dry, condensed, and evaporated dairy product manufacturing</t>
        </is>
      </c>
      <c r="F50" s="84" t="inlineStr">
        <is>
          <t>311514</t>
        </is>
      </c>
      <c r="G50" s="83" t="n">
        <v>23619</v>
      </c>
      <c r="H50" s="83" t="n">
        <v>17285</v>
      </c>
      <c r="I50" s="88">
        <f>G50/H50</f>
        <v/>
      </c>
    </row>
    <row r="51" ht="13.8" customHeight="1" s="82">
      <c r="A51" s="83" t="inlineStr">
        <is>
          <t>31151A</t>
        </is>
      </c>
      <c r="B51" s="83" t="inlineStr">
        <is>
          <t>311FT</t>
        </is>
      </c>
      <c r="C51" s="83">
        <f>TRUE()</f>
        <v/>
      </c>
      <c r="D51" s="83" t="inlineStr">
        <is>
          <t>Food and beverage and tobacco products</t>
        </is>
      </c>
      <c r="E51" s="83" t="inlineStr">
        <is>
          <t>Fluid milk and butter manufacturing</t>
        </is>
      </c>
      <c r="F51" s="84" t="inlineStr">
        <is>
          <t>31151A</t>
        </is>
      </c>
      <c r="G51" s="83" t="n">
        <v>56008</v>
      </c>
      <c r="H51" s="83" t="n">
        <v>40988</v>
      </c>
      <c r="I51" s="88">
        <f>G51/H51</f>
        <v/>
      </c>
    </row>
    <row r="52" ht="13.8" customHeight="1" s="82">
      <c r="A52" s="83" t="inlineStr">
        <is>
          <t>311520</t>
        </is>
      </c>
      <c r="B52" s="83" t="inlineStr">
        <is>
          <t>311FT</t>
        </is>
      </c>
      <c r="C52" s="83">
        <f>TRUE()</f>
        <v/>
      </c>
      <c r="D52" s="83" t="inlineStr">
        <is>
          <t>Food and beverage and tobacco products</t>
        </is>
      </c>
      <c r="E52" s="83" t="inlineStr">
        <is>
          <t>Ice cream and frozen dessert manufacturing</t>
        </is>
      </c>
      <c r="F52" s="84" t="inlineStr">
        <is>
          <t>311520</t>
        </is>
      </c>
      <c r="G52" s="83" t="n">
        <v>4153</v>
      </c>
      <c r="H52" s="83" t="n">
        <v>3060</v>
      </c>
      <c r="I52" s="88">
        <f>G52/H52</f>
        <v/>
      </c>
    </row>
    <row r="53" ht="13.8" customHeight="1" s="82">
      <c r="A53" s="83" t="inlineStr">
        <is>
          <t>311615</t>
        </is>
      </c>
      <c r="B53" s="83" t="inlineStr">
        <is>
          <t>311FT</t>
        </is>
      </c>
      <c r="C53" s="83">
        <f>TRUE()</f>
        <v/>
      </c>
      <c r="D53" s="83" t="inlineStr">
        <is>
          <t>Food and beverage and tobacco products</t>
        </is>
      </c>
      <c r="E53" s="83" t="inlineStr">
        <is>
          <t>Poultry processing</t>
        </is>
      </c>
      <c r="F53" s="84" t="inlineStr">
        <is>
          <t>311615</t>
        </is>
      </c>
      <c r="G53" s="83" t="n">
        <v>77712</v>
      </c>
      <c r="H53" s="83" t="n">
        <v>57025</v>
      </c>
      <c r="I53" s="88">
        <f>G53/H53</f>
        <v/>
      </c>
    </row>
    <row r="54" ht="13.8" customHeight="1" s="82">
      <c r="A54" s="83" t="inlineStr">
        <is>
          <t>31161A</t>
        </is>
      </c>
      <c r="B54" s="83" t="inlineStr">
        <is>
          <t>311FT</t>
        </is>
      </c>
      <c r="C54" s="83">
        <f>TRUE()</f>
        <v/>
      </c>
      <c r="D54" s="83" t="inlineStr">
        <is>
          <t>Food and beverage and tobacco products</t>
        </is>
      </c>
      <c r="E54" s="83" t="inlineStr">
        <is>
          <t>Animal (except poultry) slaughtering, rendering, and processing</t>
        </is>
      </c>
      <c r="F54" s="84" t="inlineStr">
        <is>
          <t>31161A</t>
        </is>
      </c>
      <c r="G54" s="83" t="n">
        <v>161727</v>
      </c>
      <c r="H54" s="83" t="n">
        <v>118397</v>
      </c>
      <c r="I54" s="88">
        <f>G54/H54</f>
        <v/>
      </c>
    </row>
    <row r="55" ht="13.8" customHeight="1" s="82">
      <c r="A55" s="83" t="inlineStr">
        <is>
          <t>311700</t>
        </is>
      </c>
      <c r="B55" s="83" t="inlineStr">
        <is>
          <t>311FT</t>
        </is>
      </c>
      <c r="C55" s="83">
        <f>TRUE()</f>
        <v/>
      </c>
      <c r="D55" s="83" t="inlineStr">
        <is>
          <t>Food and beverage and tobacco products</t>
        </is>
      </c>
      <c r="E55" s="83" t="inlineStr">
        <is>
          <t>Seafood product preparation and packaging</t>
        </is>
      </c>
      <c r="F55" s="84" t="inlineStr">
        <is>
          <t>311700</t>
        </is>
      </c>
      <c r="G55" s="83" t="n">
        <v>14286</v>
      </c>
      <c r="H55" s="83" t="n">
        <v>10481</v>
      </c>
      <c r="I55" s="88">
        <f>G55/H55</f>
        <v/>
      </c>
    </row>
    <row r="56" ht="13.8" customHeight="1" s="82">
      <c r="A56" s="83" t="inlineStr">
        <is>
          <t>311810</t>
        </is>
      </c>
      <c r="B56" s="83" t="inlineStr">
        <is>
          <t>311FT</t>
        </is>
      </c>
      <c r="C56" s="83">
        <f>TRUE()</f>
        <v/>
      </c>
      <c r="D56" s="83" t="inlineStr">
        <is>
          <t>Food and beverage and tobacco products</t>
        </is>
      </c>
      <c r="E56" s="83" t="inlineStr">
        <is>
          <t>Bread and bakery product manufacturing</t>
        </is>
      </c>
      <c r="F56" s="84" t="inlineStr">
        <is>
          <t>311810</t>
        </is>
      </c>
      <c r="G56" s="83" t="n">
        <v>108178</v>
      </c>
      <c r="H56" s="83" t="n">
        <v>79279</v>
      </c>
      <c r="I56" s="88">
        <f>G56/H56</f>
        <v/>
      </c>
    </row>
    <row r="57" ht="13.8" customHeight="1" s="82">
      <c r="A57" s="83" t="inlineStr">
        <is>
          <t>3118A0</t>
        </is>
      </c>
      <c r="B57" s="83" t="inlineStr">
        <is>
          <t>311FT</t>
        </is>
      </c>
      <c r="C57" s="83">
        <f>TRUE()</f>
        <v/>
      </c>
      <c r="D57" s="83" t="inlineStr">
        <is>
          <t>Food and beverage and tobacco products</t>
        </is>
      </c>
      <c r="E57" s="83" t="inlineStr">
        <is>
          <t>Cookie, cracker, pasta, and tortilla manufacturing</t>
        </is>
      </c>
      <c r="F57" s="84" t="inlineStr">
        <is>
          <t>3118A0</t>
        </is>
      </c>
      <c r="G57" s="83" t="n">
        <v>52387</v>
      </c>
      <c r="H57" s="83" t="n">
        <v>38417</v>
      </c>
      <c r="I57" s="88">
        <f>G57/H57</f>
        <v/>
      </c>
    </row>
    <row r="58" ht="13.8" customHeight="1" s="82">
      <c r="A58" s="83" t="inlineStr">
        <is>
          <t>311910</t>
        </is>
      </c>
      <c r="B58" s="83" t="inlineStr">
        <is>
          <t>311FT</t>
        </is>
      </c>
      <c r="C58" s="83">
        <f>TRUE()</f>
        <v/>
      </c>
      <c r="D58" s="83" t="inlineStr">
        <is>
          <t>Food and beverage and tobacco products</t>
        </is>
      </c>
      <c r="E58" s="83" t="inlineStr">
        <is>
          <t>Snack food manufacturing</t>
        </is>
      </c>
      <c r="F58" s="84" t="inlineStr">
        <is>
          <t>311910</t>
        </is>
      </c>
      <c r="G58" s="83" t="n">
        <v>66810</v>
      </c>
      <c r="H58" s="83" t="n">
        <v>49024</v>
      </c>
      <c r="I58" s="88">
        <f>G58/H58</f>
        <v/>
      </c>
    </row>
    <row r="59" ht="13.8" customHeight="1" s="82">
      <c r="A59" s="83" t="inlineStr">
        <is>
          <t>311920</t>
        </is>
      </c>
      <c r="B59" s="83" t="inlineStr">
        <is>
          <t>311FT</t>
        </is>
      </c>
      <c r="C59" s="83">
        <f>TRUE()</f>
        <v/>
      </c>
      <c r="D59" s="83" t="inlineStr">
        <is>
          <t>Food and beverage and tobacco products</t>
        </is>
      </c>
      <c r="E59" s="83" t="inlineStr">
        <is>
          <t>Coffee and tea manufacturing</t>
        </is>
      </c>
      <c r="F59" s="84" t="inlineStr">
        <is>
          <t>311920</t>
        </is>
      </c>
      <c r="G59" s="83" t="n">
        <v>19028</v>
      </c>
      <c r="H59" s="83" t="n">
        <v>13961</v>
      </c>
      <c r="I59" s="88">
        <f>G59/H59</f>
        <v/>
      </c>
    </row>
    <row r="60" ht="13.8" customHeight="1" s="82">
      <c r="A60" s="83" t="inlineStr">
        <is>
          <t>311930</t>
        </is>
      </c>
      <c r="B60" s="83" t="inlineStr">
        <is>
          <t>311FT</t>
        </is>
      </c>
      <c r="C60" s="83">
        <f>TRUE()</f>
        <v/>
      </c>
      <c r="D60" s="83" t="inlineStr">
        <is>
          <t>Food and beverage and tobacco products</t>
        </is>
      </c>
      <c r="E60" s="83" t="inlineStr">
        <is>
          <t>Flavoring syrup and concentrate manufacturing</t>
        </is>
      </c>
      <c r="F60" s="84" t="inlineStr">
        <is>
          <t>311930</t>
        </is>
      </c>
      <c r="G60" s="83" t="n">
        <v>1356</v>
      </c>
      <c r="H60" s="83" t="n">
        <v>1000</v>
      </c>
      <c r="I60" s="88">
        <f>G60/H60</f>
        <v/>
      </c>
    </row>
    <row r="61" ht="13.8" customHeight="1" s="82">
      <c r="A61" s="83" t="inlineStr">
        <is>
          <t>311940</t>
        </is>
      </c>
      <c r="B61" s="83" t="inlineStr">
        <is>
          <t>311FT</t>
        </is>
      </c>
      <c r="C61" s="83">
        <f>TRUE()</f>
        <v/>
      </c>
      <c r="D61" s="83" t="inlineStr">
        <is>
          <t>Food and beverage and tobacco products</t>
        </is>
      </c>
      <c r="E61" s="83" t="inlineStr">
        <is>
          <t>Seasoning and dressing manufacturing</t>
        </is>
      </c>
      <c r="F61" s="84" t="inlineStr">
        <is>
          <t>311940</t>
        </is>
      </c>
      <c r="G61" s="83" t="n">
        <v>32886</v>
      </c>
      <c r="H61" s="83" t="n">
        <v>24121</v>
      </c>
      <c r="I61" s="88">
        <f>G61/H61</f>
        <v/>
      </c>
    </row>
    <row r="62" ht="13.8" customHeight="1" s="82">
      <c r="A62" s="83" t="inlineStr">
        <is>
          <t>311990</t>
        </is>
      </c>
      <c r="B62" s="83" t="inlineStr">
        <is>
          <t>311FT</t>
        </is>
      </c>
      <c r="C62" s="83">
        <f>TRUE()</f>
        <v/>
      </c>
      <c r="D62" s="83" t="inlineStr">
        <is>
          <t>Food and beverage and tobacco products</t>
        </is>
      </c>
      <c r="E62" s="83" t="inlineStr">
        <is>
          <t>All other food manufacturing</t>
        </is>
      </c>
      <c r="F62" s="84" t="inlineStr">
        <is>
          <t>311990</t>
        </is>
      </c>
      <c r="G62" s="83" t="n">
        <v>55879</v>
      </c>
      <c r="H62" s="83" t="n">
        <v>40848</v>
      </c>
      <c r="I62" s="88">
        <f>G62/H62</f>
        <v/>
      </c>
    </row>
    <row r="63" ht="13.8" customHeight="1" s="82">
      <c r="A63" s="83" t="inlineStr">
        <is>
          <t>312110</t>
        </is>
      </c>
      <c r="B63" s="83" t="inlineStr">
        <is>
          <t>311FT</t>
        </is>
      </c>
      <c r="C63" s="83">
        <f>FALSE()</f>
        <v/>
      </c>
      <c r="D63" s="83" t="inlineStr">
        <is>
          <t>Food and beverage and tobacco products</t>
        </is>
      </c>
      <c r="E63" s="83" t="inlineStr">
        <is>
          <t>Soft drink and ice manufacturing</t>
        </is>
      </c>
      <c r="F63" s="84" t="inlineStr">
        <is>
          <t>312110</t>
        </is>
      </c>
      <c r="G63" s="83" t="n">
        <v>102864</v>
      </c>
      <c r="H63" s="83" t="n">
        <v>75414</v>
      </c>
      <c r="I63" s="88">
        <f>G63/H63</f>
        <v/>
      </c>
    </row>
    <row r="64" ht="13.8" customHeight="1" s="82">
      <c r="A64" s="83" t="inlineStr">
        <is>
          <t>312120</t>
        </is>
      </c>
      <c r="B64" s="83" t="inlineStr">
        <is>
          <t>311FT</t>
        </is>
      </c>
      <c r="C64" s="83">
        <f>FALSE()</f>
        <v/>
      </c>
      <c r="D64" s="83" t="inlineStr">
        <is>
          <t>Food and beverage and tobacco products</t>
        </is>
      </c>
      <c r="E64" s="83" t="inlineStr">
        <is>
          <t>Breweries</t>
        </is>
      </c>
      <c r="F64" s="84" t="inlineStr">
        <is>
          <t>312120</t>
        </is>
      </c>
      <c r="G64" s="83" t="n">
        <v>94376</v>
      </c>
      <c r="H64" s="83" t="n">
        <v>65044</v>
      </c>
      <c r="I64" s="88">
        <f>G64/H64</f>
        <v/>
      </c>
    </row>
    <row r="65" ht="13.8" customHeight="1" s="82">
      <c r="A65" s="83" t="inlineStr">
        <is>
          <t>312130</t>
        </is>
      </c>
      <c r="B65" s="83" t="inlineStr">
        <is>
          <t>311FT</t>
        </is>
      </c>
      <c r="C65" s="83">
        <f>FALSE()</f>
        <v/>
      </c>
      <c r="D65" s="83" t="inlineStr">
        <is>
          <t>Food and beverage and tobacco products</t>
        </is>
      </c>
      <c r="E65" s="83" t="inlineStr">
        <is>
          <t>Wineries</t>
        </is>
      </c>
      <c r="F65" s="84" t="inlineStr">
        <is>
          <t>312130</t>
        </is>
      </c>
      <c r="G65" s="83" t="n">
        <v>68466</v>
      </c>
      <c r="H65" s="83" t="n">
        <v>47187</v>
      </c>
      <c r="I65" s="88">
        <f>G65/H65</f>
        <v/>
      </c>
    </row>
    <row r="66" ht="13.8" customHeight="1" s="82">
      <c r="A66" s="83" t="inlineStr">
        <is>
          <t>312140</t>
        </is>
      </c>
      <c r="B66" s="83" t="inlineStr">
        <is>
          <t>311FT</t>
        </is>
      </c>
      <c r="C66" s="83">
        <f>FALSE()</f>
        <v/>
      </c>
      <c r="D66" s="83" t="inlineStr">
        <is>
          <t>Food and beverage and tobacco products</t>
        </is>
      </c>
      <c r="E66" s="83" t="inlineStr">
        <is>
          <t>Distilleries</t>
        </is>
      </c>
      <c r="F66" s="84" t="inlineStr">
        <is>
          <t>312140</t>
        </is>
      </c>
      <c r="G66" s="83" t="n">
        <v>47597</v>
      </c>
      <c r="H66" s="83" t="n">
        <v>32804</v>
      </c>
      <c r="I66" s="88">
        <f>G66/H66</f>
        <v/>
      </c>
    </row>
    <row r="67" ht="13.8" customHeight="1" s="82">
      <c r="A67" s="83" t="inlineStr">
        <is>
          <t>312200</t>
        </is>
      </c>
      <c r="B67" s="83" t="inlineStr">
        <is>
          <t>311FT</t>
        </is>
      </c>
      <c r="C67" s="83">
        <f>FALSE()</f>
        <v/>
      </c>
      <c r="D67" s="83" t="inlineStr">
        <is>
          <t>Food and beverage and tobacco products</t>
        </is>
      </c>
      <c r="E67" s="83" t="inlineStr">
        <is>
          <t>Tobacco manufacturing</t>
        </is>
      </c>
      <c r="F67" s="84" t="inlineStr">
        <is>
          <t>312200</t>
        </is>
      </c>
      <c r="G67" s="83" t="n">
        <v>122447</v>
      </c>
      <c r="H67" s="83" t="n">
        <v>114963</v>
      </c>
      <c r="I67" s="88">
        <f>G67/H67</f>
        <v/>
      </c>
    </row>
    <row r="68" ht="13.8" customHeight="1" s="82">
      <c r="A68" s="83" t="inlineStr">
        <is>
          <t>313100</t>
        </is>
      </c>
      <c r="B68" s="83" t="inlineStr">
        <is>
          <t>313TT</t>
        </is>
      </c>
      <c r="C68" s="83">
        <f>TRUE()</f>
        <v/>
      </c>
      <c r="D68" s="83" t="inlineStr">
        <is>
          <t>Textile mills and textile product mills</t>
        </is>
      </c>
      <c r="E68" s="83" t="inlineStr">
        <is>
          <t>Fiber, yarn, and thread mills</t>
        </is>
      </c>
      <c r="F68" s="84" t="inlineStr">
        <is>
          <t>313100</t>
        </is>
      </c>
      <c r="G68" s="83" t="n">
        <v>147</v>
      </c>
      <c r="H68" s="83" t="n">
        <v>111</v>
      </c>
      <c r="I68" s="88">
        <f>G68/H68</f>
        <v/>
      </c>
    </row>
    <row r="69" ht="13.8" customHeight="1" s="82">
      <c r="A69" s="83" t="inlineStr">
        <is>
          <t>313200</t>
        </is>
      </c>
      <c r="B69" s="83" t="inlineStr">
        <is>
          <t>313TT</t>
        </is>
      </c>
      <c r="C69" s="83">
        <f>TRUE()</f>
        <v/>
      </c>
      <c r="D69" s="83" t="inlineStr">
        <is>
          <t>Textile mills and textile product mills</t>
        </is>
      </c>
      <c r="E69" s="83" t="inlineStr">
        <is>
          <t>Fabric mills</t>
        </is>
      </c>
      <c r="F69" s="84" t="inlineStr">
        <is>
          <t>313200</t>
        </is>
      </c>
      <c r="G69" s="83" t="n">
        <v>2905</v>
      </c>
      <c r="H69" s="83" t="n">
        <v>2236</v>
      </c>
      <c r="I69" s="88">
        <f>G69/H69</f>
        <v/>
      </c>
    </row>
    <row r="70" ht="13.8" customHeight="1" s="82">
      <c r="A70" s="83" t="inlineStr">
        <is>
          <t>313300</t>
        </is>
      </c>
      <c r="B70" s="83" t="inlineStr">
        <is>
          <t>313TT</t>
        </is>
      </c>
      <c r="C70" s="83">
        <f>TRUE()</f>
        <v/>
      </c>
      <c r="D70" s="83" t="inlineStr">
        <is>
          <t>Textile mills and textile product mills</t>
        </is>
      </c>
      <c r="E70" s="83" t="inlineStr">
        <is>
          <t>Textile and fabric finishing and fabric coating mills</t>
        </is>
      </c>
      <c r="F70" s="84" t="inlineStr">
        <is>
          <t>313300</t>
        </is>
      </c>
      <c r="G70" s="83" t="n">
        <v>1635</v>
      </c>
      <c r="H70" s="83" t="n">
        <v>1293</v>
      </c>
      <c r="I70" s="88">
        <f>G70/H70</f>
        <v/>
      </c>
    </row>
    <row r="71" ht="13.8" customHeight="1" s="82">
      <c r="A71" s="83" t="inlineStr">
        <is>
          <t>314110</t>
        </is>
      </c>
      <c r="B71" s="83" t="inlineStr">
        <is>
          <t>313TT</t>
        </is>
      </c>
      <c r="C71" s="83">
        <f>FALSE()</f>
        <v/>
      </c>
      <c r="D71" s="83" t="inlineStr">
        <is>
          <t>Textile mills and textile product mills</t>
        </is>
      </c>
      <c r="E71" s="83" t="inlineStr">
        <is>
          <t>Carpet and rug mills</t>
        </is>
      </c>
      <c r="F71" s="84" t="inlineStr">
        <is>
          <t>314110</t>
        </is>
      </c>
      <c r="G71" s="83" t="n">
        <v>25309</v>
      </c>
      <c r="H71" s="83" t="n">
        <v>16826</v>
      </c>
      <c r="I71" s="88">
        <f>G71/H71</f>
        <v/>
      </c>
    </row>
    <row r="72" ht="13.8" customHeight="1" s="82">
      <c r="A72" s="83" t="inlineStr">
        <is>
          <t>314120</t>
        </is>
      </c>
      <c r="B72" s="83" t="inlineStr">
        <is>
          <t>313TT</t>
        </is>
      </c>
      <c r="C72" s="83">
        <f>FALSE()</f>
        <v/>
      </c>
      <c r="D72" s="83" t="inlineStr">
        <is>
          <t>Textile mills and textile product mills</t>
        </is>
      </c>
      <c r="E72" s="83" t="inlineStr">
        <is>
          <t>Curtain and linen mills</t>
        </is>
      </c>
      <c r="F72" s="84" t="inlineStr">
        <is>
          <t>314120</t>
        </is>
      </c>
      <c r="G72" s="83" t="n">
        <v>47652</v>
      </c>
      <c r="H72" s="83" t="n">
        <v>34126</v>
      </c>
      <c r="I72" s="88">
        <f>G72/H72</f>
        <v/>
      </c>
    </row>
    <row r="73" ht="13.8" customHeight="1" s="82">
      <c r="A73" s="83" t="inlineStr">
        <is>
          <t>314900</t>
        </is>
      </c>
      <c r="B73" s="83" t="inlineStr">
        <is>
          <t>313TT</t>
        </is>
      </c>
      <c r="C73" s="83">
        <f>FALSE()</f>
        <v/>
      </c>
      <c r="D73" s="83" t="inlineStr">
        <is>
          <t>Textile mills and textile product mills</t>
        </is>
      </c>
      <c r="E73" s="83" t="inlineStr">
        <is>
          <t>Other textile product mills</t>
        </is>
      </c>
      <c r="F73" s="84" t="inlineStr">
        <is>
          <t>314900</t>
        </is>
      </c>
      <c r="G73" s="83" t="n">
        <v>18164</v>
      </c>
      <c r="H73" s="83" t="n">
        <v>12627</v>
      </c>
      <c r="I73" s="88">
        <f>G73/H73</f>
        <v/>
      </c>
    </row>
    <row r="74" ht="13.8" customHeight="1" s="82">
      <c r="A74" s="83" t="inlineStr">
        <is>
          <t>315000</t>
        </is>
      </c>
      <c r="B74" s="83" t="inlineStr">
        <is>
          <t>315AL</t>
        </is>
      </c>
      <c r="C74" s="83">
        <f>TRUE()</f>
        <v/>
      </c>
      <c r="D74" s="83" t="inlineStr">
        <is>
          <t>Apparel and leather and allied products</t>
        </is>
      </c>
      <c r="E74" s="83" t="inlineStr">
        <is>
          <t>Apparel manufacturing</t>
        </is>
      </c>
      <c r="F74" s="84" t="inlineStr">
        <is>
          <t>315000</t>
        </is>
      </c>
      <c r="G74" s="83" t="n">
        <v>365331</v>
      </c>
      <c r="H74" s="83" t="n">
        <v>297647</v>
      </c>
      <c r="I74" s="88">
        <f>G74/H74</f>
        <v/>
      </c>
    </row>
    <row r="75" ht="13.8" customHeight="1" s="82">
      <c r="A75" s="83" t="inlineStr">
        <is>
          <t>316000</t>
        </is>
      </c>
      <c r="B75" s="83" t="inlineStr">
        <is>
          <t>315AL</t>
        </is>
      </c>
      <c r="C75" s="83">
        <f>FALSE()</f>
        <v/>
      </c>
      <c r="D75" s="83" t="inlineStr">
        <is>
          <t>Apparel and leather and allied products</t>
        </is>
      </c>
      <c r="E75" s="83" t="inlineStr">
        <is>
          <t>Leather and allied product manufacturing</t>
        </is>
      </c>
      <c r="F75" s="84" t="inlineStr">
        <is>
          <t>316000</t>
        </is>
      </c>
      <c r="G75" s="83" t="n">
        <v>149941</v>
      </c>
      <c r="H75" s="83" t="n">
        <v>115483</v>
      </c>
      <c r="I75" s="88">
        <f>G75/H75</f>
        <v/>
      </c>
    </row>
    <row r="76" ht="13.8" customHeight="1" s="82">
      <c r="A76" s="83" t="inlineStr">
        <is>
          <t>321100</t>
        </is>
      </c>
      <c r="B76" s="83" t="inlineStr">
        <is>
          <t>321</t>
        </is>
      </c>
      <c r="C76" s="83">
        <f>TRUE()</f>
        <v/>
      </c>
      <c r="D76" s="83" t="inlineStr">
        <is>
          <t>Wood products</t>
        </is>
      </c>
      <c r="E76" s="83" t="inlineStr">
        <is>
          <t>Sawmills and wood preservation</t>
        </is>
      </c>
      <c r="F76" s="84" t="inlineStr">
        <is>
          <t>321100</t>
        </is>
      </c>
      <c r="G76" s="83" t="n">
        <v>0</v>
      </c>
      <c r="H76" s="83" t="n">
        <v>0</v>
      </c>
      <c r="I76" s="88">
        <f>G76/H76</f>
        <v/>
      </c>
    </row>
    <row r="77" ht="13.8" customHeight="1" s="82">
      <c r="A77" s="83" t="inlineStr">
        <is>
          <t>321200</t>
        </is>
      </c>
      <c r="B77" s="83" t="inlineStr">
        <is>
          <t>321</t>
        </is>
      </c>
      <c r="C77" s="83">
        <f>TRUE()</f>
        <v/>
      </c>
      <c r="D77" s="83" t="inlineStr">
        <is>
          <t>Wood products</t>
        </is>
      </c>
      <c r="E77" s="83" t="inlineStr">
        <is>
          <t>Veneer, plywood, and engineered wood product manufacturing</t>
        </is>
      </c>
      <c r="F77" s="84" t="inlineStr">
        <is>
          <t>321200</t>
        </is>
      </c>
      <c r="G77" s="83" t="n">
        <v>0</v>
      </c>
      <c r="H77" s="83" t="n">
        <v>0</v>
      </c>
      <c r="I77" s="88">
        <f>G77/H77</f>
        <v/>
      </c>
    </row>
    <row r="78" ht="13.8" customHeight="1" s="82">
      <c r="A78" s="83" t="inlineStr">
        <is>
          <t>321910</t>
        </is>
      </c>
      <c r="B78" s="83" t="inlineStr">
        <is>
          <t>321</t>
        </is>
      </c>
      <c r="C78" s="83">
        <f>TRUE()</f>
        <v/>
      </c>
      <c r="D78" s="83" t="inlineStr">
        <is>
          <t>Wood products</t>
        </is>
      </c>
      <c r="E78" s="83" t="inlineStr">
        <is>
          <t>Millwork</t>
        </is>
      </c>
      <c r="F78" s="84" t="inlineStr">
        <is>
          <t>321910</t>
        </is>
      </c>
      <c r="G78" s="83" t="n">
        <v>0</v>
      </c>
      <c r="H78" s="83" t="n">
        <v>0</v>
      </c>
      <c r="I78" s="88">
        <f>G78/H78</f>
        <v/>
      </c>
    </row>
    <row r="79" ht="13.8" customHeight="1" s="82">
      <c r="A79" s="83" t="inlineStr">
        <is>
          <t>3219A0</t>
        </is>
      </c>
      <c r="B79" s="83" t="inlineStr">
        <is>
          <t>321</t>
        </is>
      </c>
      <c r="C79" s="83">
        <f>TRUE()</f>
        <v/>
      </c>
      <c r="D79" s="83" t="inlineStr">
        <is>
          <t>Wood products</t>
        </is>
      </c>
      <c r="E79" s="83" t="inlineStr">
        <is>
          <t>All other wood product manufacturing</t>
        </is>
      </c>
      <c r="F79" s="84" t="inlineStr">
        <is>
          <t>3219A0</t>
        </is>
      </c>
      <c r="G79" s="83" t="n">
        <v>9905</v>
      </c>
      <c r="H79" s="83" t="n">
        <v>6760</v>
      </c>
      <c r="I79" s="88">
        <f>G79/H79</f>
        <v/>
      </c>
    </row>
    <row r="80" ht="13.8" customHeight="1" s="82">
      <c r="A80" s="83" t="inlineStr">
        <is>
          <t>322110</t>
        </is>
      </c>
      <c r="B80" s="83" t="inlineStr">
        <is>
          <t>322</t>
        </is>
      </c>
      <c r="C80" s="83">
        <f>TRUE()</f>
        <v/>
      </c>
      <c r="D80" s="83" t="inlineStr">
        <is>
          <t>Paper products</t>
        </is>
      </c>
      <c r="E80" s="83" t="inlineStr">
        <is>
          <t>Pulp mills</t>
        </is>
      </c>
      <c r="F80" s="84" t="inlineStr">
        <is>
          <t>322110</t>
        </is>
      </c>
      <c r="G80" s="83" t="n">
        <v>0</v>
      </c>
      <c r="H80" s="83" t="n">
        <v>0</v>
      </c>
      <c r="I80" s="88">
        <f>G80/H80</f>
        <v/>
      </c>
    </row>
    <row r="81" ht="13.8" customHeight="1" s="82">
      <c r="A81" s="83" t="inlineStr">
        <is>
          <t>322120</t>
        </is>
      </c>
      <c r="B81" s="83" t="inlineStr">
        <is>
          <t>322</t>
        </is>
      </c>
      <c r="C81" s="83">
        <f>TRUE()</f>
        <v/>
      </c>
      <c r="D81" s="83" t="inlineStr">
        <is>
          <t>Paper products</t>
        </is>
      </c>
      <c r="E81" s="83" t="inlineStr">
        <is>
          <t>Paper mills</t>
        </is>
      </c>
      <c r="F81" s="84" t="inlineStr">
        <is>
          <t>322120</t>
        </is>
      </c>
      <c r="G81" s="83" t="n">
        <v>37926</v>
      </c>
      <c r="H81" s="83" t="n">
        <v>27806</v>
      </c>
      <c r="I81" s="88">
        <f>G81/H81</f>
        <v/>
      </c>
    </row>
    <row r="82" ht="13.8" customHeight="1" s="82">
      <c r="A82" s="83" t="inlineStr">
        <is>
          <t>322130</t>
        </is>
      </c>
      <c r="B82" s="83" t="inlineStr">
        <is>
          <t>322</t>
        </is>
      </c>
      <c r="C82" s="83">
        <f>TRUE()</f>
        <v/>
      </c>
      <c r="D82" s="83" t="inlineStr">
        <is>
          <t>Paper products</t>
        </is>
      </c>
      <c r="E82" s="83" t="inlineStr">
        <is>
          <t>Paperboard mills</t>
        </is>
      </c>
      <c r="F82" s="84" t="inlineStr">
        <is>
          <t>322130</t>
        </is>
      </c>
      <c r="G82" s="83" t="n">
        <v>0</v>
      </c>
      <c r="H82" s="83" t="n">
        <v>0</v>
      </c>
      <c r="I82" s="88">
        <f>G82/H82</f>
        <v/>
      </c>
    </row>
    <row r="83" ht="13.8" customHeight="1" s="82">
      <c r="A83" s="83" t="inlineStr">
        <is>
          <t>322210</t>
        </is>
      </c>
      <c r="B83" s="83" t="inlineStr">
        <is>
          <t>322</t>
        </is>
      </c>
      <c r="C83" s="83">
        <f>TRUE()</f>
        <v/>
      </c>
      <c r="D83" s="83" t="inlineStr">
        <is>
          <t>Paper products</t>
        </is>
      </c>
      <c r="E83" s="83" t="inlineStr">
        <is>
          <t>Paperboard container manufacturing</t>
        </is>
      </c>
      <c r="F83" s="84" t="inlineStr">
        <is>
          <t>322210</t>
        </is>
      </c>
      <c r="G83" s="83" t="n">
        <v>2482</v>
      </c>
      <c r="H83" s="83" t="n">
        <v>1820</v>
      </c>
      <c r="I83" s="88">
        <f>G83/H83</f>
        <v/>
      </c>
    </row>
    <row r="84" ht="13.8" customHeight="1" s="82">
      <c r="A84" s="83" t="inlineStr">
        <is>
          <t>322220</t>
        </is>
      </c>
      <c r="B84" s="83" t="inlineStr">
        <is>
          <t>322</t>
        </is>
      </c>
      <c r="C84" s="83">
        <f>TRUE()</f>
        <v/>
      </c>
      <c r="D84" s="83" t="inlineStr">
        <is>
          <t>Paper products</t>
        </is>
      </c>
      <c r="E84" s="83" t="inlineStr">
        <is>
          <t>Paper bag and coated and treated paper manufacturing</t>
        </is>
      </c>
      <c r="F84" s="84" t="inlineStr">
        <is>
          <t>322220</t>
        </is>
      </c>
      <c r="G84" s="83" t="n">
        <v>6105</v>
      </c>
      <c r="H84" s="83" t="n">
        <v>4477</v>
      </c>
      <c r="I84" s="88">
        <f>G84/H84</f>
        <v/>
      </c>
    </row>
    <row r="85" ht="13.8" customHeight="1" s="82">
      <c r="A85" s="83" t="inlineStr">
        <is>
          <t>322230</t>
        </is>
      </c>
      <c r="B85" s="83" t="inlineStr">
        <is>
          <t>322</t>
        </is>
      </c>
      <c r="C85" s="83">
        <f>TRUE()</f>
        <v/>
      </c>
      <c r="D85" s="83" t="inlineStr">
        <is>
          <t>Paper products</t>
        </is>
      </c>
      <c r="E85" s="83" t="inlineStr">
        <is>
          <t>Stationery product manufacturing</t>
        </is>
      </c>
      <c r="F85" s="84" t="inlineStr">
        <is>
          <t>322230</t>
        </is>
      </c>
      <c r="G85" s="83" t="n">
        <v>2495</v>
      </c>
      <c r="H85" s="83" t="n">
        <v>1450</v>
      </c>
      <c r="I85" s="88">
        <f>G85/H85</f>
        <v/>
      </c>
    </row>
    <row r="86" ht="13.8" customHeight="1" s="82">
      <c r="A86" s="83" t="inlineStr">
        <is>
          <t>322291</t>
        </is>
      </c>
      <c r="B86" s="83" t="inlineStr">
        <is>
          <t>322</t>
        </is>
      </c>
      <c r="C86" s="83">
        <f>TRUE()</f>
        <v/>
      </c>
      <c r="D86" s="83" t="inlineStr">
        <is>
          <t>Paper products</t>
        </is>
      </c>
      <c r="E86" s="83" t="inlineStr">
        <is>
          <t>Sanitary paper product manufacturing</t>
        </is>
      </c>
      <c r="F86" s="84" t="inlineStr">
        <is>
          <t>322291</t>
        </is>
      </c>
      <c r="G86" s="83" t="n">
        <v>29102</v>
      </c>
      <c r="H86" s="83" t="n">
        <v>22990</v>
      </c>
      <c r="I86" s="88">
        <f>G86/H86</f>
        <v/>
      </c>
    </row>
    <row r="87" ht="13.8" customHeight="1" s="82">
      <c r="A87" s="83" t="inlineStr">
        <is>
          <t>322299</t>
        </is>
      </c>
      <c r="B87" s="83" t="inlineStr">
        <is>
          <t>322</t>
        </is>
      </c>
      <c r="C87" s="83">
        <f>TRUE()</f>
        <v/>
      </c>
      <c r="D87" s="83" t="inlineStr">
        <is>
          <t>Paper products</t>
        </is>
      </c>
      <c r="E87" s="83" t="inlineStr">
        <is>
          <t>All other converted paper product manufacturing</t>
        </is>
      </c>
      <c r="F87" s="84" t="inlineStr">
        <is>
          <t>322299</t>
        </is>
      </c>
      <c r="G87" s="83" t="n">
        <v>1689</v>
      </c>
      <c r="H87" s="83" t="n">
        <v>1170</v>
      </c>
      <c r="I87" s="88">
        <f>G87/H87</f>
        <v/>
      </c>
    </row>
    <row r="88" ht="13.8" customHeight="1" s="82">
      <c r="A88" s="83" t="inlineStr">
        <is>
          <t>323110</t>
        </is>
      </c>
      <c r="B88" s="83" t="inlineStr">
        <is>
          <t>323</t>
        </is>
      </c>
      <c r="C88" s="83">
        <f>TRUE()</f>
        <v/>
      </c>
      <c r="D88" s="83" t="inlineStr">
        <is>
          <t>Printing and related support activities</t>
        </is>
      </c>
      <c r="E88" s="83" t="inlineStr">
        <is>
          <t>Printing</t>
        </is>
      </c>
      <c r="F88" s="84" t="inlineStr">
        <is>
          <t>323110</t>
        </is>
      </c>
      <c r="G88" s="83" t="n">
        <v>12139</v>
      </c>
      <c r="H88" s="83" t="n">
        <v>8499</v>
      </c>
      <c r="I88" s="88">
        <f>G88/H88</f>
        <v/>
      </c>
    </row>
    <row r="89" ht="13.8" customHeight="1" s="82">
      <c r="A89" s="83" t="inlineStr">
        <is>
          <t>323120</t>
        </is>
      </c>
      <c r="B89" s="83" t="inlineStr">
        <is>
          <t>323</t>
        </is>
      </c>
      <c r="C89" s="83">
        <f>TRUE()</f>
        <v/>
      </c>
      <c r="D89" s="83" t="inlineStr">
        <is>
          <t>Printing and related support activities</t>
        </is>
      </c>
      <c r="E89" s="83" t="inlineStr">
        <is>
          <t>Support activities for printing</t>
        </is>
      </c>
      <c r="F89" s="84" t="inlineStr">
        <is>
          <t>323120</t>
        </is>
      </c>
      <c r="G89" s="83" t="n">
        <v>0</v>
      </c>
      <c r="H89" s="83" t="n">
        <v>0</v>
      </c>
      <c r="I89" s="88">
        <f>G89/H89</f>
        <v/>
      </c>
    </row>
    <row r="90" ht="13.8" customHeight="1" s="82">
      <c r="A90" s="83" t="inlineStr">
        <is>
          <t>324110</t>
        </is>
      </c>
      <c r="B90" s="83" t="inlineStr">
        <is>
          <t>324</t>
        </is>
      </c>
      <c r="C90" s="83">
        <f>TRUE()</f>
        <v/>
      </c>
      <c r="D90" s="83" t="inlineStr">
        <is>
          <t>Petroleum and coal products</t>
        </is>
      </c>
      <c r="E90" s="83" t="inlineStr">
        <is>
          <t>Petroleum refineries</t>
        </is>
      </c>
      <c r="F90" s="84" t="inlineStr">
        <is>
          <t>324110</t>
        </is>
      </c>
      <c r="G90" s="83" t="n">
        <v>493652</v>
      </c>
      <c r="H90" s="83" t="n">
        <v>311032</v>
      </c>
      <c r="I90" s="88">
        <f>G90/H90</f>
        <v/>
      </c>
    </row>
    <row r="91" ht="13.8" customHeight="1" s="82">
      <c r="A91" s="83" t="inlineStr">
        <is>
          <t>324121</t>
        </is>
      </c>
      <c r="B91" s="83" t="inlineStr">
        <is>
          <t>324</t>
        </is>
      </c>
      <c r="C91" s="83">
        <f>TRUE()</f>
        <v/>
      </c>
      <c r="D91" s="83" t="inlineStr">
        <is>
          <t>Petroleum and coal products</t>
        </is>
      </c>
      <c r="E91" s="83" t="inlineStr">
        <is>
          <t>Asphalt paving mixture and block manufacturing</t>
        </is>
      </c>
      <c r="F91" s="84" t="inlineStr">
        <is>
          <t>324121</t>
        </is>
      </c>
      <c r="G91" s="83" t="n">
        <v>0</v>
      </c>
      <c r="H91" s="83" t="n">
        <v>0</v>
      </c>
      <c r="I91" s="88">
        <f>G91/H91</f>
        <v/>
      </c>
    </row>
    <row r="92" ht="13.8" customHeight="1" s="82">
      <c r="A92" s="83" t="inlineStr">
        <is>
          <t>324122</t>
        </is>
      </c>
      <c r="B92" s="83" t="inlineStr">
        <is>
          <t>324</t>
        </is>
      </c>
      <c r="C92" s="83">
        <f>TRUE()</f>
        <v/>
      </c>
      <c r="D92" s="83" t="inlineStr">
        <is>
          <t>Petroleum and coal products</t>
        </is>
      </c>
      <c r="E92" s="83" t="inlineStr">
        <is>
          <t>Asphalt shingle and coating materials manufacturing</t>
        </is>
      </c>
      <c r="F92" s="84" t="inlineStr">
        <is>
          <t>324122</t>
        </is>
      </c>
      <c r="G92" s="83" t="n">
        <v>0</v>
      </c>
      <c r="H92" s="83" t="n">
        <v>0</v>
      </c>
      <c r="I92" s="88">
        <f>G92/H92</f>
        <v/>
      </c>
    </row>
    <row r="93" ht="13.8" customHeight="1" s="82">
      <c r="A93" s="83" t="inlineStr">
        <is>
          <t>324190</t>
        </is>
      </c>
      <c r="B93" s="83" t="inlineStr">
        <is>
          <t>324</t>
        </is>
      </c>
      <c r="C93" s="83">
        <f>TRUE()</f>
        <v/>
      </c>
      <c r="D93" s="83" t="inlineStr">
        <is>
          <t>Petroleum and coal products</t>
        </is>
      </c>
      <c r="E93" s="83" t="inlineStr">
        <is>
          <t>Other petroleum and coal products manufacturing</t>
        </is>
      </c>
      <c r="F93" s="84" t="inlineStr">
        <is>
          <t>324190</t>
        </is>
      </c>
      <c r="G93" s="83" t="n">
        <v>20806</v>
      </c>
      <c r="H93" s="83" t="n">
        <v>13152</v>
      </c>
      <c r="I93" s="88">
        <f>G93/H93</f>
        <v/>
      </c>
    </row>
    <row r="94" ht="13.8" customHeight="1" s="82">
      <c r="A94" s="83" t="inlineStr">
        <is>
          <t>325110</t>
        </is>
      </c>
      <c r="B94" s="83" t="inlineStr">
        <is>
          <t>325</t>
        </is>
      </c>
      <c r="C94" s="83">
        <f>TRUE()</f>
        <v/>
      </c>
      <c r="D94" s="83" t="inlineStr">
        <is>
          <t>Chemical products</t>
        </is>
      </c>
      <c r="E94" s="83" t="inlineStr">
        <is>
          <t>Petrochemical manufacturing</t>
        </is>
      </c>
      <c r="F94" s="84" t="inlineStr">
        <is>
          <t>325110</t>
        </is>
      </c>
      <c r="G94" s="83" t="n">
        <v>0</v>
      </c>
      <c r="H94" s="83" t="n">
        <v>0</v>
      </c>
      <c r="I94" s="88">
        <f>G94/H94</f>
        <v/>
      </c>
    </row>
    <row r="95" ht="13.8" customHeight="1" s="82">
      <c r="A95" s="83" t="inlineStr">
        <is>
          <t>325120</t>
        </is>
      </c>
      <c r="B95" s="83" t="inlineStr">
        <is>
          <t>325</t>
        </is>
      </c>
      <c r="C95" s="83">
        <f>TRUE()</f>
        <v/>
      </c>
      <c r="D95" s="83" t="inlineStr">
        <is>
          <t>Chemical products</t>
        </is>
      </c>
      <c r="E95" s="83" t="inlineStr">
        <is>
          <t>Industrial gas manufacturing</t>
        </is>
      </c>
      <c r="F95" s="84" t="inlineStr">
        <is>
          <t>325120</t>
        </is>
      </c>
      <c r="G95" s="83" t="n">
        <v>1564</v>
      </c>
      <c r="H95" s="83" t="n">
        <v>1196</v>
      </c>
      <c r="I95" s="88">
        <f>G95/H95</f>
        <v/>
      </c>
    </row>
    <row r="96" ht="13.8" customHeight="1" s="82">
      <c r="A96" s="83" t="inlineStr">
        <is>
          <t>325130</t>
        </is>
      </c>
      <c r="B96" s="83" t="inlineStr">
        <is>
          <t>325</t>
        </is>
      </c>
      <c r="C96" s="83">
        <f>TRUE()</f>
        <v/>
      </c>
      <c r="D96" s="83" t="inlineStr">
        <is>
          <t>Chemical products</t>
        </is>
      </c>
      <c r="E96" s="83" t="inlineStr">
        <is>
          <t>Synthetic dye and pigment manufacturing</t>
        </is>
      </c>
      <c r="F96" s="84" t="inlineStr">
        <is>
          <t>325130</t>
        </is>
      </c>
      <c r="G96" s="83" t="n">
        <v>0</v>
      </c>
      <c r="H96" s="83" t="n">
        <v>0</v>
      </c>
      <c r="I96" s="88">
        <f>G96/H96</f>
        <v/>
      </c>
    </row>
    <row r="97" ht="13.8" customHeight="1" s="82">
      <c r="A97" s="83" t="inlineStr">
        <is>
          <t>325180</t>
        </is>
      </c>
      <c r="B97" s="83" t="inlineStr">
        <is>
          <t>325</t>
        </is>
      </c>
      <c r="C97" s="83">
        <f>TRUE()</f>
        <v/>
      </c>
      <c r="D97" s="83" t="inlineStr">
        <is>
          <t>Chemical products</t>
        </is>
      </c>
      <c r="E97" s="83" t="inlineStr">
        <is>
          <t>Other basic inorganic chemical manufacturing</t>
        </is>
      </c>
      <c r="F97" s="84" t="inlineStr">
        <is>
          <t>325180</t>
        </is>
      </c>
      <c r="G97" s="83" t="n">
        <v>49</v>
      </c>
      <c r="H97" s="83" t="n">
        <v>36</v>
      </c>
      <c r="I97" s="88">
        <f>G97/H97</f>
        <v/>
      </c>
    </row>
    <row r="98" ht="13.8" customHeight="1" s="82">
      <c r="A98" s="83" t="inlineStr">
        <is>
          <t>325190</t>
        </is>
      </c>
      <c r="B98" s="83" t="inlineStr">
        <is>
          <t>325</t>
        </is>
      </c>
      <c r="C98" s="83">
        <f>TRUE()</f>
        <v/>
      </c>
      <c r="D98" s="83" t="inlineStr">
        <is>
          <t>Chemical products</t>
        </is>
      </c>
      <c r="E98" s="83" t="inlineStr">
        <is>
          <t>Other basic organic chemical manufacturing</t>
        </is>
      </c>
      <c r="F98" s="84" t="inlineStr">
        <is>
          <t>325190</t>
        </is>
      </c>
      <c r="G98" s="83" t="n">
        <v>1556</v>
      </c>
      <c r="H98" s="83" t="n">
        <v>1073</v>
      </c>
      <c r="I98" s="88">
        <f>G98/H98</f>
        <v/>
      </c>
    </row>
    <row r="99" ht="13.8" customHeight="1" s="82">
      <c r="A99" s="83" t="inlineStr">
        <is>
          <t>325211</t>
        </is>
      </c>
      <c r="B99" s="83" t="inlineStr">
        <is>
          <t>325</t>
        </is>
      </c>
      <c r="C99" s="83">
        <f>TRUE()</f>
        <v/>
      </c>
      <c r="D99" s="83" t="inlineStr">
        <is>
          <t>Chemical products</t>
        </is>
      </c>
      <c r="E99" s="83" t="inlineStr">
        <is>
          <t>Plastics material and resin manufacturing</t>
        </is>
      </c>
      <c r="F99" s="84" t="inlineStr">
        <is>
          <t>325211</t>
        </is>
      </c>
      <c r="G99" s="83" t="n">
        <v>0</v>
      </c>
      <c r="H99" s="83" t="n">
        <v>0</v>
      </c>
      <c r="I99" s="88">
        <f>G99/H99</f>
        <v/>
      </c>
    </row>
    <row r="100" ht="13.8" customHeight="1" s="82">
      <c r="A100" s="83" t="inlineStr">
        <is>
          <t>3252A0</t>
        </is>
      </c>
      <c r="B100" s="83" t="inlineStr">
        <is>
          <t>325</t>
        </is>
      </c>
      <c r="C100" s="83">
        <f>TRUE()</f>
        <v/>
      </c>
      <c r="D100" s="83" t="inlineStr">
        <is>
          <t>Chemical products</t>
        </is>
      </c>
      <c r="E100" s="83" t="inlineStr">
        <is>
          <t>Synthetic rubber and artificial and synthetic fibers and filaments manufacturing</t>
        </is>
      </c>
      <c r="F100" s="84" t="inlineStr">
        <is>
          <t>3252A0</t>
        </is>
      </c>
      <c r="G100" s="83" t="n">
        <v>0</v>
      </c>
      <c r="H100" s="83" t="n">
        <v>0</v>
      </c>
      <c r="I100" s="88">
        <f>G100/H100</f>
        <v/>
      </c>
    </row>
    <row r="101" ht="13.8" customHeight="1" s="82">
      <c r="A101" s="83" t="inlineStr">
        <is>
          <t>325310</t>
        </is>
      </c>
      <c r="B101" s="83" t="inlineStr">
        <is>
          <t>325</t>
        </is>
      </c>
      <c r="C101" s="83">
        <f>TRUE()</f>
        <v/>
      </c>
      <c r="D101" s="83" t="inlineStr">
        <is>
          <t>Chemical products</t>
        </is>
      </c>
      <c r="E101" s="83" t="inlineStr">
        <is>
          <t>Fertilizer manufacturing</t>
        </is>
      </c>
      <c r="F101" s="84" t="inlineStr">
        <is>
          <t>325310</t>
        </is>
      </c>
      <c r="G101" s="83" t="n">
        <v>425</v>
      </c>
      <c r="H101" s="83" t="n">
        <v>312</v>
      </c>
      <c r="I101" s="88">
        <f>G101/H101</f>
        <v/>
      </c>
    </row>
    <row r="102" ht="13.8" customHeight="1" s="82">
      <c r="A102" s="83" t="inlineStr">
        <is>
          <t>325320</t>
        </is>
      </c>
      <c r="B102" s="83" t="inlineStr">
        <is>
          <t>325</t>
        </is>
      </c>
      <c r="C102" s="83">
        <f>TRUE()</f>
        <v/>
      </c>
      <c r="D102" s="83" t="inlineStr">
        <is>
          <t>Chemical products</t>
        </is>
      </c>
      <c r="E102" s="83" t="inlineStr">
        <is>
          <t>Pesticide and other agricultural chemical manufacturing</t>
        </is>
      </c>
      <c r="F102" s="84" t="inlineStr">
        <is>
          <t>325320</t>
        </is>
      </c>
      <c r="G102" s="83" t="n">
        <v>3411</v>
      </c>
      <c r="H102" s="83" t="n">
        <v>2501</v>
      </c>
      <c r="I102" s="88">
        <f>G102/H102</f>
        <v/>
      </c>
    </row>
    <row r="103" ht="13.8" customHeight="1" s="82">
      <c r="A103" s="83" t="inlineStr">
        <is>
          <t>325411</t>
        </is>
      </c>
      <c r="B103" s="83" t="inlineStr">
        <is>
          <t>325</t>
        </is>
      </c>
      <c r="C103" s="83">
        <f>TRUE()</f>
        <v/>
      </c>
      <c r="D103" s="83" t="inlineStr">
        <is>
          <t>Chemical products</t>
        </is>
      </c>
      <c r="E103" s="83" t="inlineStr">
        <is>
          <t>Medicinal and botanical manufacturing</t>
        </is>
      </c>
      <c r="F103" s="84" t="inlineStr">
        <is>
          <t>325411</t>
        </is>
      </c>
      <c r="G103" s="83" t="n">
        <v>0</v>
      </c>
      <c r="H103" s="83" t="n">
        <v>0</v>
      </c>
      <c r="I103" s="88">
        <f>G103/H103</f>
        <v/>
      </c>
    </row>
    <row r="104" ht="13.8" customHeight="1" s="82">
      <c r="A104" s="83" t="inlineStr">
        <is>
          <t>325412</t>
        </is>
      </c>
      <c r="B104" s="83" t="inlineStr">
        <is>
          <t>325</t>
        </is>
      </c>
      <c r="C104" s="83">
        <f>TRUE()</f>
        <v/>
      </c>
      <c r="D104" s="83" t="inlineStr">
        <is>
          <t>Chemical products</t>
        </is>
      </c>
      <c r="E104" s="83" t="inlineStr">
        <is>
          <t>Pharmaceutical preparation manufacturing</t>
        </is>
      </c>
      <c r="F104" s="84" t="inlineStr">
        <is>
          <t>325412</t>
        </is>
      </c>
      <c r="G104" s="83" t="n">
        <v>566471</v>
      </c>
      <c r="H104" s="83" t="n">
        <v>432930</v>
      </c>
      <c r="I104" s="88">
        <f>G104/H104</f>
        <v/>
      </c>
    </row>
    <row r="105" ht="13.8" customHeight="1" s="82">
      <c r="A105" s="83" t="inlineStr">
        <is>
          <t>325413</t>
        </is>
      </c>
      <c r="B105" s="83" t="inlineStr">
        <is>
          <t>325</t>
        </is>
      </c>
      <c r="C105" s="83">
        <f>TRUE()</f>
        <v/>
      </c>
      <c r="D105" s="83" t="inlineStr">
        <is>
          <t>Chemical products</t>
        </is>
      </c>
      <c r="E105" s="83" t="inlineStr">
        <is>
          <t>In-vitro diagnostic substance manufacturing</t>
        </is>
      </c>
      <c r="F105" s="84" t="inlineStr">
        <is>
          <t>325413</t>
        </is>
      </c>
      <c r="G105" s="83" t="n">
        <v>0</v>
      </c>
      <c r="H105" s="83" t="n">
        <v>0</v>
      </c>
      <c r="I105" s="88">
        <f>G105/H105</f>
        <v/>
      </c>
    </row>
    <row r="106" ht="13.8" customHeight="1" s="82">
      <c r="A106" s="83" t="inlineStr">
        <is>
          <t>325414</t>
        </is>
      </c>
      <c r="B106" s="83" t="inlineStr">
        <is>
          <t>325</t>
        </is>
      </c>
      <c r="C106" s="83">
        <f>TRUE()</f>
        <v/>
      </c>
      <c r="D106" s="83" t="inlineStr">
        <is>
          <t>Chemical products</t>
        </is>
      </c>
      <c r="E106" s="83" t="inlineStr">
        <is>
          <t>Biological product (except diagnostic) manufacturing</t>
        </is>
      </c>
      <c r="F106" s="84" t="inlineStr">
        <is>
          <t>325414</t>
        </is>
      </c>
      <c r="G106" s="83" t="n">
        <v>0</v>
      </c>
      <c r="H106" s="83" t="n">
        <v>0</v>
      </c>
      <c r="I106" s="88">
        <f>G106/H106</f>
        <v/>
      </c>
    </row>
    <row r="107" ht="13.8" customHeight="1" s="82">
      <c r="A107" s="83" t="inlineStr">
        <is>
          <t>325510</t>
        </is>
      </c>
      <c r="B107" s="83" t="inlineStr">
        <is>
          <t>325</t>
        </is>
      </c>
      <c r="C107" s="83">
        <f>TRUE()</f>
        <v/>
      </c>
      <c r="D107" s="83" t="inlineStr">
        <is>
          <t>Chemical products</t>
        </is>
      </c>
      <c r="E107" s="83" t="inlineStr">
        <is>
          <t>Paint and coating manufacturing</t>
        </is>
      </c>
      <c r="F107" s="84" t="inlineStr">
        <is>
          <t>325510</t>
        </is>
      </c>
      <c r="G107" s="83" t="n">
        <v>7407</v>
      </c>
      <c r="H107" s="83" t="n">
        <v>4831</v>
      </c>
      <c r="I107" s="88">
        <f>G107/H107</f>
        <v/>
      </c>
    </row>
    <row r="108" ht="13.8" customHeight="1" s="82">
      <c r="A108" s="83" t="inlineStr">
        <is>
          <t>325520</t>
        </is>
      </c>
      <c r="B108" s="83" t="inlineStr">
        <is>
          <t>325</t>
        </is>
      </c>
      <c r="C108" s="83">
        <f>TRUE()</f>
        <v/>
      </c>
      <c r="D108" s="83" t="inlineStr">
        <is>
          <t>Chemical products</t>
        </is>
      </c>
      <c r="E108" s="83" t="inlineStr">
        <is>
          <t>Adhesive manufacturing</t>
        </is>
      </c>
      <c r="F108" s="84" t="inlineStr">
        <is>
          <t>325520</t>
        </is>
      </c>
      <c r="G108" s="83" t="n">
        <v>5343</v>
      </c>
      <c r="H108" s="83" t="n">
        <v>3105</v>
      </c>
      <c r="I108" s="88">
        <f>G108/H108</f>
        <v/>
      </c>
    </row>
    <row r="109" ht="13.8" customHeight="1" s="82">
      <c r="A109" s="83" t="inlineStr">
        <is>
          <t>325610</t>
        </is>
      </c>
      <c r="B109" s="83" t="inlineStr">
        <is>
          <t>325</t>
        </is>
      </c>
      <c r="C109" s="83">
        <f>TRUE()</f>
        <v/>
      </c>
      <c r="D109" s="83" t="inlineStr">
        <is>
          <t>Chemical products</t>
        </is>
      </c>
      <c r="E109" s="83" t="inlineStr">
        <is>
          <t>Soap and cleaning compound manufacturing</t>
        </is>
      </c>
      <c r="F109" s="84" t="inlineStr">
        <is>
          <t>325610</t>
        </is>
      </c>
      <c r="G109" s="83" t="n">
        <v>45803</v>
      </c>
      <c r="H109" s="83" t="n">
        <v>33144</v>
      </c>
      <c r="I109" s="88">
        <f>G109/H109</f>
        <v/>
      </c>
    </row>
    <row r="110" ht="13.8" customHeight="1" s="82">
      <c r="A110" s="83" t="inlineStr">
        <is>
          <t>325620</t>
        </is>
      </c>
      <c r="B110" s="83" t="inlineStr">
        <is>
          <t>325</t>
        </is>
      </c>
      <c r="C110" s="83">
        <f>TRUE()</f>
        <v/>
      </c>
      <c r="D110" s="83" t="inlineStr">
        <is>
          <t>Chemical products</t>
        </is>
      </c>
      <c r="E110" s="83" t="inlineStr">
        <is>
          <t>Toilet preparation manufacturing</t>
        </is>
      </c>
      <c r="F110" s="84" t="inlineStr">
        <is>
          <t>325620</t>
        </is>
      </c>
      <c r="G110" s="83" t="n">
        <v>100571</v>
      </c>
      <c r="H110" s="83" t="n">
        <v>71262</v>
      </c>
      <c r="I110" s="88">
        <f>G110/H110</f>
        <v/>
      </c>
    </row>
    <row r="111" ht="13.8" customHeight="1" s="82">
      <c r="A111" s="83" t="inlineStr">
        <is>
          <t>325910</t>
        </is>
      </c>
      <c r="B111" s="83" t="inlineStr">
        <is>
          <t>325</t>
        </is>
      </c>
      <c r="C111" s="83">
        <f>TRUE()</f>
        <v/>
      </c>
      <c r="D111" s="83" t="inlineStr">
        <is>
          <t>Chemical products</t>
        </is>
      </c>
      <c r="E111" s="83" t="inlineStr">
        <is>
          <t>Printing ink manufacturing</t>
        </is>
      </c>
      <c r="F111" s="84" t="inlineStr">
        <is>
          <t>325910</t>
        </is>
      </c>
      <c r="G111" s="83" t="n">
        <v>0</v>
      </c>
      <c r="H111" s="83" t="n">
        <v>0</v>
      </c>
      <c r="I111" s="88">
        <f>G111/H111</f>
        <v/>
      </c>
    </row>
    <row r="112" ht="13.8" customHeight="1" s="82">
      <c r="A112" s="83" t="inlineStr">
        <is>
          <t>3259A0</t>
        </is>
      </c>
      <c r="B112" s="83" t="inlineStr">
        <is>
          <t>325</t>
        </is>
      </c>
      <c r="C112" s="83">
        <f>TRUE()</f>
        <v/>
      </c>
      <c r="D112" s="83" t="inlineStr">
        <is>
          <t>Chemical products</t>
        </is>
      </c>
      <c r="E112" s="83" t="inlineStr">
        <is>
          <t>All other chemical product and preparation manufacturing</t>
        </is>
      </c>
      <c r="F112" s="84" t="inlineStr">
        <is>
          <t>3259A0</t>
        </is>
      </c>
      <c r="G112" s="83" t="n">
        <v>7395</v>
      </c>
      <c r="H112" s="83" t="n">
        <v>4583</v>
      </c>
      <c r="I112" s="88">
        <f>G112/H112</f>
        <v/>
      </c>
    </row>
    <row r="113" ht="13.8" customHeight="1" s="82">
      <c r="A113" s="83" t="inlineStr">
        <is>
          <t>326110</t>
        </is>
      </c>
      <c r="B113" s="83" t="inlineStr">
        <is>
          <t>326</t>
        </is>
      </c>
      <c r="C113" s="83">
        <f>TRUE()</f>
        <v/>
      </c>
      <c r="D113" s="83" t="inlineStr">
        <is>
          <t>Plastics and rubber products</t>
        </is>
      </c>
      <c r="E113" s="83" t="inlineStr">
        <is>
          <t>Plastics packaging materials and unlaminated film and sheet manufacturing</t>
        </is>
      </c>
      <c r="F113" s="84" t="inlineStr">
        <is>
          <t>326110</t>
        </is>
      </c>
      <c r="G113" s="83" t="n">
        <v>8920</v>
      </c>
      <c r="H113" s="83" t="n">
        <v>6541</v>
      </c>
      <c r="I113" s="88">
        <f>G113/H113</f>
        <v/>
      </c>
    </row>
    <row r="114" ht="13.8" customHeight="1" s="82">
      <c r="A114" s="83" t="inlineStr">
        <is>
          <t>326120</t>
        </is>
      </c>
      <c r="B114" s="83" t="inlineStr">
        <is>
          <t>326</t>
        </is>
      </c>
      <c r="C114" s="83">
        <f>TRUE()</f>
        <v/>
      </c>
      <c r="D114" s="83" t="inlineStr">
        <is>
          <t>Plastics and rubber products</t>
        </is>
      </c>
      <c r="E114" s="83" t="inlineStr">
        <is>
          <t>Plastics pipe, pipe fitting, and unlaminated profile shape manufacturing</t>
        </is>
      </c>
      <c r="F114" s="84" t="inlineStr">
        <is>
          <t>326120</t>
        </is>
      </c>
      <c r="G114" s="83" t="n">
        <v>0</v>
      </c>
      <c r="H114" s="83" t="n">
        <v>0</v>
      </c>
      <c r="I114" s="88">
        <f>G114/H114</f>
        <v/>
      </c>
    </row>
    <row r="115" ht="13.8" customHeight="1" s="82">
      <c r="A115" s="83" t="inlineStr">
        <is>
          <t>326130</t>
        </is>
      </c>
      <c r="B115" s="83" t="inlineStr">
        <is>
          <t>326</t>
        </is>
      </c>
      <c r="C115" s="83">
        <f>TRUE()</f>
        <v/>
      </c>
      <c r="D115" s="83" t="inlineStr">
        <is>
          <t>Plastics and rubber products</t>
        </is>
      </c>
      <c r="E115" s="83" t="inlineStr">
        <is>
          <t>Laminated plastics plate, sheet (except packaging), and shape manufacturing</t>
        </is>
      </c>
      <c r="F115" s="84" t="inlineStr">
        <is>
          <t>326130</t>
        </is>
      </c>
      <c r="G115" s="83" t="n">
        <v>0</v>
      </c>
      <c r="H115" s="83" t="n">
        <v>0</v>
      </c>
      <c r="I115" s="88">
        <f>G115/H115</f>
        <v/>
      </c>
    </row>
    <row r="116" ht="13.8" customHeight="1" s="82">
      <c r="A116" s="83" t="inlineStr">
        <is>
          <t>326140</t>
        </is>
      </c>
      <c r="B116" s="83" t="inlineStr">
        <is>
          <t>326</t>
        </is>
      </c>
      <c r="C116" s="83">
        <f>TRUE()</f>
        <v/>
      </c>
      <c r="D116" s="83" t="inlineStr">
        <is>
          <t>Plastics and rubber products</t>
        </is>
      </c>
      <c r="E116" s="83" t="inlineStr">
        <is>
          <t>Polystyrene foam product manufacturing</t>
        </is>
      </c>
      <c r="F116" s="84" t="inlineStr">
        <is>
          <t>326140</t>
        </is>
      </c>
      <c r="G116" s="83" t="n">
        <v>2427</v>
      </c>
      <c r="H116" s="83" t="n">
        <v>1721</v>
      </c>
      <c r="I116" s="88">
        <f>G116/H116</f>
        <v/>
      </c>
    </row>
    <row r="117" ht="13.8" customHeight="1" s="82">
      <c r="A117" s="83" t="inlineStr">
        <is>
          <t>326150</t>
        </is>
      </c>
      <c r="B117" s="83" t="inlineStr">
        <is>
          <t>326</t>
        </is>
      </c>
      <c r="C117" s="83">
        <f>TRUE()</f>
        <v/>
      </c>
      <c r="D117" s="83" t="inlineStr">
        <is>
          <t>Plastics and rubber products</t>
        </is>
      </c>
      <c r="E117" s="83" t="inlineStr">
        <is>
          <t>Urethane and other foam product (except polystyrene) manufacturing</t>
        </is>
      </c>
      <c r="F117" s="84" t="inlineStr">
        <is>
          <t>326150</t>
        </is>
      </c>
      <c r="G117" s="83" t="n">
        <v>2185</v>
      </c>
      <c r="H117" s="83" t="n">
        <v>1540</v>
      </c>
      <c r="I117" s="88">
        <f>G117/H117</f>
        <v/>
      </c>
    </row>
    <row r="118" ht="13.8" customHeight="1" s="82">
      <c r="A118" s="83" t="inlineStr">
        <is>
          <t>326160</t>
        </is>
      </c>
      <c r="B118" s="83" t="inlineStr">
        <is>
          <t>326</t>
        </is>
      </c>
      <c r="C118" s="83">
        <f>TRUE()</f>
        <v/>
      </c>
      <c r="D118" s="83" t="inlineStr">
        <is>
          <t>Plastics and rubber products</t>
        </is>
      </c>
      <c r="E118" s="83" t="inlineStr">
        <is>
          <t>Plastics bottle manufacturing</t>
        </is>
      </c>
      <c r="F118" s="84" t="inlineStr">
        <is>
          <t>326160</t>
        </is>
      </c>
      <c r="G118" s="83" t="n">
        <v>0</v>
      </c>
      <c r="H118" s="83" t="n">
        <v>0</v>
      </c>
      <c r="I118" s="88">
        <f>G118/H118</f>
        <v/>
      </c>
    </row>
    <row r="119" ht="13.8" customHeight="1" s="82">
      <c r="A119" s="83" t="inlineStr">
        <is>
          <t>326190</t>
        </is>
      </c>
      <c r="B119" s="83" t="inlineStr">
        <is>
          <t>326</t>
        </is>
      </c>
      <c r="C119" s="83">
        <f>TRUE()</f>
        <v/>
      </c>
      <c r="D119" s="83" t="inlineStr">
        <is>
          <t>Plastics and rubber products</t>
        </is>
      </c>
      <c r="E119" s="83" t="inlineStr">
        <is>
          <t>Other plastics product manufacturing</t>
        </is>
      </c>
      <c r="F119" s="84" t="inlineStr">
        <is>
          <t>326190</t>
        </is>
      </c>
      <c r="G119" s="83" t="n">
        <v>30098</v>
      </c>
      <c r="H119" s="83" t="n">
        <v>20451</v>
      </c>
      <c r="I119" s="88">
        <f>G119/H119</f>
        <v/>
      </c>
    </row>
    <row r="120" ht="13.8" customHeight="1" s="82">
      <c r="A120" s="83" t="inlineStr">
        <is>
          <t>326210</t>
        </is>
      </c>
      <c r="B120" s="83" t="inlineStr">
        <is>
          <t>326</t>
        </is>
      </c>
      <c r="C120" s="83">
        <f>TRUE()</f>
        <v/>
      </c>
      <c r="D120" s="83" t="inlineStr">
        <is>
          <t>Plastics and rubber products</t>
        </is>
      </c>
      <c r="E120" s="83" t="inlineStr">
        <is>
          <t>Tire manufacturing</t>
        </is>
      </c>
      <c r="F120" s="84" t="inlineStr">
        <is>
          <t>326210</t>
        </is>
      </c>
      <c r="G120" s="83" t="n">
        <v>51335</v>
      </c>
      <c r="H120" s="83" t="n">
        <v>37019</v>
      </c>
      <c r="I120" s="88">
        <f>G120/H120</f>
        <v/>
      </c>
    </row>
    <row r="121" ht="13.8" customHeight="1" s="82">
      <c r="A121" s="83" t="inlineStr">
        <is>
          <t>326220</t>
        </is>
      </c>
      <c r="B121" s="83" t="inlineStr">
        <is>
          <t>326</t>
        </is>
      </c>
      <c r="C121" s="83">
        <f>TRUE()</f>
        <v/>
      </c>
      <c r="D121" s="83" t="inlineStr">
        <is>
          <t>Plastics and rubber products</t>
        </is>
      </c>
      <c r="E121" s="83" t="inlineStr">
        <is>
          <t>Rubber and plastics hoses and belting manufacturing</t>
        </is>
      </c>
      <c r="F121" s="84" t="inlineStr">
        <is>
          <t>326220</t>
        </is>
      </c>
      <c r="G121" s="83" t="n">
        <v>1956</v>
      </c>
      <c r="H121" s="83" t="n">
        <v>1389</v>
      </c>
      <c r="I121" s="88">
        <f>G121/H121</f>
        <v/>
      </c>
    </row>
    <row r="122" ht="13.8" customHeight="1" s="82">
      <c r="A122" s="83" t="inlineStr">
        <is>
          <t>326290</t>
        </is>
      </c>
      <c r="B122" s="83" t="inlineStr">
        <is>
          <t>326</t>
        </is>
      </c>
      <c r="C122" s="83">
        <f>TRUE()</f>
        <v/>
      </c>
      <c r="D122" s="83" t="inlineStr">
        <is>
          <t>Plastics and rubber products</t>
        </is>
      </c>
      <c r="E122" s="83" t="inlineStr">
        <is>
          <t>Other rubber product manufacturing</t>
        </is>
      </c>
      <c r="F122" s="84" t="inlineStr">
        <is>
          <t>326290</t>
        </is>
      </c>
      <c r="G122" s="83" t="n">
        <v>5311</v>
      </c>
      <c r="H122" s="83" t="n">
        <v>3585</v>
      </c>
      <c r="I122" s="88">
        <f>G122/H122</f>
        <v/>
      </c>
    </row>
    <row r="123" ht="13.8" customHeight="1" s="82">
      <c r="A123" s="83" t="inlineStr">
        <is>
          <t>327100</t>
        </is>
      </c>
      <c r="B123" s="83" t="inlineStr">
        <is>
          <t>327</t>
        </is>
      </c>
      <c r="C123" s="83">
        <f>TRUE()</f>
        <v/>
      </c>
      <c r="D123" s="83" t="inlineStr">
        <is>
          <t>Nonmetallic mineral products</t>
        </is>
      </c>
      <c r="E123" s="83" t="inlineStr">
        <is>
          <t>Clay product and refractory manufacturing</t>
        </is>
      </c>
      <c r="F123" s="84" t="inlineStr">
        <is>
          <t>327100</t>
        </is>
      </c>
      <c r="G123" s="83" t="n">
        <v>6899</v>
      </c>
      <c r="H123" s="83" t="n">
        <v>4685</v>
      </c>
      <c r="I123" s="88">
        <f>G123/H123</f>
        <v/>
      </c>
    </row>
    <row r="124" ht="13.8" customHeight="1" s="82">
      <c r="A124" s="83" t="inlineStr">
        <is>
          <t>327200</t>
        </is>
      </c>
      <c r="B124" s="83" t="inlineStr">
        <is>
          <t>327</t>
        </is>
      </c>
      <c r="C124" s="83">
        <f>TRUE()</f>
        <v/>
      </c>
      <c r="D124" s="83" t="inlineStr">
        <is>
          <t>Nonmetallic mineral products</t>
        </is>
      </c>
      <c r="E124" s="83" t="inlineStr">
        <is>
          <t>Glass and glass product manufacturing</t>
        </is>
      </c>
      <c r="F124" s="84" t="inlineStr">
        <is>
          <t>327200</t>
        </is>
      </c>
      <c r="G124" s="83" t="n">
        <v>15757</v>
      </c>
      <c r="H124" s="83" t="n">
        <v>10837</v>
      </c>
      <c r="I124" s="88">
        <f>G124/H124</f>
        <v/>
      </c>
    </row>
    <row r="125" ht="13.8" customHeight="1" s="82">
      <c r="A125" s="83" t="inlineStr">
        <is>
          <t>327310</t>
        </is>
      </c>
      <c r="B125" s="83" t="inlineStr">
        <is>
          <t>327</t>
        </is>
      </c>
      <c r="C125" s="83">
        <f>TRUE()</f>
        <v/>
      </c>
      <c r="D125" s="83" t="inlineStr">
        <is>
          <t>Nonmetallic mineral products</t>
        </is>
      </c>
      <c r="E125" s="83" t="inlineStr">
        <is>
          <t>Cement manufacturing</t>
        </is>
      </c>
      <c r="F125" s="84" t="inlineStr">
        <is>
          <t>327310</t>
        </is>
      </c>
      <c r="G125" s="83" t="n">
        <v>0</v>
      </c>
      <c r="H125" s="83" t="n">
        <v>0</v>
      </c>
      <c r="I125" s="88">
        <f>G125/H125</f>
        <v/>
      </c>
    </row>
    <row r="126" ht="13.8" customHeight="1" s="82">
      <c r="A126" s="83" t="inlineStr">
        <is>
          <t>327320</t>
        </is>
      </c>
      <c r="B126" s="83" t="inlineStr">
        <is>
          <t>327</t>
        </is>
      </c>
      <c r="C126" s="83">
        <f>TRUE()</f>
        <v/>
      </c>
      <c r="D126" s="83" t="inlineStr">
        <is>
          <t>Nonmetallic mineral products</t>
        </is>
      </c>
      <c r="E126" s="83" t="inlineStr">
        <is>
          <t>Ready-mix concrete manufacturing</t>
        </is>
      </c>
      <c r="F126" s="84" t="inlineStr">
        <is>
          <t>327320</t>
        </is>
      </c>
      <c r="G126" s="83" t="n">
        <v>0</v>
      </c>
      <c r="H126" s="83" t="n">
        <v>0</v>
      </c>
      <c r="I126" s="88">
        <f>G126/H126</f>
        <v/>
      </c>
    </row>
    <row r="127" ht="13.8" customHeight="1" s="82">
      <c r="A127" s="83" t="inlineStr">
        <is>
          <t>327330</t>
        </is>
      </c>
      <c r="B127" s="83" t="inlineStr">
        <is>
          <t>327</t>
        </is>
      </c>
      <c r="C127" s="83">
        <f>TRUE()</f>
        <v/>
      </c>
      <c r="D127" s="83" t="inlineStr">
        <is>
          <t>Nonmetallic mineral products</t>
        </is>
      </c>
      <c r="E127" s="83" t="inlineStr">
        <is>
          <t>Concrete pipe, brick, and block manufacturing</t>
        </is>
      </c>
      <c r="F127" s="84" t="inlineStr">
        <is>
          <t>327330</t>
        </is>
      </c>
      <c r="G127" s="83" t="n">
        <v>0</v>
      </c>
      <c r="H127" s="83" t="n">
        <v>0</v>
      </c>
      <c r="I127" s="88">
        <f>G127/H127</f>
        <v/>
      </c>
    </row>
    <row r="128" ht="13.8" customHeight="1" s="82">
      <c r="A128" s="83" t="inlineStr">
        <is>
          <t>327390</t>
        </is>
      </c>
      <c r="B128" s="83" t="inlineStr">
        <is>
          <t>327</t>
        </is>
      </c>
      <c r="C128" s="83">
        <f>TRUE()</f>
        <v/>
      </c>
      <c r="D128" s="83" t="inlineStr">
        <is>
          <t>Nonmetallic mineral products</t>
        </is>
      </c>
      <c r="E128" s="83" t="inlineStr">
        <is>
          <t>Other concrete product manufacturing</t>
        </is>
      </c>
      <c r="F128" s="84" t="inlineStr">
        <is>
          <t>327390</t>
        </is>
      </c>
      <c r="G128" s="83" t="n">
        <v>215</v>
      </c>
      <c r="H128" s="83" t="n">
        <v>143</v>
      </c>
      <c r="I128" s="88">
        <f>G128/H128</f>
        <v/>
      </c>
    </row>
    <row r="129" ht="13.8" customHeight="1" s="82">
      <c r="A129" s="83" t="inlineStr">
        <is>
          <t>327400</t>
        </is>
      </c>
      <c r="B129" s="83" t="inlineStr">
        <is>
          <t>327</t>
        </is>
      </c>
      <c r="C129" s="83">
        <f>TRUE()</f>
        <v/>
      </c>
      <c r="D129" s="83" t="inlineStr">
        <is>
          <t>Nonmetallic mineral products</t>
        </is>
      </c>
      <c r="E129" s="83" t="inlineStr">
        <is>
          <t>Lime and gypsum product manufacturing</t>
        </is>
      </c>
      <c r="F129" s="84" t="inlineStr">
        <is>
          <t>327400</t>
        </is>
      </c>
      <c r="G129" s="83" t="n">
        <v>107</v>
      </c>
      <c r="H129" s="83" t="n">
        <v>71</v>
      </c>
      <c r="I129" s="88">
        <f>G129/H129</f>
        <v/>
      </c>
    </row>
    <row r="130" ht="13.8" customHeight="1" s="82">
      <c r="A130" s="83" t="inlineStr">
        <is>
          <t>327910</t>
        </is>
      </c>
      <c r="B130" s="83" t="inlineStr">
        <is>
          <t>327</t>
        </is>
      </c>
      <c r="C130" s="83">
        <f>TRUE()</f>
        <v/>
      </c>
      <c r="D130" s="83" t="inlineStr">
        <is>
          <t>Nonmetallic mineral products</t>
        </is>
      </c>
      <c r="E130" s="83" t="inlineStr">
        <is>
          <t>Abrasive product manufacturing</t>
        </is>
      </c>
      <c r="F130" s="84" t="inlineStr">
        <is>
          <t>327910</t>
        </is>
      </c>
      <c r="G130" s="83" t="n">
        <v>586</v>
      </c>
      <c r="H130" s="83" t="n">
        <v>382</v>
      </c>
      <c r="I130" s="88">
        <f>G130/H130</f>
        <v/>
      </c>
    </row>
    <row r="131" ht="13.8" customHeight="1" s="82">
      <c r="A131" s="83" t="inlineStr">
        <is>
          <t>327991</t>
        </is>
      </c>
      <c r="B131" s="83" t="inlineStr">
        <is>
          <t>327</t>
        </is>
      </c>
      <c r="C131" s="83">
        <f>TRUE()</f>
        <v/>
      </c>
      <c r="D131" s="83" t="inlineStr">
        <is>
          <t>Nonmetallic mineral products</t>
        </is>
      </c>
      <c r="E131" s="83" t="inlineStr">
        <is>
          <t>Cut stone and stone product manufacturing</t>
        </is>
      </c>
      <c r="F131" s="84" t="inlineStr">
        <is>
          <t>327991</t>
        </is>
      </c>
      <c r="G131" s="83" t="n">
        <v>6394</v>
      </c>
      <c r="H131" s="83" t="n">
        <v>5100</v>
      </c>
      <c r="I131" s="88">
        <f>G131/H131</f>
        <v/>
      </c>
    </row>
    <row r="132" ht="13.8" customHeight="1" s="82">
      <c r="A132" s="83" t="inlineStr">
        <is>
          <t>327992</t>
        </is>
      </c>
      <c r="B132" s="83" t="inlineStr">
        <is>
          <t>327</t>
        </is>
      </c>
      <c r="C132" s="83">
        <f>TRUE()</f>
        <v/>
      </c>
      <c r="D132" s="83" t="inlineStr">
        <is>
          <t>Nonmetallic mineral products</t>
        </is>
      </c>
      <c r="E132" s="83" t="inlineStr">
        <is>
          <t>Ground or treated mineral and earth manufacturing</t>
        </is>
      </c>
      <c r="F132" s="84" t="inlineStr">
        <is>
          <t>327992</t>
        </is>
      </c>
      <c r="G132" s="83" t="n">
        <v>123</v>
      </c>
      <c r="H132" s="83" t="n">
        <v>80</v>
      </c>
      <c r="I132" s="88">
        <f>G132/H132</f>
        <v/>
      </c>
    </row>
    <row r="133" ht="13.8" customHeight="1" s="82">
      <c r="A133" s="83" t="inlineStr">
        <is>
          <t>327993</t>
        </is>
      </c>
      <c r="B133" s="83" t="inlineStr">
        <is>
          <t>327</t>
        </is>
      </c>
      <c r="C133" s="83">
        <f>TRUE()</f>
        <v/>
      </c>
      <c r="D133" s="83" t="inlineStr">
        <is>
          <t>Nonmetallic mineral products</t>
        </is>
      </c>
      <c r="E133" s="83" t="inlineStr">
        <is>
          <t>Mineral wool manufacturing</t>
        </is>
      </c>
      <c r="F133" s="84" t="inlineStr">
        <is>
          <t>327993</t>
        </is>
      </c>
      <c r="G133" s="83" t="n">
        <v>0</v>
      </c>
      <c r="H133" s="83" t="n">
        <v>0</v>
      </c>
      <c r="I133" s="88">
        <f>G133/H133</f>
        <v/>
      </c>
    </row>
    <row r="134" ht="13.8" customHeight="1" s="82">
      <c r="A134" s="83" t="inlineStr">
        <is>
          <t>327999</t>
        </is>
      </c>
      <c r="B134" s="83" t="inlineStr">
        <is>
          <t>327</t>
        </is>
      </c>
      <c r="C134" s="83">
        <f>TRUE()</f>
        <v/>
      </c>
      <c r="D134" s="83" t="inlineStr">
        <is>
          <t>Nonmetallic mineral products</t>
        </is>
      </c>
      <c r="E134" s="83" t="inlineStr">
        <is>
          <t>Miscellaneous nonmetallic mineral products</t>
        </is>
      </c>
      <c r="F134" s="84" t="inlineStr">
        <is>
          <t>327999</t>
        </is>
      </c>
      <c r="G134" s="83" t="n">
        <v>0</v>
      </c>
      <c r="H134" s="83" t="n">
        <v>0</v>
      </c>
      <c r="I134" s="88">
        <f>G134/H134</f>
        <v/>
      </c>
    </row>
    <row r="135" ht="13.8" customHeight="1" s="82">
      <c r="A135" s="83" t="inlineStr">
        <is>
          <t>331110</t>
        </is>
      </c>
      <c r="B135" s="83" t="inlineStr">
        <is>
          <t>331</t>
        </is>
      </c>
      <c r="C135" s="83">
        <f>TRUE()</f>
        <v/>
      </c>
      <c r="D135" s="83" t="inlineStr">
        <is>
          <t>Primary metals</t>
        </is>
      </c>
      <c r="E135" s="83" t="inlineStr">
        <is>
          <t>Iron and steel mills and ferroalloy manufacturing</t>
        </is>
      </c>
      <c r="F135" s="84" t="inlineStr">
        <is>
          <t>331110</t>
        </is>
      </c>
      <c r="G135" s="83" t="n">
        <v>0</v>
      </c>
      <c r="H135" s="83" t="n">
        <v>0</v>
      </c>
      <c r="I135" s="88">
        <f>G135/H135</f>
        <v/>
      </c>
    </row>
    <row r="136" ht="13.8" customHeight="1" s="82">
      <c r="A136" s="83" t="inlineStr">
        <is>
          <t>331200</t>
        </is>
      </c>
      <c r="B136" s="83" t="inlineStr">
        <is>
          <t>331</t>
        </is>
      </c>
      <c r="C136" s="83">
        <f>TRUE()</f>
        <v/>
      </c>
      <c r="D136" s="83" t="inlineStr">
        <is>
          <t>Primary metals</t>
        </is>
      </c>
      <c r="E136" s="83" t="inlineStr">
        <is>
          <t>Steel product manufacturing from purchased steel</t>
        </is>
      </c>
      <c r="F136" s="84" t="inlineStr">
        <is>
          <t>331200</t>
        </is>
      </c>
      <c r="G136" s="83" t="n">
        <v>1924</v>
      </c>
      <c r="H136" s="83" t="n">
        <v>1300</v>
      </c>
      <c r="I136" s="88">
        <f>G136/H136</f>
        <v/>
      </c>
    </row>
    <row r="137" ht="13.8" customHeight="1" s="82">
      <c r="A137" s="83" t="inlineStr">
        <is>
          <t>331313</t>
        </is>
      </c>
      <c r="B137" s="83" t="inlineStr">
        <is>
          <t>331</t>
        </is>
      </c>
      <c r="C137" s="83">
        <f>TRUE()</f>
        <v/>
      </c>
      <c r="D137" s="83" t="inlineStr">
        <is>
          <t>Primary metals</t>
        </is>
      </c>
      <c r="E137" s="83" t="inlineStr">
        <is>
          <t>Alumina refining and primary aluminum production</t>
        </is>
      </c>
      <c r="F137" s="84" t="inlineStr">
        <is>
          <t>331313</t>
        </is>
      </c>
      <c r="G137" s="83" t="n">
        <v>0</v>
      </c>
      <c r="H137" s="83" t="n">
        <v>0</v>
      </c>
      <c r="I137" s="88">
        <f>G137/H137</f>
        <v/>
      </c>
    </row>
    <row r="138" ht="13.8" customHeight="1" s="82">
      <c r="A138" s="83" t="inlineStr">
        <is>
          <t>33131B</t>
        </is>
      </c>
      <c r="B138" s="83" t="inlineStr">
        <is>
          <t>331</t>
        </is>
      </c>
      <c r="C138" s="83">
        <f>TRUE()</f>
        <v/>
      </c>
      <c r="D138" s="83" t="inlineStr">
        <is>
          <t>Primary metals</t>
        </is>
      </c>
      <c r="E138" s="83" t="inlineStr">
        <is>
          <t>Aluminum product manufacturing from purchased aluminum</t>
        </is>
      </c>
      <c r="F138" s="84" t="inlineStr">
        <is>
          <t>33131B</t>
        </is>
      </c>
      <c r="G138" s="83" t="n">
        <v>0</v>
      </c>
      <c r="H138" s="83" t="n">
        <v>0</v>
      </c>
      <c r="I138" s="88">
        <f>G138/H138</f>
        <v/>
      </c>
    </row>
    <row r="139" ht="13.8" customHeight="1" s="82">
      <c r="A139" s="83" t="inlineStr">
        <is>
          <t>331410</t>
        </is>
      </c>
      <c r="B139" s="83" t="inlineStr">
        <is>
          <t>331</t>
        </is>
      </c>
      <c r="C139" s="83">
        <f>TRUE()</f>
        <v/>
      </c>
      <c r="D139" s="83" t="inlineStr">
        <is>
          <t>Primary metals</t>
        </is>
      </c>
      <c r="E139" s="83" t="inlineStr">
        <is>
          <t>Nonferrous metal (except aluminum) smelting and refining</t>
        </is>
      </c>
      <c r="F139" s="84" t="inlineStr">
        <is>
          <t>331410</t>
        </is>
      </c>
      <c r="G139" s="83" t="n">
        <v>0</v>
      </c>
      <c r="H139" s="83" t="n">
        <v>0</v>
      </c>
      <c r="I139" s="88">
        <f>G139/H139</f>
        <v/>
      </c>
    </row>
    <row r="140" ht="13.8" customHeight="1" s="82">
      <c r="A140" s="83" t="inlineStr">
        <is>
          <t>331420</t>
        </is>
      </c>
      <c r="B140" s="83" t="inlineStr">
        <is>
          <t>331</t>
        </is>
      </c>
      <c r="C140" s="83">
        <f>TRUE()</f>
        <v/>
      </c>
      <c r="D140" s="83" t="inlineStr">
        <is>
          <t>Primary metals</t>
        </is>
      </c>
      <c r="E140" s="83" t="inlineStr">
        <is>
          <t>Copper rolling, drawing, extruding and alloying</t>
        </is>
      </c>
      <c r="F140" s="84" t="inlineStr">
        <is>
          <t>331420</t>
        </is>
      </c>
      <c r="G140" s="83" t="n">
        <v>0</v>
      </c>
      <c r="H140" s="83" t="n">
        <v>0</v>
      </c>
      <c r="I140" s="88">
        <f>G140/H140</f>
        <v/>
      </c>
    </row>
    <row r="141" ht="13.8" customHeight="1" s="82">
      <c r="A141" s="83" t="inlineStr">
        <is>
          <t>331490</t>
        </is>
      </c>
      <c r="B141" s="83" t="inlineStr">
        <is>
          <t>331</t>
        </is>
      </c>
      <c r="C141" s="83">
        <f>TRUE()</f>
        <v/>
      </c>
      <c r="D141" s="83" t="inlineStr">
        <is>
          <t>Primary metals</t>
        </is>
      </c>
      <c r="E141" s="83" t="inlineStr">
        <is>
          <t>Nonferrous metal (except copper and aluminum) rolling, drawing, extruding and alloying</t>
        </is>
      </c>
      <c r="F141" s="84" t="inlineStr">
        <is>
          <t>331490</t>
        </is>
      </c>
      <c r="G141" s="83" t="n">
        <v>130</v>
      </c>
      <c r="H141" s="83" t="n">
        <v>90</v>
      </c>
      <c r="I141" s="88">
        <f>G141/H141</f>
        <v/>
      </c>
    </row>
    <row r="142" ht="13.8" customHeight="1" s="82">
      <c r="A142" s="83" t="inlineStr">
        <is>
          <t>331510</t>
        </is>
      </c>
      <c r="B142" s="83" t="inlineStr">
        <is>
          <t>331</t>
        </is>
      </c>
      <c r="C142" s="83">
        <f>TRUE()</f>
        <v/>
      </c>
      <c r="D142" s="83" t="inlineStr">
        <is>
          <t>Primary metals</t>
        </is>
      </c>
      <c r="E142" s="83" t="inlineStr">
        <is>
          <t>Ferrous metal foundries</t>
        </is>
      </c>
      <c r="F142" s="84" t="inlineStr">
        <is>
          <t>331510</t>
        </is>
      </c>
      <c r="G142" s="83" t="n">
        <v>0</v>
      </c>
      <c r="H142" s="83" t="n">
        <v>0</v>
      </c>
      <c r="I142" s="88">
        <f>G142/H142</f>
        <v/>
      </c>
    </row>
    <row r="143" ht="13.8" customHeight="1" s="82">
      <c r="A143" s="83" t="inlineStr">
        <is>
          <t>331520</t>
        </is>
      </c>
      <c r="B143" s="83" t="inlineStr">
        <is>
          <t>331</t>
        </is>
      </c>
      <c r="C143" s="83">
        <f>TRUE()</f>
        <v/>
      </c>
      <c r="D143" s="83" t="inlineStr">
        <is>
          <t>Primary metals</t>
        </is>
      </c>
      <c r="E143" s="83" t="inlineStr">
        <is>
          <t>Nonferrous metal foundries</t>
        </is>
      </c>
      <c r="F143" s="84" t="inlineStr">
        <is>
          <t>331520</t>
        </is>
      </c>
      <c r="G143" s="83" t="n">
        <v>36</v>
      </c>
      <c r="H143" s="83" t="n">
        <v>25</v>
      </c>
      <c r="I143" s="88">
        <f>G143/H143</f>
        <v/>
      </c>
    </row>
    <row r="144" ht="13.8" customHeight="1" s="82">
      <c r="A144" s="83" t="inlineStr">
        <is>
          <t>332114</t>
        </is>
      </c>
      <c r="B144" s="83" t="inlineStr">
        <is>
          <t>332</t>
        </is>
      </c>
      <c r="C144" s="83">
        <f>TRUE()</f>
        <v/>
      </c>
      <c r="D144" s="83" t="inlineStr">
        <is>
          <t>Fabricated metal products</t>
        </is>
      </c>
      <c r="E144" s="83" t="inlineStr">
        <is>
          <t>Custom roll forming</t>
        </is>
      </c>
      <c r="F144" s="84" t="inlineStr">
        <is>
          <t>332114</t>
        </is>
      </c>
      <c r="G144" s="83" t="n">
        <v>0</v>
      </c>
      <c r="H144" s="83" t="n">
        <v>0</v>
      </c>
      <c r="I144" s="88">
        <f>G144/H144</f>
        <v/>
      </c>
    </row>
    <row r="145" ht="13.8" customHeight="1" s="82">
      <c r="A145" s="83" t="inlineStr">
        <is>
          <t>332119</t>
        </is>
      </c>
      <c r="B145" s="83" t="inlineStr">
        <is>
          <t>332</t>
        </is>
      </c>
      <c r="C145" s="83">
        <f>TRUE()</f>
        <v/>
      </c>
      <c r="D145" s="83" t="inlineStr">
        <is>
          <t>Fabricated metal products</t>
        </is>
      </c>
      <c r="E145" s="83" t="inlineStr">
        <is>
          <t>Metal crown, closure, and other metal stamping (except automotive)</t>
        </is>
      </c>
      <c r="F145" s="84" t="inlineStr">
        <is>
          <t>332119</t>
        </is>
      </c>
      <c r="G145" s="83" t="n">
        <v>405</v>
      </c>
      <c r="H145" s="83" t="n">
        <v>279</v>
      </c>
      <c r="I145" s="88">
        <f>G145/H145</f>
        <v/>
      </c>
    </row>
    <row r="146" ht="13.8" customHeight="1" s="82">
      <c r="A146" s="83" t="inlineStr">
        <is>
          <t>33211A</t>
        </is>
      </c>
      <c r="B146" s="83" t="inlineStr">
        <is>
          <t>332</t>
        </is>
      </c>
      <c r="C146" s="83">
        <f>TRUE()</f>
        <v/>
      </c>
      <c r="D146" s="83" t="inlineStr">
        <is>
          <t>Fabricated metal products</t>
        </is>
      </c>
      <c r="E146" s="83" t="inlineStr">
        <is>
          <t>All other forging, stamping, and sintering</t>
        </is>
      </c>
      <c r="F146" s="84" t="inlineStr">
        <is>
          <t>33211A</t>
        </is>
      </c>
      <c r="G146" s="83" t="n">
        <v>0</v>
      </c>
      <c r="H146" s="83" t="n">
        <v>0</v>
      </c>
      <c r="I146" s="88">
        <f>G146/H146</f>
        <v/>
      </c>
    </row>
    <row r="147" ht="13.8" customHeight="1" s="82">
      <c r="A147" s="83" t="inlineStr">
        <is>
          <t>332200</t>
        </is>
      </c>
      <c r="B147" s="83" t="inlineStr">
        <is>
          <t>332</t>
        </is>
      </c>
      <c r="C147" s="83">
        <f>TRUE()</f>
        <v/>
      </c>
      <c r="D147" s="83" t="inlineStr">
        <is>
          <t>Fabricated metal products</t>
        </is>
      </c>
      <c r="E147" s="83" t="inlineStr">
        <is>
          <t>Cutlery and handtool manufacturing</t>
        </is>
      </c>
      <c r="F147" s="84" t="inlineStr">
        <is>
          <t>332200</t>
        </is>
      </c>
      <c r="G147" s="83" t="n">
        <v>24170</v>
      </c>
      <c r="H147" s="83" t="n">
        <v>16127</v>
      </c>
      <c r="I147" s="88">
        <f>G147/H147</f>
        <v/>
      </c>
    </row>
    <row r="148" ht="13.8" customHeight="1" s="82">
      <c r="A148" s="83" t="inlineStr">
        <is>
          <t>332310</t>
        </is>
      </c>
      <c r="B148" s="83" t="inlineStr">
        <is>
          <t>332</t>
        </is>
      </c>
      <c r="C148" s="83">
        <f>TRUE()</f>
        <v/>
      </c>
      <c r="D148" s="83" t="inlineStr">
        <is>
          <t>Fabricated metal products</t>
        </is>
      </c>
      <c r="E148" s="83" t="inlineStr">
        <is>
          <t>Plate work and fabricated structural product manufacturing</t>
        </is>
      </c>
      <c r="F148" s="84" t="inlineStr">
        <is>
          <t>332310</t>
        </is>
      </c>
      <c r="G148" s="83" t="n">
        <v>436</v>
      </c>
      <c r="H148" s="83" t="n">
        <v>290</v>
      </c>
      <c r="I148" s="88">
        <f>G148/H148</f>
        <v/>
      </c>
    </row>
    <row r="149" ht="13.8" customHeight="1" s="82">
      <c r="A149" s="83" t="inlineStr">
        <is>
          <t>332320</t>
        </is>
      </c>
      <c r="B149" s="83" t="inlineStr">
        <is>
          <t>332</t>
        </is>
      </c>
      <c r="C149" s="83">
        <f>TRUE()</f>
        <v/>
      </c>
      <c r="D149" s="83" t="inlineStr">
        <is>
          <t>Fabricated metal products</t>
        </is>
      </c>
      <c r="E149" s="83" t="inlineStr">
        <is>
          <t>Ornamental and architectural metal products manufacturing</t>
        </is>
      </c>
      <c r="F149" s="84" t="inlineStr">
        <is>
          <t>332320</t>
        </is>
      </c>
      <c r="G149" s="83" t="n">
        <v>0</v>
      </c>
      <c r="H149" s="83" t="n">
        <v>0</v>
      </c>
      <c r="I149" s="88">
        <f>G149/H149</f>
        <v/>
      </c>
    </row>
    <row r="150" ht="13.8" customHeight="1" s="82">
      <c r="A150" s="83" t="inlineStr">
        <is>
          <t>332410</t>
        </is>
      </c>
      <c r="B150" s="83" t="inlineStr">
        <is>
          <t>332</t>
        </is>
      </c>
      <c r="C150" s="83">
        <f>TRUE()</f>
        <v/>
      </c>
      <c r="D150" s="83" t="inlineStr">
        <is>
          <t>Fabricated metal products</t>
        </is>
      </c>
      <c r="E150" s="83" t="inlineStr">
        <is>
          <t>Power boiler and heat exchanger manufacturing</t>
        </is>
      </c>
      <c r="F150" s="84" t="inlineStr">
        <is>
          <t>332410</t>
        </is>
      </c>
      <c r="G150" s="83" t="n">
        <v>0</v>
      </c>
      <c r="H150" s="83" t="n">
        <v>0</v>
      </c>
      <c r="I150" s="88">
        <f>G150/H150</f>
        <v/>
      </c>
    </row>
    <row r="151" ht="13.8" customHeight="1" s="82">
      <c r="A151" s="83" t="inlineStr">
        <is>
          <t>332420</t>
        </is>
      </c>
      <c r="B151" s="83" t="inlineStr">
        <is>
          <t>332</t>
        </is>
      </c>
      <c r="C151" s="83">
        <f>TRUE()</f>
        <v/>
      </c>
      <c r="D151" s="83" t="inlineStr">
        <is>
          <t>Fabricated metal products</t>
        </is>
      </c>
      <c r="E151" s="83" t="inlineStr">
        <is>
          <t>Metal tank (heavy gauge) manufacturing</t>
        </is>
      </c>
      <c r="F151" s="84" t="inlineStr">
        <is>
          <t>332420</t>
        </is>
      </c>
      <c r="G151" s="83" t="n">
        <v>0</v>
      </c>
      <c r="H151" s="83" t="n">
        <v>0</v>
      </c>
      <c r="I151" s="88">
        <f>G151/H151</f>
        <v/>
      </c>
    </row>
    <row r="152" ht="13.8" customHeight="1" s="82">
      <c r="A152" s="83" t="inlineStr">
        <is>
          <t>332430</t>
        </is>
      </c>
      <c r="B152" s="83" t="inlineStr">
        <is>
          <t>332</t>
        </is>
      </c>
      <c r="C152" s="83">
        <f>TRUE()</f>
        <v/>
      </c>
      <c r="D152" s="83" t="inlineStr">
        <is>
          <t>Fabricated metal products</t>
        </is>
      </c>
      <c r="E152" s="83" t="inlineStr">
        <is>
          <t>Metal can, box, and other metal container (light gauge) manufacturing</t>
        </is>
      </c>
      <c r="F152" s="84" t="inlineStr">
        <is>
          <t>332430</t>
        </is>
      </c>
      <c r="G152" s="83" t="n">
        <v>745</v>
      </c>
      <c r="H152" s="83" t="n">
        <v>513</v>
      </c>
      <c r="I152" s="88">
        <f>G152/H152</f>
        <v/>
      </c>
    </row>
    <row r="153" ht="13.8" customHeight="1" s="82">
      <c r="A153" s="83" t="inlineStr">
        <is>
          <t>332500</t>
        </is>
      </c>
      <c r="B153" s="83" t="inlineStr">
        <is>
          <t>332</t>
        </is>
      </c>
      <c r="C153" s="83">
        <f>TRUE()</f>
        <v/>
      </c>
      <c r="D153" s="83" t="inlineStr">
        <is>
          <t>Fabricated metal products</t>
        </is>
      </c>
      <c r="E153" s="83" t="inlineStr">
        <is>
          <t>Hardware manufacturing</t>
        </is>
      </c>
      <c r="F153" s="84" t="inlineStr">
        <is>
          <t>332500</t>
        </is>
      </c>
      <c r="G153" s="83" t="n">
        <v>5180</v>
      </c>
      <c r="H153" s="83" t="n">
        <v>3572</v>
      </c>
      <c r="I153" s="88">
        <f>G153/H153</f>
        <v/>
      </c>
    </row>
    <row r="154" ht="13.8" customHeight="1" s="82">
      <c r="A154" s="83" t="inlineStr">
        <is>
          <t>332600</t>
        </is>
      </c>
      <c r="B154" s="83" t="inlineStr">
        <is>
          <t>332</t>
        </is>
      </c>
      <c r="C154" s="83">
        <f>TRUE()</f>
        <v/>
      </c>
      <c r="D154" s="83" t="inlineStr">
        <is>
          <t>Fabricated metal products</t>
        </is>
      </c>
      <c r="E154" s="83" t="inlineStr">
        <is>
          <t>Spring and wire product manufacturing</t>
        </is>
      </c>
      <c r="F154" s="84" t="inlineStr">
        <is>
          <t>332600</t>
        </is>
      </c>
      <c r="G154" s="83" t="n">
        <v>329</v>
      </c>
      <c r="H154" s="83" t="n">
        <v>239</v>
      </c>
      <c r="I154" s="88">
        <f>G154/H154</f>
        <v/>
      </c>
    </row>
    <row r="155" ht="13.8" customHeight="1" s="82">
      <c r="A155" s="83" t="inlineStr">
        <is>
          <t>332710</t>
        </is>
      </c>
      <c r="B155" s="83" t="inlineStr">
        <is>
          <t>332</t>
        </is>
      </c>
      <c r="C155" s="83">
        <f>TRUE()</f>
        <v/>
      </c>
      <c r="D155" s="83" t="inlineStr">
        <is>
          <t>Fabricated metal products</t>
        </is>
      </c>
      <c r="E155" s="83" t="inlineStr">
        <is>
          <t>Machine shops</t>
        </is>
      </c>
      <c r="F155" s="84" t="inlineStr">
        <is>
          <t>332710</t>
        </is>
      </c>
      <c r="G155" s="83" t="n">
        <v>0</v>
      </c>
      <c r="H155" s="83" t="n">
        <v>0</v>
      </c>
      <c r="I155" s="88">
        <f>G155/H155</f>
        <v/>
      </c>
    </row>
    <row r="156" ht="13.8" customHeight="1" s="82">
      <c r="A156" s="83" t="inlineStr">
        <is>
          <t>332720</t>
        </is>
      </c>
      <c r="B156" s="83" t="inlineStr">
        <is>
          <t>332</t>
        </is>
      </c>
      <c r="C156" s="83">
        <f>TRUE()</f>
        <v/>
      </c>
      <c r="D156" s="83" t="inlineStr">
        <is>
          <t>Fabricated metal products</t>
        </is>
      </c>
      <c r="E156" s="83" t="inlineStr">
        <is>
          <t>Turned product and screw, nut, and bolt manufacturing</t>
        </is>
      </c>
      <c r="F156" s="84" t="inlineStr">
        <is>
          <t>332720</t>
        </is>
      </c>
      <c r="G156" s="83" t="n">
        <v>3307</v>
      </c>
      <c r="H156" s="83" t="n">
        <v>2157</v>
      </c>
      <c r="I156" s="88">
        <f>G156/H156</f>
        <v/>
      </c>
    </row>
    <row r="157" ht="13.8" customHeight="1" s="82">
      <c r="A157" s="83" t="inlineStr">
        <is>
          <t>332800</t>
        </is>
      </c>
      <c r="B157" s="83" t="inlineStr">
        <is>
          <t>332</t>
        </is>
      </c>
      <c r="C157" s="83">
        <f>TRUE()</f>
        <v/>
      </c>
      <c r="D157" s="83" t="inlineStr">
        <is>
          <t>Fabricated metal products</t>
        </is>
      </c>
      <c r="E157" s="83" t="inlineStr">
        <is>
          <t>Coating, engraving, heat treating and allied activities</t>
        </is>
      </c>
      <c r="F157" s="84" t="inlineStr">
        <is>
          <t>332800</t>
        </is>
      </c>
      <c r="G157" s="83" t="n">
        <v>0</v>
      </c>
      <c r="H157" s="83" t="n">
        <v>0</v>
      </c>
      <c r="I157" s="88">
        <f>G157/H157</f>
        <v/>
      </c>
    </row>
    <row r="158" ht="13.8" customHeight="1" s="82">
      <c r="A158" s="83" t="inlineStr">
        <is>
          <t>332913</t>
        </is>
      </c>
      <c r="B158" s="83" t="inlineStr">
        <is>
          <t>332</t>
        </is>
      </c>
      <c r="C158" s="83">
        <f>TRUE()</f>
        <v/>
      </c>
      <c r="D158" s="83" t="inlineStr">
        <is>
          <t>Fabricated metal products</t>
        </is>
      </c>
      <c r="E158" s="83" t="inlineStr">
        <is>
          <t>Plumbing fixture fitting and trim manufacturing</t>
        </is>
      </c>
      <c r="F158" s="84" t="inlineStr">
        <is>
          <t>332913</t>
        </is>
      </c>
      <c r="G158" s="83" t="n">
        <v>0</v>
      </c>
      <c r="H158" s="83" t="n">
        <v>0</v>
      </c>
      <c r="I158" s="88">
        <f>G158/H158</f>
        <v/>
      </c>
    </row>
    <row r="159" ht="13.8" customHeight="1" s="82">
      <c r="A159" s="83" t="inlineStr">
        <is>
          <t>33291A</t>
        </is>
      </c>
      <c r="B159" s="83" t="inlineStr">
        <is>
          <t>332</t>
        </is>
      </c>
      <c r="C159" s="83">
        <f>TRUE()</f>
        <v/>
      </c>
      <c r="D159" s="83" t="inlineStr">
        <is>
          <t>Fabricated metal products</t>
        </is>
      </c>
      <c r="E159" s="83" t="inlineStr">
        <is>
          <t>Valve and fittings other than plumbing</t>
        </is>
      </c>
      <c r="F159" s="84" t="inlineStr">
        <is>
          <t>33291A</t>
        </is>
      </c>
      <c r="G159" s="83" t="n">
        <v>0</v>
      </c>
      <c r="H159" s="83" t="n">
        <v>0</v>
      </c>
      <c r="I159" s="88">
        <f>G159/H159</f>
        <v/>
      </c>
    </row>
    <row r="160" ht="13.8" customHeight="1" s="82">
      <c r="A160" s="83" t="inlineStr">
        <is>
          <t>332991</t>
        </is>
      </c>
      <c r="B160" s="83" t="inlineStr">
        <is>
          <t>332</t>
        </is>
      </c>
      <c r="C160" s="83">
        <f>TRUE()</f>
        <v/>
      </c>
      <c r="D160" s="83" t="inlineStr">
        <is>
          <t>Fabricated metal products</t>
        </is>
      </c>
      <c r="E160" s="83" t="inlineStr">
        <is>
          <t>Ball and roller bearing manufacturing</t>
        </is>
      </c>
      <c r="F160" s="84" t="inlineStr">
        <is>
          <t>332991</t>
        </is>
      </c>
      <c r="G160" s="83" t="n">
        <v>0</v>
      </c>
      <c r="H160" s="83" t="n">
        <v>0</v>
      </c>
      <c r="I160" s="88">
        <f>G160/H160</f>
        <v/>
      </c>
    </row>
    <row r="161" ht="13.8" customHeight="1" s="82">
      <c r="A161" s="83" t="inlineStr">
        <is>
          <t>332996</t>
        </is>
      </c>
      <c r="B161" s="83" t="inlineStr">
        <is>
          <t>332</t>
        </is>
      </c>
      <c r="C161" s="83">
        <f>TRUE()</f>
        <v/>
      </c>
      <c r="D161" s="83" t="inlineStr">
        <is>
          <t>Fabricated metal products</t>
        </is>
      </c>
      <c r="E161" s="83" t="inlineStr">
        <is>
          <t>Fabricated pipe and pipe fitting manufacturing</t>
        </is>
      </c>
      <c r="F161" s="84" t="inlineStr">
        <is>
          <t>332996</t>
        </is>
      </c>
      <c r="G161" s="83" t="n">
        <v>0</v>
      </c>
      <c r="H161" s="83" t="n">
        <v>0</v>
      </c>
      <c r="I161" s="88">
        <f>G161/H161</f>
        <v/>
      </c>
    </row>
    <row r="162" ht="13.8" customHeight="1" s="82">
      <c r="A162" s="83" t="inlineStr">
        <is>
          <t>332999</t>
        </is>
      </c>
      <c r="B162" s="83" t="inlineStr">
        <is>
          <t>332</t>
        </is>
      </c>
      <c r="C162" s="83">
        <f>TRUE()</f>
        <v/>
      </c>
      <c r="D162" s="83" t="inlineStr">
        <is>
          <t>Fabricated metal products</t>
        </is>
      </c>
      <c r="E162" s="83" t="inlineStr">
        <is>
          <t>Other fabricated metal manufacturing</t>
        </is>
      </c>
      <c r="F162" s="84" t="inlineStr">
        <is>
          <t>332999</t>
        </is>
      </c>
      <c r="G162" s="83" t="n">
        <v>6756</v>
      </c>
      <c r="H162" s="83" t="n">
        <v>4643</v>
      </c>
      <c r="I162" s="88">
        <f>G162/H162</f>
        <v/>
      </c>
    </row>
    <row r="163" ht="13.8" customHeight="1" s="82">
      <c r="A163" s="83" t="inlineStr">
        <is>
          <t>33299A</t>
        </is>
      </c>
      <c r="B163" s="83" t="inlineStr">
        <is>
          <t>332</t>
        </is>
      </c>
      <c r="C163" s="83">
        <f>TRUE()</f>
        <v/>
      </c>
      <c r="D163" s="83" t="inlineStr">
        <is>
          <t>Fabricated metal products</t>
        </is>
      </c>
      <c r="E163" s="83" t="inlineStr">
        <is>
          <t>Ammunition, arms, ordnance, and accessories manufacturing</t>
        </is>
      </c>
      <c r="F163" s="84" t="inlineStr">
        <is>
          <t>33299A</t>
        </is>
      </c>
      <c r="G163" s="83" t="n">
        <v>28202</v>
      </c>
      <c r="H163" s="83" t="n">
        <v>16439</v>
      </c>
      <c r="I163" s="88">
        <f>G163/H163</f>
        <v/>
      </c>
    </row>
    <row r="164" ht="13.8" customHeight="1" s="82">
      <c r="A164" s="83" t="inlineStr">
        <is>
          <t>333111</t>
        </is>
      </c>
      <c r="B164" s="83" t="inlineStr">
        <is>
          <t>333</t>
        </is>
      </c>
      <c r="C164" s="83">
        <f>TRUE()</f>
        <v/>
      </c>
      <c r="D164" s="83" t="inlineStr">
        <is>
          <t>Machinery</t>
        </is>
      </c>
      <c r="E164" s="83" t="inlineStr">
        <is>
          <t>Farm machinery and equipment manufacturing</t>
        </is>
      </c>
      <c r="F164" s="84" t="inlineStr">
        <is>
          <t>333111</t>
        </is>
      </c>
      <c r="G164" s="83" t="n">
        <v>0</v>
      </c>
      <c r="H164" s="83" t="n">
        <v>0</v>
      </c>
      <c r="I164" s="88">
        <f>G164/H164</f>
        <v/>
      </c>
    </row>
    <row r="165" ht="13.8" customHeight="1" s="82">
      <c r="A165" s="83" t="inlineStr">
        <is>
          <t>333112</t>
        </is>
      </c>
      <c r="B165" s="83" t="inlineStr">
        <is>
          <t>333</t>
        </is>
      </c>
      <c r="C165" s="83">
        <f>TRUE()</f>
        <v/>
      </c>
      <c r="D165" s="83" t="inlineStr">
        <is>
          <t>Machinery</t>
        </is>
      </c>
      <c r="E165" s="83" t="inlineStr">
        <is>
          <t>Lawn and garden equipment manufacturing</t>
        </is>
      </c>
      <c r="F165" s="84" t="inlineStr">
        <is>
          <t>333112</t>
        </is>
      </c>
      <c r="G165" s="83" t="n">
        <v>6376</v>
      </c>
      <c r="H165" s="83" t="n">
        <v>4158</v>
      </c>
      <c r="I165" s="88">
        <f>G165/H165</f>
        <v/>
      </c>
    </row>
    <row r="166" ht="13.8" customHeight="1" s="82">
      <c r="A166" s="83" t="inlineStr">
        <is>
          <t>333120</t>
        </is>
      </c>
      <c r="B166" s="83" t="inlineStr">
        <is>
          <t>333</t>
        </is>
      </c>
      <c r="C166" s="83">
        <f>TRUE()</f>
        <v/>
      </c>
      <c r="D166" s="83" t="inlineStr">
        <is>
          <t>Machinery</t>
        </is>
      </c>
      <c r="E166" s="83" t="inlineStr">
        <is>
          <t>Construction machinery manufacturing</t>
        </is>
      </c>
      <c r="F166" s="84" t="inlineStr">
        <is>
          <t>333120</t>
        </is>
      </c>
      <c r="G166" s="83" t="n">
        <v>0</v>
      </c>
      <c r="H166" s="83" t="n">
        <v>0</v>
      </c>
      <c r="I166" s="88">
        <f>G166/H166</f>
        <v/>
      </c>
    </row>
    <row r="167" ht="13.8" customHeight="1" s="82">
      <c r="A167" s="83" t="inlineStr">
        <is>
          <t>333130</t>
        </is>
      </c>
      <c r="B167" s="83" t="inlineStr">
        <is>
          <t>333</t>
        </is>
      </c>
      <c r="C167" s="83">
        <f>TRUE()</f>
        <v/>
      </c>
      <c r="D167" s="83" t="inlineStr">
        <is>
          <t>Machinery</t>
        </is>
      </c>
      <c r="E167" s="83" t="inlineStr">
        <is>
          <t>Mining and oil and gas field machinery manufacturing</t>
        </is>
      </c>
      <c r="F167" s="84" t="inlineStr">
        <is>
          <t>333130</t>
        </is>
      </c>
      <c r="G167" s="83" t="n">
        <v>0</v>
      </c>
      <c r="H167" s="83" t="n">
        <v>0</v>
      </c>
      <c r="I167" s="88">
        <f>G167/H167</f>
        <v/>
      </c>
    </row>
    <row r="168" ht="13.8" customHeight="1" s="82">
      <c r="A168" s="83" t="inlineStr">
        <is>
          <t>333242</t>
        </is>
      </c>
      <c r="B168" s="83" t="inlineStr">
        <is>
          <t>333</t>
        </is>
      </c>
      <c r="C168" s="83">
        <f>TRUE()</f>
        <v/>
      </c>
      <c r="D168" s="83" t="inlineStr">
        <is>
          <t>Machinery</t>
        </is>
      </c>
      <c r="E168" s="83" t="inlineStr">
        <is>
          <t>Semiconductor machinery manufacturing</t>
        </is>
      </c>
      <c r="F168" s="84" t="inlineStr">
        <is>
          <t>333242</t>
        </is>
      </c>
      <c r="G168" s="83" t="n">
        <v>0</v>
      </c>
      <c r="H168" s="83" t="n">
        <v>0</v>
      </c>
      <c r="I168" s="88">
        <f>G168/H168</f>
        <v/>
      </c>
    </row>
    <row r="169" ht="13.8" customHeight="1" s="82">
      <c r="A169" s="83" t="inlineStr">
        <is>
          <t>33329A</t>
        </is>
      </c>
      <c r="B169" s="83" t="inlineStr">
        <is>
          <t>333</t>
        </is>
      </c>
      <c r="C169" s="83">
        <f>TRUE()</f>
        <v/>
      </c>
      <c r="D169" s="83" t="inlineStr">
        <is>
          <t>Machinery</t>
        </is>
      </c>
      <c r="E169" s="83" t="inlineStr">
        <is>
          <t>Other industrial machinery manufacturing</t>
        </is>
      </c>
      <c r="F169" s="84" t="inlineStr">
        <is>
          <t>33329A</t>
        </is>
      </c>
      <c r="G169" s="83" t="n">
        <v>1567</v>
      </c>
      <c r="H169" s="83" t="n">
        <v>1033</v>
      </c>
      <c r="I169" s="88">
        <f>G169/H169</f>
        <v/>
      </c>
    </row>
    <row r="170" ht="13.8" customHeight="1" s="82">
      <c r="A170" s="83" t="inlineStr">
        <is>
          <t>333314</t>
        </is>
      </c>
      <c r="B170" s="83" t="inlineStr">
        <is>
          <t>333</t>
        </is>
      </c>
      <c r="C170" s="83">
        <f>TRUE()</f>
        <v/>
      </c>
      <c r="D170" s="83" t="inlineStr">
        <is>
          <t>Machinery</t>
        </is>
      </c>
      <c r="E170" s="83" t="inlineStr">
        <is>
          <t>Optical instrument and lens manufacturing</t>
        </is>
      </c>
      <c r="F170" s="84" t="inlineStr">
        <is>
          <t>333314</t>
        </is>
      </c>
      <c r="G170" s="83" t="n">
        <v>75</v>
      </c>
      <c r="H170" s="83" t="n">
        <v>45</v>
      </c>
      <c r="I170" s="88">
        <f>G170/H170</f>
        <v/>
      </c>
    </row>
    <row r="171" ht="13.8" customHeight="1" s="82">
      <c r="A171" s="83" t="inlineStr">
        <is>
          <t>333316</t>
        </is>
      </c>
      <c r="B171" s="83" t="inlineStr">
        <is>
          <t>333</t>
        </is>
      </c>
      <c r="C171" s="83">
        <f>TRUE()</f>
        <v/>
      </c>
      <c r="D171" s="83" t="inlineStr">
        <is>
          <t>Machinery</t>
        </is>
      </c>
      <c r="E171" s="83" t="inlineStr">
        <is>
          <t>Photographic and photocopying equipment manufacturing</t>
        </is>
      </c>
      <c r="F171" s="84" t="inlineStr">
        <is>
          <t>333316</t>
        </is>
      </c>
      <c r="G171" s="83" t="n">
        <v>2138</v>
      </c>
      <c r="H171" s="83" t="n">
        <v>1279</v>
      </c>
      <c r="I171" s="88">
        <f>G171/H171</f>
        <v/>
      </c>
    </row>
    <row r="172" ht="13.8" customHeight="1" s="82">
      <c r="A172" s="83" t="inlineStr">
        <is>
          <t>333318</t>
        </is>
      </c>
      <c r="B172" s="83" t="inlineStr">
        <is>
          <t>333</t>
        </is>
      </c>
      <c r="C172" s="83">
        <f>TRUE()</f>
        <v/>
      </c>
      <c r="D172" s="83" t="inlineStr">
        <is>
          <t>Machinery</t>
        </is>
      </c>
      <c r="E172" s="83" t="inlineStr">
        <is>
          <t>Other commercial and service industry machinery manufacturing</t>
        </is>
      </c>
      <c r="F172" s="84" t="inlineStr">
        <is>
          <t>333318</t>
        </is>
      </c>
      <c r="G172" s="83" t="n">
        <v>578</v>
      </c>
      <c r="H172" s="83" t="n">
        <v>346</v>
      </c>
      <c r="I172" s="88">
        <f>G172/H172</f>
        <v/>
      </c>
    </row>
    <row r="173" ht="13.8" customHeight="1" s="82">
      <c r="A173" s="83" t="inlineStr">
        <is>
          <t>333413</t>
        </is>
      </c>
      <c r="B173" s="83" t="inlineStr">
        <is>
          <t>333</t>
        </is>
      </c>
      <c r="C173" s="83">
        <f>TRUE()</f>
        <v/>
      </c>
      <c r="D173" s="83" t="inlineStr">
        <is>
          <t>Machinery</t>
        </is>
      </c>
      <c r="E173" s="83" t="inlineStr">
        <is>
          <t>Industrial and commercial fan and blower and air purification equipment manufacturing</t>
        </is>
      </c>
      <c r="F173" s="84" t="inlineStr">
        <is>
          <t>333413</t>
        </is>
      </c>
      <c r="G173" s="83" t="n">
        <v>0</v>
      </c>
      <c r="H173" s="83" t="n">
        <v>0</v>
      </c>
      <c r="I173" s="88">
        <f>G173/H173</f>
        <v/>
      </c>
    </row>
    <row r="174" ht="13.8" customHeight="1" s="82">
      <c r="A174" s="83" t="inlineStr">
        <is>
          <t>333414</t>
        </is>
      </c>
      <c r="B174" s="83" t="inlineStr">
        <is>
          <t>333</t>
        </is>
      </c>
      <c r="C174" s="83">
        <f>TRUE()</f>
        <v/>
      </c>
      <c r="D174" s="83" t="inlineStr">
        <is>
          <t>Machinery</t>
        </is>
      </c>
      <c r="E174" s="83" t="inlineStr">
        <is>
          <t>Heating equipment (except warm air furnaces) manufacturing</t>
        </is>
      </c>
      <c r="F174" s="84" t="inlineStr">
        <is>
          <t>333414</t>
        </is>
      </c>
      <c r="G174" s="83" t="n">
        <v>3644</v>
      </c>
      <c r="H174" s="83" t="n">
        <v>2528</v>
      </c>
      <c r="I174" s="88">
        <f>G174/H174</f>
        <v/>
      </c>
    </row>
    <row r="175" ht="13.8" customHeight="1" s="82">
      <c r="A175" s="83" t="inlineStr">
        <is>
          <t>333415</t>
        </is>
      </c>
      <c r="B175" s="83" t="inlineStr">
        <is>
          <t>333</t>
        </is>
      </c>
      <c r="C175" s="83">
        <f>TRUE()</f>
        <v/>
      </c>
      <c r="D175" s="83" t="inlineStr">
        <is>
          <t>Machinery</t>
        </is>
      </c>
      <c r="E175" s="83" t="inlineStr">
        <is>
          <t>Air conditioning, refrigeration, and warm air heating equipment manufacturing</t>
        </is>
      </c>
      <c r="F175" s="84" t="inlineStr">
        <is>
          <t>333415</t>
        </is>
      </c>
      <c r="G175" s="83" t="n">
        <v>8124</v>
      </c>
      <c r="H175" s="83" t="n">
        <v>5636</v>
      </c>
      <c r="I175" s="88">
        <f>G175/H175</f>
        <v/>
      </c>
    </row>
    <row r="176" ht="13.8" customHeight="1" s="82">
      <c r="A176" s="83" t="inlineStr">
        <is>
          <t>333511</t>
        </is>
      </c>
      <c r="B176" s="83" t="inlineStr">
        <is>
          <t>333</t>
        </is>
      </c>
      <c r="C176" s="83">
        <f>TRUE()</f>
        <v/>
      </c>
      <c r="D176" s="83" t="inlineStr">
        <is>
          <t>Machinery</t>
        </is>
      </c>
      <c r="E176" s="83" t="inlineStr">
        <is>
          <t>Industrial mold manufacturing</t>
        </is>
      </c>
      <c r="F176" s="84" t="inlineStr">
        <is>
          <t>333511</t>
        </is>
      </c>
      <c r="G176" s="83" t="n">
        <v>0</v>
      </c>
      <c r="H176" s="83" t="n">
        <v>0</v>
      </c>
      <c r="I176" s="88">
        <f>G176/H176</f>
        <v/>
      </c>
    </row>
    <row r="177" ht="13.8" customHeight="1" s="82">
      <c r="A177" s="83" t="inlineStr">
        <is>
          <t>333514</t>
        </is>
      </c>
      <c r="B177" s="83" t="inlineStr">
        <is>
          <t>333</t>
        </is>
      </c>
      <c r="C177" s="83">
        <f>TRUE()</f>
        <v/>
      </c>
      <c r="D177" s="83" t="inlineStr">
        <is>
          <t>Machinery</t>
        </is>
      </c>
      <c r="E177" s="83" t="inlineStr">
        <is>
          <t>Special tool, die, jig, and fixture manufacturing</t>
        </is>
      </c>
      <c r="F177" s="84" t="inlineStr">
        <is>
          <t>333514</t>
        </is>
      </c>
      <c r="G177" s="83" t="n">
        <v>0</v>
      </c>
      <c r="H177" s="83" t="n">
        <v>0</v>
      </c>
      <c r="I177" s="88">
        <f>G177/H177</f>
        <v/>
      </c>
    </row>
    <row r="178" ht="13.8" customHeight="1" s="82">
      <c r="A178" s="83" t="inlineStr">
        <is>
          <t>333517</t>
        </is>
      </c>
      <c r="B178" s="83" t="inlineStr">
        <is>
          <t>333</t>
        </is>
      </c>
      <c r="C178" s="83">
        <f>TRUE()</f>
        <v/>
      </c>
      <c r="D178" s="83" t="inlineStr">
        <is>
          <t>Machinery</t>
        </is>
      </c>
      <c r="E178" s="83" t="inlineStr">
        <is>
          <t>Machine tool manufacturing</t>
        </is>
      </c>
      <c r="F178" s="84" t="inlineStr">
        <is>
          <t>333517</t>
        </is>
      </c>
      <c r="G178" s="83" t="n">
        <v>745</v>
      </c>
      <c r="H178" s="83" t="n">
        <v>486</v>
      </c>
      <c r="I178" s="88">
        <f>G178/H178</f>
        <v/>
      </c>
    </row>
    <row r="179" ht="13.8" customHeight="1" s="82">
      <c r="A179" s="83" t="inlineStr">
        <is>
          <t>33351B</t>
        </is>
      </c>
      <c r="B179" s="83" t="inlineStr">
        <is>
          <t>333</t>
        </is>
      </c>
      <c r="C179" s="83">
        <f>TRUE()</f>
        <v/>
      </c>
      <c r="D179" s="83" t="inlineStr">
        <is>
          <t>Machinery</t>
        </is>
      </c>
      <c r="E179" s="83" t="inlineStr">
        <is>
          <t>Cutting and machine tool accessory, rolling mill, and other metalworking machinery manufacturing</t>
        </is>
      </c>
      <c r="F179" s="84" t="inlineStr">
        <is>
          <t>33351B</t>
        </is>
      </c>
      <c r="G179" s="83" t="n">
        <v>0</v>
      </c>
      <c r="H179" s="83" t="n">
        <v>0</v>
      </c>
      <c r="I179" s="88">
        <f>G179/H179</f>
        <v/>
      </c>
    </row>
    <row r="180" ht="13.8" customHeight="1" s="82">
      <c r="A180" s="83" t="inlineStr">
        <is>
          <t>333611</t>
        </is>
      </c>
      <c r="B180" s="83" t="inlineStr">
        <is>
          <t>333</t>
        </is>
      </c>
      <c r="C180" s="83">
        <f>TRUE()</f>
        <v/>
      </c>
      <c r="D180" s="83" t="inlineStr">
        <is>
          <t>Machinery</t>
        </is>
      </c>
      <c r="E180" s="83" t="inlineStr">
        <is>
          <t>Turbine and turbine generator set units manufacturing</t>
        </is>
      </c>
      <c r="F180" s="84" t="inlineStr">
        <is>
          <t>333611</t>
        </is>
      </c>
      <c r="G180" s="83" t="n">
        <v>0</v>
      </c>
      <c r="H180" s="83" t="n">
        <v>0</v>
      </c>
      <c r="I180" s="88">
        <f>G180/H180</f>
        <v/>
      </c>
    </row>
    <row r="181" ht="13.8" customHeight="1" s="82">
      <c r="A181" s="83" t="inlineStr">
        <is>
          <t>333612</t>
        </is>
      </c>
      <c r="B181" s="83" t="inlineStr">
        <is>
          <t>333</t>
        </is>
      </c>
      <c r="C181" s="83">
        <f>TRUE()</f>
        <v/>
      </c>
      <c r="D181" s="83" t="inlineStr">
        <is>
          <t>Machinery</t>
        </is>
      </c>
      <c r="E181" s="83" t="inlineStr">
        <is>
          <t>Speed changer, industrial high-speed drive, and gear manufacturing</t>
        </is>
      </c>
      <c r="F181" s="84" t="inlineStr">
        <is>
          <t>333612</t>
        </is>
      </c>
      <c r="G181" s="83" t="n">
        <v>0</v>
      </c>
      <c r="H181" s="83" t="n">
        <v>0</v>
      </c>
      <c r="I181" s="88">
        <f>G181/H181</f>
        <v/>
      </c>
    </row>
    <row r="182" ht="13.8" customHeight="1" s="82">
      <c r="A182" s="83" t="inlineStr">
        <is>
          <t>333613</t>
        </is>
      </c>
      <c r="B182" s="83" t="inlineStr">
        <is>
          <t>333</t>
        </is>
      </c>
      <c r="C182" s="83">
        <f>TRUE()</f>
        <v/>
      </c>
      <c r="D182" s="83" t="inlineStr">
        <is>
          <t>Machinery</t>
        </is>
      </c>
      <c r="E182" s="83" t="inlineStr">
        <is>
          <t>Mechanical power transmission equipment manufacturing</t>
        </is>
      </c>
      <c r="F182" s="84" t="inlineStr">
        <is>
          <t>333613</t>
        </is>
      </c>
      <c r="G182" s="83" t="n">
        <v>0</v>
      </c>
      <c r="H182" s="83" t="n">
        <v>0</v>
      </c>
      <c r="I182" s="88">
        <f>G182/H182</f>
        <v/>
      </c>
    </row>
    <row r="183" ht="13.8" customHeight="1" s="82">
      <c r="A183" s="83" t="inlineStr">
        <is>
          <t>333618</t>
        </is>
      </c>
      <c r="B183" s="83" t="inlineStr">
        <is>
          <t>333</t>
        </is>
      </c>
      <c r="C183" s="83">
        <f>TRUE()</f>
        <v/>
      </c>
      <c r="D183" s="83" t="inlineStr">
        <is>
          <t>Machinery</t>
        </is>
      </c>
      <c r="E183" s="83" t="inlineStr">
        <is>
          <t>Other engine equipment manufacturing</t>
        </is>
      </c>
      <c r="F183" s="84" t="inlineStr">
        <is>
          <t>333618</t>
        </is>
      </c>
      <c r="G183" s="83" t="n">
        <v>577</v>
      </c>
      <c r="H183" s="83" t="n">
        <v>382</v>
      </c>
      <c r="I183" s="88">
        <f>G183/H183</f>
        <v/>
      </c>
    </row>
    <row r="184" ht="13.8" customHeight="1" s="82">
      <c r="A184" s="83" t="inlineStr">
        <is>
          <t>333912</t>
        </is>
      </c>
      <c r="B184" s="83" t="inlineStr">
        <is>
          <t>333</t>
        </is>
      </c>
      <c r="C184" s="83">
        <f>TRUE()</f>
        <v/>
      </c>
      <c r="D184" s="83" t="inlineStr">
        <is>
          <t>Machinery</t>
        </is>
      </c>
      <c r="E184" s="83" t="inlineStr">
        <is>
          <t>Air and gas compressor manufacturing</t>
        </is>
      </c>
      <c r="F184" s="84" t="inlineStr">
        <is>
          <t>333912</t>
        </is>
      </c>
      <c r="G184" s="83" t="n">
        <v>0</v>
      </c>
      <c r="H184" s="83" t="n">
        <v>0</v>
      </c>
      <c r="I184" s="88">
        <f>G184/H184</f>
        <v/>
      </c>
    </row>
    <row r="185" ht="13.8" customHeight="1" s="82">
      <c r="A185" s="83" t="inlineStr">
        <is>
          <t>333914</t>
        </is>
      </c>
      <c r="B185" s="83" t="inlineStr">
        <is>
          <t>333</t>
        </is>
      </c>
      <c r="C185" s="83">
        <f>TRUE()</f>
        <v/>
      </c>
      <c r="D185" s="83" t="inlineStr">
        <is>
          <t>Machinery</t>
        </is>
      </c>
      <c r="E185" s="83" t="inlineStr">
        <is>
          <t>Measuring, dispensing, and other pumping equipment manufacturing</t>
        </is>
      </c>
      <c r="F185" s="84" t="inlineStr">
        <is>
          <t>333914</t>
        </is>
      </c>
      <c r="G185" s="83" t="n">
        <v>0</v>
      </c>
      <c r="H185" s="83" t="n">
        <v>0</v>
      </c>
      <c r="I185" s="88">
        <f>G185/H185</f>
        <v/>
      </c>
    </row>
    <row r="186" ht="13.8" customHeight="1" s="82">
      <c r="A186" s="83" t="inlineStr">
        <is>
          <t>333920</t>
        </is>
      </c>
      <c r="B186" s="83" t="inlineStr">
        <is>
          <t>333</t>
        </is>
      </c>
      <c r="C186" s="83">
        <f>TRUE()</f>
        <v/>
      </c>
      <c r="D186" s="83" t="inlineStr">
        <is>
          <t>Machinery</t>
        </is>
      </c>
      <c r="E186" s="83" t="inlineStr">
        <is>
          <t>Material handling equipment manufacturing</t>
        </is>
      </c>
      <c r="F186" s="84" t="inlineStr">
        <is>
          <t>333920</t>
        </is>
      </c>
      <c r="G186" s="83" t="n">
        <v>0</v>
      </c>
      <c r="H186" s="83" t="n">
        <v>0</v>
      </c>
      <c r="I186" s="88">
        <f>G186/H186</f>
        <v/>
      </c>
    </row>
    <row r="187" ht="13.8" customHeight="1" s="82">
      <c r="A187" s="83" t="inlineStr">
        <is>
          <t>333991</t>
        </is>
      </c>
      <c r="B187" s="83" t="inlineStr">
        <is>
          <t>333</t>
        </is>
      </c>
      <c r="C187" s="83">
        <f>TRUE()</f>
        <v/>
      </c>
      <c r="D187" s="83" t="inlineStr">
        <is>
          <t>Machinery</t>
        </is>
      </c>
      <c r="E187" s="83" t="inlineStr">
        <is>
          <t>Power-driven handtool manufacturing</t>
        </is>
      </c>
      <c r="F187" s="84" t="inlineStr">
        <is>
          <t>333991</t>
        </is>
      </c>
      <c r="G187" s="83" t="n">
        <v>18221</v>
      </c>
      <c r="H187" s="83" t="n">
        <v>11887</v>
      </c>
      <c r="I187" s="88">
        <f>G187/H187</f>
        <v/>
      </c>
    </row>
    <row r="188" ht="13.8" customHeight="1" s="82">
      <c r="A188" s="83" t="inlineStr">
        <is>
          <t>333993</t>
        </is>
      </c>
      <c r="B188" s="83" t="inlineStr">
        <is>
          <t>333</t>
        </is>
      </c>
      <c r="C188" s="83">
        <f>TRUE()</f>
        <v/>
      </c>
      <c r="D188" s="83" t="inlineStr">
        <is>
          <t>Machinery</t>
        </is>
      </c>
      <c r="E188" s="83" t="inlineStr">
        <is>
          <t>Packaging machinery manufacturing</t>
        </is>
      </c>
      <c r="F188" s="84" t="inlineStr">
        <is>
          <t>333993</t>
        </is>
      </c>
      <c r="G188" s="83" t="n">
        <v>0</v>
      </c>
      <c r="H188" s="83" t="n">
        <v>0</v>
      </c>
      <c r="I188" s="88">
        <f>G188/H188</f>
        <v/>
      </c>
    </row>
    <row r="189" ht="13.8" customHeight="1" s="82">
      <c r="A189" s="83" t="inlineStr">
        <is>
          <t>333994</t>
        </is>
      </c>
      <c r="B189" s="83" t="inlineStr">
        <is>
          <t>333</t>
        </is>
      </c>
      <c r="C189" s="83">
        <f>TRUE()</f>
        <v/>
      </c>
      <c r="D189" s="83" t="inlineStr">
        <is>
          <t>Machinery</t>
        </is>
      </c>
      <c r="E189" s="83" t="inlineStr">
        <is>
          <t>Industrial process furnace and oven manufacturing</t>
        </is>
      </c>
      <c r="F189" s="84" t="inlineStr">
        <is>
          <t>333994</t>
        </is>
      </c>
      <c r="G189" s="83" t="n">
        <v>0</v>
      </c>
      <c r="H189" s="83" t="n">
        <v>0</v>
      </c>
      <c r="I189" s="88">
        <f>G189/H189</f>
        <v/>
      </c>
    </row>
    <row r="190" ht="13.8" customHeight="1" s="82">
      <c r="A190" s="83" t="inlineStr">
        <is>
          <t>33399A</t>
        </is>
      </c>
      <c r="B190" s="83" t="inlineStr">
        <is>
          <t>333</t>
        </is>
      </c>
      <c r="C190" s="83">
        <f>TRUE()</f>
        <v/>
      </c>
      <c r="D190" s="83" t="inlineStr">
        <is>
          <t>Machinery</t>
        </is>
      </c>
      <c r="E190" s="83" t="inlineStr">
        <is>
          <t>Other general purpose machinery manufacturing</t>
        </is>
      </c>
      <c r="F190" s="84" t="inlineStr">
        <is>
          <t>33399A</t>
        </is>
      </c>
      <c r="G190" s="83" t="n">
        <v>1584</v>
      </c>
      <c r="H190" s="83" t="n">
        <v>1077</v>
      </c>
      <c r="I190" s="88">
        <f>G190/H190</f>
        <v/>
      </c>
    </row>
    <row r="191" ht="13.8" customHeight="1" s="82">
      <c r="A191" s="83" t="inlineStr">
        <is>
          <t>33399B</t>
        </is>
      </c>
      <c r="B191" s="83" t="inlineStr">
        <is>
          <t>333</t>
        </is>
      </c>
      <c r="C191" s="83">
        <f>TRUE()</f>
        <v/>
      </c>
      <c r="D191" s="83" t="inlineStr">
        <is>
          <t>Machinery</t>
        </is>
      </c>
      <c r="E191" s="83" t="inlineStr">
        <is>
          <t>Fluid power process machinery</t>
        </is>
      </c>
      <c r="F191" s="84" t="inlineStr">
        <is>
          <t>33399B</t>
        </is>
      </c>
      <c r="G191" s="83" t="n">
        <v>0</v>
      </c>
      <c r="H191" s="83" t="n">
        <v>0</v>
      </c>
      <c r="I191" s="88">
        <f>G191/H191</f>
        <v/>
      </c>
    </row>
    <row r="192" ht="13.8" customHeight="1" s="82">
      <c r="A192" s="83" t="inlineStr">
        <is>
          <t>334111</t>
        </is>
      </c>
      <c r="B192" s="83" t="inlineStr">
        <is>
          <t>334</t>
        </is>
      </c>
      <c r="C192" s="83">
        <f>TRUE()</f>
        <v/>
      </c>
      <c r="D192" s="83" t="inlineStr">
        <is>
          <t>Computer and electronic products</t>
        </is>
      </c>
      <c r="E192" s="83" t="inlineStr">
        <is>
          <t>Electronic computer manufacturing</t>
        </is>
      </c>
      <c r="F192" s="84" t="inlineStr">
        <is>
          <t>334111</t>
        </is>
      </c>
      <c r="G192" s="83" t="n">
        <v>57014</v>
      </c>
      <c r="H192" s="83" t="n">
        <v>34107</v>
      </c>
      <c r="I192" s="88">
        <f>G192/H192</f>
        <v/>
      </c>
    </row>
    <row r="193" ht="13.8" customHeight="1" s="82">
      <c r="A193" s="83" t="inlineStr">
        <is>
          <t>334112</t>
        </is>
      </c>
      <c r="B193" s="83" t="inlineStr">
        <is>
          <t>334</t>
        </is>
      </c>
      <c r="C193" s="83">
        <f>TRUE()</f>
        <v/>
      </c>
      <c r="D193" s="83" t="inlineStr">
        <is>
          <t>Computer and electronic products</t>
        </is>
      </c>
      <c r="E193" s="83" t="inlineStr">
        <is>
          <t>Computer storage device manufacturing</t>
        </is>
      </c>
      <c r="F193" s="84" t="inlineStr">
        <is>
          <t>334112</t>
        </is>
      </c>
      <c r="G193" s="83" t="n">
        <v>7933</v>
      </c>
      <c r="H193" s="83" t="n">
        <v>4746</v>
      </c>
      <c r="I193" s="88">
        <f>G193/H193</f>
        <v/>
      </c>
    </row>
    <row r="194" ht="13.8" customHeight="1" s="82">
      <c r="A194" s="83" t="inlineStr">
        <is>
          <t>334118</t>
        </is>
      </c>
      <c r="B194" s="83" t="inlineStr">
        <is>
          <t>334</t>
        </is>
      </c>
      <c r="C194" s="83">
        <f>TRUE()</f>
        <v/>
      </c>
      <c r="D194" s="83" t="inlineStr">
        <is>
          <t>Computer and electronic products</t>
        </is>
      </c>
      <c r="E194" s="83" t="inlineStr">
        <is>
          <t>Computer terminals and other computer peripheral equipment manufacturing</t>
        </is>
      </c>
      <c r="F194" s="84" t="inlineStr">
        <is>
          <t>334118</t>
        </is>
      </c>
      <c r="G194" s="83" t="n">
        <v>25358</v>
      </c>
      <c r="H194" s="83" t="n">
        <v>15170</v>
      </c>
      <c r="I194" s="88">
        <f>G194/H194</f>
        <v/>
      </c>
    </row>
    <row r="195" ht="13.8" customHeight="1" s="82">
      <c r="A195" s="83" t="inlineStr">
        <is>
          <t>334210</t>
        </is>
      </c>
      <c r="B195" s="83" t="inlineStr">
        <is>
          <t>334</t>
        </is>
      </c>
      <c r="C195" s="83">
        <f>TRUE()</f>
        <v/>
      </c>
      <c r="D195" s="83" t="inlineStr">
        <is>
          <t>Computer and electronic products</t>
        </is>
      </c>
      <c r="E195" s="83" t="inlineStr">
        <is>
          <t>Telephone apparatus manufacturing</t>
        </is>
      </c>
      <c r="F195" s="84" t="inlineStr">
        <is>
          <t>334210</t>
        </is>
      </c>
      <c r="G195" s="83" t="n">
        <v>970</v>
      </c>
      <c r="H195" s="83" t="n">
        <v>823</v>
      </c>
      <c r="I195" s="88">
        <f>G195/H195</f>
        <v/>
      </c>
    </row>
    <row r="196" ht="13.8" customHeight="1" s="82">
      <c r="A196" s="83" t="inlineStr">
        <is>
          <t>334220</t>
        </is>
      </c>
      <c r="B196" s="83" t="inlineStr">
        <is>
          <t>334</t>
        </is>
      </c>
      <c r="C196" s="83">
        <f>TRUE()</f>
        <v/>
      </c>
      <c r="D196" s="83" t="inlineStr">
        <is>
          <t>Computer and electronic products</t>
        </is>
      </c>
      <c r="E196" s="83" t="inlineStr">
        <is>
          <t>Broadcast and wireless communications equipment</t>
        </is>
      </c>
      <c r="F196" s="84" t="inlineStr">
        <is>
          <t>334220</t>
        </is>
      </c>
      <c r="G196" s="83" t="n">
        <v>34065</v>
      </c>
      <c r="H196" s="83" t="n">
        <v>28272</v>
      </c>
      <c r="I196" s="88">
        <f>G196/H196</f>
        <v/>
      </c>
    </row>
    <row r="197" ht="13.8" customHeight="1" s="82">
      <c r="A197" s="83" t="inlineStr">
        <is>
          <t>334290</t>
        </is>
      </c>
      <c r="B197" s="83" t="inlineStr">
        <is>
          <t>334</t>
        </is>
      </c>
      <c r="C197" s="83">
        <f>TRUE()</f>
        <v/>
      </c>
      <c r="D197" s="83" t="inlineStr">
        <is>
          <t>Computer and electronic products</t>
        </is>
      </c>
      <c r="E197" s="83" t="inlineStr">
        <is>
          <t>Other communications equipment manufacturing</t>
        </is>
      </c>
      <c r="F197" s="84" t="inlineStr">
        <is>
          <t>334290</t>
        </is>
      </c>
      <c r="G197" s="83" t="n">
        <v>30</v>
      </c>
      <c r="H197" s="83" t="n">
        <v>18</v>
      </c>
      <c r="I197" s="88">
        <f>G197/H197</f>
        <v/>
      </c>
    </row>
    <row r="198" ht="13.8" customHeight="1" s="82">
      <c r="A198" s="83" t="inlineStr">
        <is>
          <t>334300</t>
        </is>
      </c>
      <c r="B198" s="83" t="inlineStr">
        <is>
          <t>334</t>
        </is>
      </c>
      <c r="C198" s="83">
        <f>TRUE()</f>
        <v/>
      </c>
      <c r="D198" s="83" t="inlineStr">
        <is>
          <t>Computer and electronic products</t>
        </is>
      </c>
      <c r="E198" s="83" t="inlineStr">
        <is>
          <t>Audio and video equipment manufacturing</t>
        </is>
      </c>
      <c r="F198" s="84" t="inlineStr">
        <is>
          <t>334300</t>
        </is>
      </c>
      <c r="G198" s="83" t="n">
        <v>75782</v>
      </c>
      <c r="H198" s="83" t="n">
        <v>45335</v>
      </c>
      <c r="I198" s="88">
        <f>G198/H198</f>
        <v/>
      </c>
    </row>
    <row r="199" ht="13.8" customHeight="1" s="82">
      <c r="A199" s="83" t="inlineStr">
        <is>
          <t>334413</t>
        </is>
      </c>
      <c r="B199" s="83" t="inlineStr">
        <is>
          <t>334</t>
        </is>
      </c>
      <c r="C199" s="83">
        <f>TRUE()</f>
        <v/>
      </c>
      <c r="D199" s="83" t="inlineStr">
        <is>
          <t>Computer and electronic products</t>
        </is>
      </c>
      <c r="E199" s="83" t="inlineStr">
        <is>
          <t>Semiconductor and related device manufacturing</t>
        </is>
      </c>
      <c r="F199" s="84" t="inlineStr">
        <is>
          <t>334413</t>
        </is>
      </c>
      <c r="G199" s="83" t="n">
        <v>0</v>
      </c>
      <c r="H199" s="83" t="n">
        <v>0</v>
      </c>
      <c r="I199" s="88">
        <f>G199/H199</f>
        <v/>
      </c>
    </row>
    <row r="200" ht="13.8" customHeight="1" s="82">
      <c r="A200" s="83" t="inlineStr">
        <is>
          <t>334418</t>
        </is>
      </c>
      <c r="B200" s="83" t="inlineStr">
        <is>
          <t>334</t>
        </is>
      </c>
      <c r="C200" s="83">
        <f>TRUE()</f>
        <v/>
      </c>
      <c r="D200" s="83" t="inlineStr">
        <is>
          <t>Computer and electronic products</t>
        </is>
      </c>
      <c r="E200" s="83" t="inlineStr">
        <is>
          <t>Printed circuit assembly (electronic assembly) manufacturing</t>
        </is>
      </c>
      <c r="F200" s="84" t="inlineStr">
        <is>
          <t>334418</t>
        </is>
      </c>
      <c r="G200" s="83" t="n">
        <v>155</v>
      </c>
      <c r="H200" s="83" t="n">
        <v>93</v>
      </c>
      <c r="I200" s="88">
        <f>G200/H200</f>
        <v/>
      </c>
    </row>
    <row r="201" ht="13.8" customHeight="1" s="82">
      <c r="A201" s="83" t="inlineStr">
        <is>
          <t>33441A</t>
        </is>
      </c>
      <c r="B201" s="83" t="inlineStr">
        <is>
          <t>334</t>
        </is>
      </c>
      <c r="C201" s="83">
        <f>TRUE()</f>
        <v/>
      </c>
      <c r="D201" s="83" t="inlineStr">
        <is>
          <t>Computer and electronic products</t>
        </is>
      </c>
      <c r="E201" s="83" t="inlineStr">
        <is>
          <t>Other electronic component manufacturing</t>
        </is>
      </c>
      <c r="F201" s="84" t="inlineStr">
        <is>
          <t>33441A</t>
        </is>
      </c>
      <c r="G201" s="83" t="n">
        <v>373</v>
      </c>
      <c r="H201" s="83" t="n">
        <v>223</v>
      </c>
      <c r="I201" s="88">
        <f>G201/H201</f>
        <v/>
      </c>
    </row>
    <row r="202" ht="13.8" customHeight="1" s="82">
      <c r="A202" s="83" t="inlineStr">
        <is>
          <t>334510</t>
        </is>
      </c>
      <c r="B202" s="83" t="inlineStr">
        <is>
          <t>334</t>
        </is>
      </c>
      <c r="C202" s="83">
        <f>TRUE()</f>
        <v/>
      </c>
      <c r="D202" s="83" t="inlineStr">
        <is>
          <t>Computer and electronic products</t>
        </is>
      </c>
      <c r="E202" s="83" t="inlineStr">
        <is>
          <t>Electromedical and electrotherapeutic apparatus manufacturing</t>
        </is>
      </c>
      <c r="F202" s="84" t="inlineStr">
        <is>
          <t>334510</t>
        </is>
      </c>
      <c r="G202" s="83" t="n">
        <v>14471</v>
      </c>
      <c r="H202" s="83" t="n">
        <v>10192</v>
      </c>
      <c r="I202" s="88">
        <f>G202/H202</f>
        <v/>
      </c>
    </row>
    <row r="203" ht="13.8" customHeight="1" s="82">
      <c r="A203" s="83" t="inlineStr">
        <is>
          <t>334511</t>
        </is>
      </c>
      <c r="B203" s="83" t="inlineStr">
        <is>
          <t>334</t>
        </is>
      </c>
      <c r="C203" s="83">
        <f>TRUE()</f>
        <v/>
      </c>
      <c r="D203" s="83" t="inlineStr">
        <is>
          <t>Computer and electronic products</t>
        </is>
      </c>
      <c r="E203" s="83" t="inlineStr">
        <is>
          <t>Search, detection, and navigation instruments manufacturing</t>
        </is>
      </c>
      <c r="F203" s="84" t="inlineStr">
        <is>
          <t>334511</t>
        </is>
      </c>
      <c r="G203" s="83" t="n">
        <v>64</v>
      </c>
      <c r="H203" s="83" t="n">
        <v>46</v>
      </c>
      <c r="I203" s="88">
        <f>G203/H203</f>
        <v/>
      </c>
    </row>
    <row r="204" ht="13.8" customHeight="1" s="82">
      <c r="A204" s="83" t="inlineStr">
        <is>
          <t>334512</t>
        </is>
      </c>
      <c r="B204" s="83" t="inlineStr">
        <is>
          <t>334</t>
        </is>
      </c>
      <c r="C204" s="83">
        <f>TRUE()</f>
        <v/>
      </c>
      <c r="D204" s="83" t="inlineStr">
        <is>
          <t>Computer and electronic products</t>
        </is>
      </c>
      <c r="E204" s="83" t="inlineStr">
        <is>
          <t>Automatic environmental control manufacturing</t>
        </is>
      </c>
      <c r="F204" s="84" t="inlineStr">
        <is>
          <t>334512</t>
        </is>
      </c>
      <c r="G204" s="83" t="n">
        <v>0</v>
      </c>
      <c r="H204" s="83" t="n">
        <v>0</v>
      </c>
      <c r="I204" s="88">
        <f>G204/H204</f>
        <v/>
      </c>
    </row>
    <row r="205" ht="13.8" customHeight="1" s="82">
      <c r="A205" s="83" t="inlineStr">
        <is>
          <t>334513</t>
        </is>
      </c>
      <c r="B205" s="83" t="inlineStr">
        <is>
          <t>334</t>
        </is>
      </c>
      <c r="C205" s="83">
        <f>TRUE()</f>
        <v/>
      </c>
      <c r="D205" s="83" t="inlineStr">
        <is>
          <t>Computer and electronic products</t>
        </is>
      </c>
      <c r="E205" s="83" t="inlineStr">
        <is>
          <t>Industrial process variable instruments manufacturing</t>
        </is>
      </c>
      <c r="F205" s="84" t="inlineStr">
        <is>
          <t>334513</t>
        </is>
      </c>
      <c r="G205" s="83" t="n">
        <v>0</v>
      </c>
      <c r="H205" s="83" t="n">
        <v>0</v>
      </c>
      <c r="I205" s="88">
        <f>G205/H205</f>
        <v/>
      </c>
    </row>
    <row r="206" ht="13.8" customHeight="1" s="82">
      <c r="A206" s="83" t="inlineStr">
        <is>
          <t>334514</t>
        </is>
      </c>
      <c r="B206" s="83" t="inlineStr">
        <is>
          <t>334</t>
        </is>
      </c>
      <c r="C206" s="83">
        <f>TRUE()</f>
        <v/>
      </c>
      <c r="D206" s="83" t="inlineStr">
        <is>
          <t>Computer and electronic products</t>
        </is>
      </c>
      <c r="E206" s="83" t="inlineStr">
        <is>
          <t>Totalizing fluid meter and counting device manufacturing</t>
        </is>
      </c>
      <c r="F206" s="84" t="inlineStr">
        <is>
          <t>334514</t>
        </is>
      </c>
      <c r="G206" s="83" t="n">
        <v>0</v>
      </c>
      <c r="H206" s="83" t="n">
        <v>0</v>
      </c>
      <c r="I206" s="88">
        <f>G206/H206</f>
        <v/>
      </c>
    </row>
    <row r="207" ht="13.8" customHeight="1" s="82">
      <c r="A207" s="83" t="inlineStr">
        <is>
          <t>334515</t>
        </is>
      </c>
      <c r="B207" s="83" t="inlineStr">
        <is>
          <t>334</t>
        </is>
      </c>
      <c r="C207" s="83">
        <f>TRUE()</f>
        <v/>
      </c>
      <c r="D207" s="83" t="inlineStr">
        <is>
          <t>Computer and electronic products</t>
        </is>
      </c>
      <c r="E207" s="83" t="inlineStr">
        <is>
          <t>Electricity and signal testing instruments manufacturing</t>
        </is>
      </c>
      <c r="F207" s="84" t="inlineStr">
        <is>
          <t>334515</t>
        </is>
      </c>
      <c r="G207" s="83" t="n">
        <v>0</v>
      </c>
      <c r="H207" s="83" t="n">
        <v>0</v>
      </c>
      <c r="I207" s="88">
        <f>G207/H207</f>
        <v/>
      </c>
    </row>
    <row r="208" ht="13.8" customHeight="1" s="82">
      <c r="A208" s="83" t="inlineStr">
        <is>
          <t>334516</t>
        </is>
      </c>
      <c r="B208" s="83" t="inlineStr">
        <is>
          <t>334</t>
        </is>
      </c>
      <c r="C208" s="83">
        <f>TRUE()</f>
        <v/>
      </c>
      <c r="D208" s="83" t="inlineStr">
        <is>
          <t>Computer and electronic products</t>
        </is>
      </c>
      <c r="E208" s="83" t="inlineStr">
        <is>
          <t>Analytical laboratory instrument manufacturing</t>
        </is>
      </c>
      <c r="F208" s="84" t="inlineStr">
        <is>
          <t>334516</t>
        </is>
      </c>
      <c r="G208" s="83" t="n">
        <v>0</v>
      </c>
      <c r="H208" s="83" t="n">
        <v>0</v>
      </c>
      <c r="I208" s="88">
        <f>G208/H208</f>
        <v/>
      </c>
    </row>
    <row r="209" ht="13.8" customHeight="1" s="82">
      <c r="A209" s="83" t="inlineStr">
        <is>
          <t>334517</t>
        </is>
      </c>
      <c r="B209" s="83" t="inlineStr">
        <is>
          <t>334</t>
        </is>
      </c>
      <c r="C209" s="83">
        <f>TRUE()</f>
        <v/>
      </c>
      <c r="D209" s="83" t="inlineStr">
        <is>
          <t>Computer and electronic products</t>
        </is>
      </c>
      <c r="E209" s="83" t="inlineStr">
        <is>
          <t>Irradiation apparatus manufacturing</t>
        </is>
      </c>
      <c r="F209" s="84" t="inlineStr">
        <is>
          <t>334517</t>
        </is>
      </c>
      <c r="G209" s="83" t="n">
        <v>0</v>
      </c>
      <c r="H209" s="83" t="n">
        <v>0</v>
      </c>
      <c r="I209" s="88">
        <f>G209/H209</f>
        <v/>
      </c>
    </row>
    <row r="210" ht="13.8" customHeight="1" s="82">
      <c r="A210" s="83" t="inlineStr">
        <is>
          <t>33451A</t>
        </is>
      </c>
      <c r="B210" s="83" t="inlineStr">
        <is>
          <t>334</t>
        </is>
      </c>
      <c r="C210" s="83">
        <f>TRUE()</f>
        <v/>
      </c>
      <c r="D210" s="83" t="inlineStr">
        <is>
          <t>Computer and electronic products</t>
        </is>
      </c>
      <c r="E210" s="83" t="inlineStr">
        <is>
          <t>Watch, clock, and other measuring and controlling device manufacturing</t>
        </is>
      </c>
      <c r="F210" s="84" t="inlineStr">
        <is>
          <t>33451A</t>
        </is>
      </c>
      <c r="G210" s="83" t="n">
        <v>20229</v>
      </c>
      <c r="H210" s="83" t="n">
        <v>13480</v>
      </c>
      <c r="I210" s="88">
        <f>G210/H210</f>
        <v/>
      </c>
    </row>
    <row r="211" ht="13.8" customHeight="1" s="82">
      <c r="A211" s="83" t="inlineStr">
        <is>
          <t>334610</t>
        </is>
      </c>
      <c r="B211" s="83" t="inlineStr">
        <is>
          <t>334</t>
        </is>
      </c>
      <c r="C211" s="83">
        <f>TRUE()</f>
        <v/>
      </c>
      <c r="D211" s="83" t="inlineStr">
        <is>
          <t>Computer and electronic products</t>
        </is>
      </c>
      <c r="E211" s="83" t="inlineStr">
        <is>
          <t>Manufacturing and reproducing magnetic and optical media</t>
        </is>
      </c>
      <c r="F211" s="84" t="inlineStr">
        <is>
          <t>334610</t>
        </is>
      </c>
      <c r="G211" s="83" t="n">
        <v>533</v>
      </c>
      <c r="H211" s="83" t="n">
        <v>319</v>
      </c>
      <c r="I211" s="88">
        <f>G211/H211</f>
        <v/>
      </c>
    </row>
    <row r="212" ht="13.8" customHeight="1" s="82">
      <c r="A212" s="83" t="inlineStr">
        <is>
          <t>335110</t>
        </is>
      </c>
      <c r="B212" s="83" t="inlineStr">
        <is>
          <t>335</t>
        </is>
      </c>
      <c r="C212" s="83">
        <f>TRUE()</f>
        <v/>
      </c>
      <c r="D212" s="83" t="inlineStr">
        <is>
          <t>Electrical equipment, appliances, and components</t>
        </is>
      </c>
      <c r="E212" s="83" t="inlineStr">
        <is>
          <t>Electric lamp bulb and part manufacturing</t>
        </is>
      </c>
      <c r="F212" s="84" t="inlineStr">
        <is>
          <t>335110</t>
        </is>
      </c>
      <c r="G212" s="83" t="n">
        <v>3866</v>
      </c>
      <c r="H212" s="83" t="n">
        <v>2817</v>
      </c>
      <c r="I212" s="88">
        <f>G212/H212</f>
        <v/>
      </c>
    </row>
    <row r="213" ht="13.8" customHeight="1" s="82">
      <c r="A213" s="83" t="inlineStr">
        <is>
          <t>335120</t>
        </is>
      </c>
      <c r="B213" s="83" t="inlineStr">
        <is>
          <t>335</t>
        </is>
      </c>
      <c r="C213" s="83">
        <f>TRUE()</f>
        <v/>
      </c>
      <c r="D213" s="83" t="inlineStr">
        <is>
          <t>Electrical equipment, appliances, and components</t>
        </is>
      </c>
      <c r="E213" s="83" t="inlineStr">
        <is>
          <t>Lighting fixture manufacturing</t>
        </is>
      </c>
      <c r="F213" s="84" t="inlineStr">
        <is>
          <t>335120</t>
        </is>
      </c>
      <c r="G213" s="83" t="n">
        <v>8758</v>
      </c>
      <c r="H213" s="83" t="n">
        <v>5824</v>
      </c>
      <c r="I213" s="88">
        <f>G213/H213</f>
        <v/>
      </c>
    </row>
    <row r="214" ht="13.8" customHeight="1" s="82">
      <c r="A214" s="83" t="inlineStr">
        <is>
          <t>335210</t>
        </is>
      </c>
      <c r="B214" s="83" t="inlineStr">
        <is>
          <t>335</t>
        </is>
      </c>
      <c r="C214" s="83">
        <f>TRUE()</f>
        <v/>
      </c>
      <c r="D214" s="83" t="inlineStr">
        <is>
          <t>Electrical equipment, appliances, and components</t>
        </is>
      </c>
      <c r="E214" s="83" t="inlineStr">
        <is>
          <t>Small electrical appliance manufacturing</t>
        </is>
      </c>
      <c r="F214" s="84" t="inlineStr">
        <is>
          <t>335210</t>
        </is>
      </c>
      <c r="G214" s="83" t="n">
        <v>28529</v>
      </c>
      <c r="H214" s="83" t="n">
        <v>19944</v>
      </c>
      <c r="I214" s="88">
        <f>G214/H214</f>
        <v/>
      </c>
    </row>
    <row r="215" ht="13.8" customHeight="1" s="82">
      <c r="A215" s="83" t="inlineStr">
        <is>
          <t>335220</t>
        </is>
      </c>
      <c r="B215" s="83" t="inlineStr">
        <is>
          <t>335</t>
        </is>
      </c>
      <c r="C215" s="83">
        <f>TRUE()</f>
        <v/>
      </c>
      <c r="D215" s="83" t="inlineStr">
        <is>
          <t>Electrical equipment, appliances, and components</t>
        </is>
      </c>
      <c r="E215" s="83" t="inlineStr">
        <is>
          <t>Major household appliance manufacturing</t>
        </is>
      </c>
      <c r="F215" s="84" t="inlineStr">
        <is>
          <t>335220</t>
        </is>
      </c>
      <c r="G215" s="83" t="n">
        <v>56228</v>
      </c>
      <c r="H215" s="83" t="n">
        <v>39010</v>
      </c>
      <c r="I215" s="88">
        <f>G215/H215</f>
        <v/>
      </c>
    </row>
    <row r="216" ht="13.8" customHeight="1" s="82">
      <c r="A216" s="83" t="inlineStr">
        <is>
          <t>335311</t>
        </is>
      </c>
      <c r="B216" s="83" t="inlineStr">
        <is>
          <t>335</t>
        </is>
      </c>
      <c r="C216" s="83">
        <f>TRUE()</f>
        <v/>
      </c>
      <c r="D216" s="83" t="inlineStr">
        <is>
          <t>Electrical equipment, appliances, and components</t>
        </is>
      </c>
      <c r="E216" s="83" t="inlineStr">
        <is>
          <t>Power, distribution, and specialty transformer manufacturing</t>
        </is>
      </c>
      <c r="F216" s="84" t="inlineStr">
        <is>
          <t>335311</t>
        </is>
      </c>
      <c r="G216" s="83" t="n">
        <v>16</v>
      </c>
      <c r="H216" s="83" t="n">
        <v>11</v>
      </c>
      <c r="I216" s="88">
        <f>G216/H216</f>
        <v/>
      </c>
    </row>
    <row r="217" ht="13.8" customHeight="1" s="82">
      <c r="A217" s="83" t="inlineStr">
        <is>
          <t>335312</t>
        </is>
      </c>
      <c r="B217" s="83" t="inlineStr">
        <is>
          <t>335</t>
        </is>
      </c>
      <c r="C217" s="83">
        <f>TRUE()</f>
        <v/>
      </c>
      <c r="D217" s="83" t="inlineStr">
        <is>
          <t>Electrical equipment, appliances, and components</t>
        </is>
      </c>
      <c r="E217" s="83" t="inlineStr">
        <is>
          <t>Motor and generator manufacturing</t>
        </is>
      </c>
      <c r="F217" s="84" t="inlineStr">
        <is>
          <t>335312</t>
        </is>
      </c>
      <c r="G217" s="83" t="n">
        <v>698</v>
      </c>
      <c r="H217" s="83" t="n">
        <v>455</v>
      </c>
      <c r="I217" s="88">
        <f>G217/H217</f>
        <v/>
      </c>
    </row>
    <row r="218" ht="13.8" customHeight="1" s="82">
      <c r="A218" s="83" t="inlineStr">
        <is>
          <t>335313</t>
        </is>
      </c>
      <c r="B218" s="83" t="inlineStr">
        <is>
          <t>335</t>
        </is>
      </c>
      <c r="C218" s="83">
        <f>TRUE()</f>
        <v/>
      </c>
      <c r="D218" s="83" t="inlineStr">
        <is>
          <t>Electrical equipment, appliances, and components</t>
        </is>
      </c>
      <c r="E218" s="83" t="inlineStr">
        <is>
          <t>Switchgear and switchboard apparatus manufacturing</t>
        </is>
      </c>
      <c r="F218" s="84" t="inlineStr">
        <is>
          <t>335313</t>
        </is>
      </c>
      <c r="G218" s="83" t="n">
        <v>438</v>
      </c>
      <c r="H218" s="83" t="n">
        <v>321</v>
      </c>
      <c r="I218" s="88">
        <f>G218/H218</f>
        <v/>
      </c>
    </row>
    <row r="219" ht="13.8" customHeight="1" s="82">
      <c r="A219" s="83" t="inlineStr">
        <is>
          <t>335314</t>
        </is>
      </c>
      <c r="B219" s="83" t="inlineStr">
        <is>
          <t>335</t>
        </is>
      </c>
      <c r="C219" s="83">
        <f>TRUE()</f>
        <v/>
      </c>
      <c r="D219" s="83" t="inlineStr">
        <is>
          <t>Electrical equipment, appliances, and components</t>
        </is>
      </c>
      <c r="E219" s="83" t="inlineStr">
        <is>
          <t>Relay and industrial control manufacturing</t>
        </is>
      </c>
      <c r="F219" s="84" t="inlineStr">
        <is>
          <t>335314</t>
        </is>
      </c>
      <c r="G219" s="83" t="n">
        <v>0</v>
      </c>
      <c r="H219" s="83" t="n">
        <v>0</v>
      </c>
      <c r="I219" s="88">
        <f>G219/H219</f>
        <v/>
      </c>
    </row>
    <row r="220" ht="13.8" customHeight="1" s="82">
      <c r="A220" s="83" t="inlineStr">
        <is>
          <t>335911</t>
        </is>
      </c>
      <c r="B220" s="83" t="inlineStr">
        <is>
          <t>335</t>
        </is>
      </c>
      <c r="C220" s="83">
        <f>TRUE()</f>
        <v/>
      </c>
      <c r="D220" s="83" t="inlineStr">
        <is>
          <t>Electrical equipment, appliances, and components</t>
        </is>
      </c>
      <c r="E220" s="83" t="inlineStr">
        <is>
          <t>Storage battery manufacturing</t>
        </is>
      </c>
      <c r="F220" s="84" t="inlineStr">
        <is>
          <t>335911</t>
        </is>
      </c>
      <c r="G220" s="83" t="n">
        <v>11328</v>
      </c>
      <c r="H220" s="83" t="n">
        <v>8100</v>
      </c>
      <c r="I220" s="88">
        <f>G220/H220</f>
        <v/>
      </c>
    </row>
    <row r="221" ht="13.8" customHeight="1" s="82">
      <c r="A221" s="83" t="inlineStr">
        <is>
          <t>335912</t>
        </is>
      </c>
      <c r="B221" s="83" t="inlineStr">
        <is>
          <t>335</t>
        </is>
      </c>
      <c r="C221" s="83">
        <f>TRUE()</f>
        <v/>
      </c>
      <c r="D221" s="83" t="inlineStr">
        <is>
          <t>Electrical equipment, appliances, and components</t>
        </is>
      </c>
      <c r="E221" s="83" t="inlineStr">
        <is>
          <t>Primary battery manufacturing</t>
        </is>
      </c>
      <c r="F221" s="84" t="inlineStr">
        <is>
          <t>335912</t>
        </is>
      </c>
      <c r="G221" s="83" t="n">
        <v>9935</v>
      </c>
      <c r="H221" s="83" t="n">
        <v>6823</v>
      </c>
      <c r="I221" s="88">
        <f>G221/H221</f>
        <v/>
      </c>
    </row>
    <row r="222" ht="13.8" customHeight="1" s="82">
      <c r="A222" s="83" t="inlineStr">
        <is>
          <t>335920</t>
        </is>
      </c>
      <c r="B222" s="83" t="inlineStr">
        <is>
          <t>335</t>
        </is>
      </c>
      <c r="C222" s="83">
        <f>TRUE()</f>
        <v/>
      </c>
      <c r="D222" s="83" t="inlineStr">
        <is>
          <t>Electrical equipment, appliances, and components</t>
        </is>
      </c>
      <c r="E222" s="83" t="inlineStr">
        <is>
          <t>Communication and energy wire and cable manufacturing</t>
        </is>
      </c>
      <c r="F222" s="84" t="inlineStr">
        <is>
          <t>335920</t>
        </is>
      </c>
      <c r="G222" s="83" t="n">
        <v>0</v>
      </c>
      <c r="H222" s="83" t="n">
        <v>0</v>
      </c>
      <c r="I222" s="88">
        <f>G222/H222</f>
        <v/>
      </c>
    </row>
    <row r="223" ht="13.8" customHeight="1" s="82">
      <c r="A223" s="83" t="inlineStr">
        <is>
          <t>335930</t>
        </is>
      </c>
      <c r="B223" s="83" t="inlineStr">
        <is>
          <t>335</t>
        </is>
      </c>
      <c r="C223" s="83">
        <f>TRUE()</f>
        <v/>
      </c>
      <c r="D223" s="83" t="inlineStr">
        <is>
          <t>Electrical equipment, appliances, and components</t>
        </is>
      </c>
      <c r="E223" s="83" t="inlineStr">
        <is>
          <t>Wiring device manufacturing</t>
        </is>
      </c>
      <c r="F223" s="84" t="inlineStr">
        <is>
          <t>335930</t>
        </is>
      </c>
      <c r="G223" s="83" t="n">
        <v>0</v>
      </c>
      <c r="H223" s="83" t="n">
        <v>0</v>
      </c>
      <c r="I223" s="88">
        <f>G223/H223</f>
        <v/>
      </c>
    </row>
    <row r="224" ht="13.8" customHeight="1" s="82">
      <c r="A224" s="83" t="inlineStr">
        <is>
          <t>335991</t>
        </is>
      </c>
      <c r="B224" s="83" t="inlineStr">
        <is>
          <t>335</t>
        </is>
      </c>
      <c r="C224" s="83">
        <f>TRUE()</f>
        <v/>
      </c>
      <c r="D224" s="83" t="inlineStr">
        <is>
          <t>Electrical equipment, appliances, and components</t>
        </is>
      </c>
      <c r="E224" s="83" t="inlineStr">
        <is>
          <t>Carbon and graphite product manufacturing</t>
        </is>
      </c>
      <c r="F224" s="84" t="inlineStr">
        <is>
          <t>335991</t>
        </is>
      </c>
      <c r="G224" s="83" t="n">
        <v>0</v>
      </c>
      <c r="H224" s="83" t="n">
        <v>0</v>
      </c>
      <c r="I224" s="88">
        <f>G224/H224</f>
        <v/>
      </c>
    </row>
    <row r="225" ht="13.8" customHeight="1" s="82">
      <c r="A225" s="83" t="inlineStr">
        <is>
          <t>335999</t>
        </is>
      </c>
      <c r="B225" s="83" t="inlineStr">
        <is>
          <t>335</t>
        </is>
      </c>
      <c r="C225" s="83">
        <f>TRUE()</f>
        <v/>
      </c>
      <c r="D225" s="83" t="inlineStr">
        <is>
          <t>Electrical equipment, appliances, and components</t>
        </is>
      </c>
      <c r="E225" s="83" t="inlineStr">
        <is>
          <t>All other miscellaneous electrical equipment and component manufacturing</t>
        </is>
      </c>
      <c r="F225" s="84" t="inlineStr">
        <is>
          <t>335999</t>
        </is>
      </c>
      <c r="G225" s="83" t="n">
        <v>741</v>
      </c>
      <c r="H225" s="83" t="n">
        <v>444</v>
      </c>
      <c r="I225" s="88">
        <f>G225/H225</f>
        <v/>
      </c>
    </row>
    <row r="226" ht="13.8" customHeight="1" s="82">
      <c r="A226" s="83" t="inlineStr">
        <is>
          <t>336111</t>
        </is>
      </c>
      <c r="B226" s="83" t="inlineStr">
        <is>
          <t>3361MV</t>
        </is>
      </c>
      <c r="C226" s="83">
        <f>TRUE()</f>
        <v/>
      </c>
      <c r="D226" s="83" t="inlineStr">
        <is>
          <t>Motor vehicles, bodies and trailers, and parts</t>
        </is>
      </c>
      <c r="E226" s="83" t="inlineStr">
        <is>
          <t>Automobile manufacturing</t>
        </is>
      </c>
      <c r="F226" s="84" t="inlineStr">
        <is>
          <t>336111</t>
        </is>
      </c>
      <c r="G226" s="83" t="n">
        <v>93337</v>
      </c>
      <c r="H226" s="83" t="n">
        <v>69901</v>
      </c>
      <c r="I226" s="88">
        <f>G226/H226</f>
        <v/>
      </c>
    </row>
    <row r="227" ht="13.8" customHeight="1" s="82">
      <c r="A227" s="83" t="inlineStr">
        <is>
          <t>336112</t>
        </is>
      </c>
      <c r="B227" s="83" t="inlineStr">
        <is>
          <t>3361MV</t>
        </is>
      </c>
      <c r="C227" s="83">
        <f>TRUE()</f>
        <v/>
      </c>
      <c r="D227" s="83" t="inlineStr">
        <is>
          <t>Motor vehicles, bodies and trailers, and parts</t>
        </is>
      </c>
      <c r="E227" s="83" t="inlineStr">
        <is>
          <t>Light truck and utility vehicle manufacturing</t>
        </is>
      </c>
      <c r="F227" s="84" t="inlineStr">
        <is>
          <t>336112</t>
        </is>
      </c>
      <c r="G227" s="83" t="n">
        <v>280979</v>
      </c>
      <c r="H227" s="83" t="n">
        <v>210429</v>
      </c>
      <c r="I227" s="88">
        <f>G227/H227</f>
        <v/>
      </c>
    </row>
    <row r="228" ht="13.8" customHeight="1" s="82">
      <c r="A228" s="83" t="inlineStr">
        <is>
          <t>336120</t>
        </is>
      </c>
      <c r="B228" s="83" t="inlineStr">
        <is>
          <t>3361MV</t>
        </is>
      </c>
      <c r="C228" s="83">
        <f>TRUE()</f>
        <v/>
      </c>
      <c r="D228" s="83" t="inlineStr">
        <is>
          <t>Motor vehicles, bodies and trailers, and parts</t>
        </is>
      </c>
      <c r="E228" s="83" t="inlineStr">
        <is>
          <t>Heavy duty truck manufacturing</t>
        </is>
      </c>
      <c r="F228" s="84" t="inlineStr">
        <is>
          <t>336120</t>
        </is>
      </c>
      <c r="G228" s="83" t="n">
        <v>0</v>
      </c>
      <c r="H228" s="83" t="n">
        <v>0</v>
      </c>
      <c r="I228" s="88">
        <f>G228/H228</f>
        <v/>
      </c>
    </row>
    <row r="229" ht="13.8" customHeight="1" s="82">
      <c r="A229" s="83" t="inlineStr">
        <is>
          <t>336211</t>
        </is>
      </c>
      <c r="B229" s="83" t="inlineStr">
        <is>
          <t>3361MV</t>
        </is>
      </c>
      <c r="C229" s="83">
        <f>FALSE()</f>
        <v/>
      </c>
      <c r="D229" s="83" t="inlineStr">
        <is>
          <t>Motor vehicles, bodies and trailers, and parts</t>
        </is>
      </c>
      <c r="E229" s="83" t="inlineStr">
        <is>
          <t>Motor vehicle body manufacturing</t>
        </is>
      </c>
      <c r="F229" s="84" t="inlineStr">
        <is>
          <t>336211</t>
        </is>
      </c>
      <c r="G229" s="83" t="n">
        <v>534</v>
      </c>
      <c r="H229" s="83" t="n">
        <v>400</v>
      </c>
      <c r="I229" s="88">
        <f>G229/H229</f>
        <v/>
      </c>
    </row>
    <row r="230" ht="13.8" customHeight="1" s="82">
      <c r="A230" s="83" t="inlineStr">
        <is>
          <t>336212</t>
        </is>
      </c>
      <c r="B230" s="83" t="inlineStr">
        <is>
          <t>3361MV</t>
        </is>
      </c>
      <c r="C230" s="83">
        <f>FALSE()</f>
        <v/>
      </c>
      <c r="D230" s="83" t="inlineStr">
        <is>
          <t>Motor vehicles, bodies and trailers, and parts</t>
        </is>
      </c>
      <c r="E230" s="83" t="inlineStr">
        <is>
          <t>Truck trailer manufacturing</t>
        </is>
      </c>
      <c r="F230" s="84" t="inlineStr">
        <is>
          <t>336212</t>
        </is>
      </c>
      <c r="G230" s="83" t="n">
        <v>0</v>
      </c>
      <c r="H230" s="83" t="n">
        <v>0</v>
      </c>
      <c r="I230" s="88">
        <f>G230/H230</f>
        <v/>
      </c>
    </row>
    <row r="231" ht="13.8" customHeight="1" s="82">
      <c r="A231" s="83" t="inlineStr">
        <is>
          <t>336213</t>
        </is>
      </c>
      <c r="B231" s="83" t="inlineStr">
        <is>
          <t>3361MV</t>
        </is>
      </c>
      <c r="C231" s="83">
        <f>FALSE()</f>
        <v/>
      </c>
      <c r="D231" s="83" t="inlineStr">
        <is>
          <t>Motor vehicles, bodies and trailers, and parts</t>
        </is>
      </c>
      <c r="E231" s="83" t="inlineStr">
        <is>
          <t>Motor home manufacturing</t>
        </is>
      </c>
      <c r="F231" s="84" t="inlineStr">
        <is>
          <t>336213</t>
        </is>
      </c>
      <c r="G231" s="83" t="n">
        <v>15112</v>
      </c>
      <c r="H231" s="83" t="n">
        <v>10002</v>
      </c>
      <c r="I231" s="88">
        <f>G231/H231</f>
        <v/>
      </c>
    </row>
    <row r="232" ht="13.8" customHeight="1" s="82">
      <c r="A232" s="83" t="inlineStr">
        <is>
          <t>336214</t>
        </is>
      </c>
      <c r="B232" s="83" t="inlineStr">
        <is>
          <t>3361MV</t>
        </is>
      </c>
      <c r="C232" s="83">
        <f>FALSE()</f>
        <v/>
      </c>
      <c r="D232" s="83" t="inlineStr">
        <is>
          <t>Motor vehicles, bodies and trailers, and parts</t>
        </is>
      </c>
      <c r="E232" s="83" t="inlineStr">
        <is>
          <t>Travel trailer and camper manufacturing</t>
        </is>
      </c>
      <c r="F232" s="84" t="inlineStr">
        <is>
          <t>336214</t>
        </is>
      </c>
      <c r="G232" s="83" t="n">
        <v>30614</v>
      </c>
      <c r="H232" s="83" t="n">
        <v>20263</v>
      </c>
      <c r="I232" s="88">
        <f>G232/H232</f>
        <v/>
      </c>
    </row>
    <row r="233" ht="13.8" customHeight="1" s="82">
      <c r="A233" s="83" t="inlineStr">
        <is>
          <t>336310</t>
        </is>
      </c>
      <c r="B233" s="83" t="inlineStr">
        <is>
          <t>3361MV</t>
        </is>
      </c>
      <c r="C233" s="83">
        <f>FALSE()</f>
        <v/>
      </c>
      <c r="D233" s="83" t="inlineStr">
        <is>
          <t>Motor vehicles, bodies and trailers, and parts</t>
        </is>
      </c>
      <c r="E233" s="83" t="inlineStr">
        <is>
          <t>Motor vehicle gasoline engine and engine parts manufacturing</t>
        </is>
      </c>
      <c r="F233" s="84" t="inlineStr">
        <is>
          <t>336310</t>
        </is>
      </c>
      <c r="G233" s="83" t="n">
        <v>11168</v>
      </c>
      <c r="H233" s="83" t="n">
        <v>8104</v>
      </c>
      <c r="I233" s="88">
        <f>G233/H233</f>
        <v/>
      </c>
    </row>
    <row r="234" ht="13.8" customHeight="1" s="82">
      <c r="A234" s="83" t="inlineStr">
        <is>
          <t>336320</t>
        </is>
      </c>
      <c r="B234" s="83" t="inlineStr">
        <is>
          <t>3361MV</t>
        </is>
      </c>
      <c r="C234" s="83">
        <f>FALSE()</f>
        <v/>
      </c>
      <c r="D234" s="83" t="inlineStr">
        <is>
          <t>Motor vehicles, bodies and trailers, and parts</t>
        </is>
      </c>
      <c r="E234" s="83" t="inlineStr">
        <is>
          <t>Motor vehicle electrical and electronic equipment manufacturing</t>
        </is>
      </c>
      <c r="F234" s="84" t="inlineStr">
        <is>
          <t>336320</t>
        </is>
      </c>
      <c r="G234" s="83" t="n">
        <v>11406</v>
      </c>
      <c r="H234" s="83" t="n">
        <v>8277</v>
      </c>
      <c r="I234" s="88">
        <f>G234/H234</f>
        <v/>
      </c>
    </row>
    <row r="235" ht="13.8" customHeight="1" s="82">
      <c r="A235" s="83" t="inlineStr">
        <is>
          <t>336350</t>
        </is>
      </c>
      <c r="B235" s="83" t="inlineStr">
        <is>
          <t>3361MV</t>
        </is>
      </c>
      <c r="C235" s="83">
        <f>FALSE()</f>
        <v/>
      </c>
      <c r="D235" s="83" t="inlineStr">
        <is>
          <t>Motor vehicles, bodies and trailers, and parts</t>
        </is>
      </c>
      <c r="E235" s="83" t="inlineStr">
        <is>
          <t>Motor vehicle transmission and power train parts manufacturing</t>
        </is>
      </c>
      <c r="F235" s="84" t="inlineStr">
        <is>
          <t>336350</t>
        </is>
      </c>
      <c r="G235" s="83" t="n">
        <v>9540</v>
      </c>
      <c r="H235" s="83" t="n">
        <v>6923</v>
      </c>
      <c r="I235" s="88">
        <f>G235/H235</f>
        <v/>
      </c>
    </row>
    <row r="236" ht="13.8" customHeight="1" s="82">
      <c r="A236" s="83" t="inlineStr">
        <is>
          <t>336360</t>
        </is>
      </c>
      <c r="B236" s="83" t="inlineStr">
        <is>
          <t>3361MV</t>
        </is>
      </c>
      <c r="C236" s="83">
        <f>FALSE()</f>
        <v/>
      </c>
      <c r="D236" s="83" t="inlineStr">
        <is>
          <t>Motor vehicles, bodies and trailers, and parts</t>
        </is>
      </c>
      <c r="E236" s="83" t="inlineStr">
        <is>
          <t>Motor vehicle seating and interior trim manufacturing</t>
        </is>
      </c>
      <c r="F236" s="84" t="inlineStr">
        <is>
          <t>336360</t>
        </is>
      </c>
      <c r="G236" s="83" t="n">
        <v>1</v>
      </c>
      <c r="H236" s="83" t="n">
        <v>1</v>
      </c>
      <c r="I236" s="88">
        <f>G236/H236</f>
        <v/>
      </c>
    </row>
    <row r="237" ht="13.8" customHeight="1" s="82">
      <c r="A237" s="83" t="inlineStr">
        <is>
          <t>336370</t>
        </is>
      </c>
      <c r="B237" s="83" t="inlineStr">
        <is>
          <t>3361MV</t>
        </is>
      </c>
      <c r="C237" s="83">
        <f>FALSE()</f>
        <v/>
      </c>
      <c r="D237" s="83" t="inlineStr">
        <is>
          <t>Motor vehicles, bodies and trailers, and parts</t>
        </is>
      </c>
      <c r="E237" s="83" t="inlineStr">
        <is>
          <t>Motor vehicle metal stamping</t>
        </is>
      </c>
      <c r="F237" s="84" t="inlineStr">
        <is>
          <t>336370</t>
        </is>
      </c>
      <c r="G237" s="83" t="n">
        <v>0</v>
      </c>
      <c r="H237" s="83" t="n">
        <v>0</v>
      </c>
      <c r="I237" s="88">
        <f>G237/H237</f>
        <v/>
      </c>
    </row>
    <row r="238" ht="13.8" customHeight="1" s="82">
      <c r="A238" s="83" t="inlineStr">
        <is>
          <t>336390</t>
        </is>
      </c>
      <c r="B238" s="83" t="inlineStr">
        <is>
          <t>3361MV</t>
        </is>
      </c>
      <c r="C238" s="83">
        <f>FALSE()</f>
        <v/>
      </c>
      <c r="D238" s="83" t="inlineStr">
        <is>
          <t>Motor vehicles, bodies and trailers, and parts</t>
        </is>
      </c>
      <c r="E238" s="83" t="inlineStr">
        <is>
          <t>Other motor vehicle parts manufacturing</t>
        </is>
      </c>
      <c r="F238" s="84" t="inlineStr">
        <is>
          <t>336390</t>
        </is>
      </c>
      <c r="G238" s="83" t="n">
        <v>16952</v>
      </c>
      <c r="H238" s="83" t="n">
        <v>12301</v>
      </c>
      <c r="I238" s="88">
        <f>G238/H238</f>
        <v/>
      </c>
    </row>
    <row r="239" ht="13.8" customHeight="1" s="82">
      <c r="A239" s="83" t="inlineStr">
        <is>
          <t>3363A0</t>
        </is>
      </c>
      <c r="B239" s="83" t="inlineStr">
        <is>
          <t>3361MV</t>
        </is>
      </c>
      <c r="C239" s="83">
        <f>FALSE()</f>
        <v/>
      </c>
      <c r="D239" s="83" t="inlineStr">
        <is>
          <t>Motor vehicles, bodies and trailers, and parts</t>
        </is>
      </c>
      <c r="E239" s="83" t="inlineStr">
        <is>
          <t>Motor vehicle steering, suspension component (except spring), and brake systems manufacturing</t>
        </is>
      </c>
      <c r="F239" s="84" t="inlineStr">
        <is>
          <t>3363A0</t>
        </is>
      </c>
      <c r="G239" s="83" t="n">
        <v>4894</v>
      </c>
      <c r="H239" s="83" t="n">
        <v>3551</v>
      </c>
      <c r="I239" s="88">
        <f>G239/H239</f>
        <v/>
      </c>
    </row>
    <row r="240" ht="13.8" customHeight="1" s="82">
      <c r="A240" s="83" t="inlineStr">
        <is>
          <t>336411</t>
        </is>
      </c>
      <c r="B240" s="83" t="inlineStr">
        <is>
          <t>3364OT</t>
        </is>
      </c>
      <c r="C240" s="83">
        <f>TRUE()</f>
        <v/>
      </c>
      <c r="D240" s="83" t="inlineStr">
        <is>
          <t>Other transportation equipment</t>
        </is>
      </c>
      <c r="E240" s="83" t="inlineStr">
        <is>
          <t>Aircraft manufacturing</t>
        </is>
      </c>
      <c r="F240" s="84" t="inlineStr">
        <is>
          <t>336411</t>
        </is>
      </c>
      <c r="G240" s="83" t="n">
        <v>2244</v>
      </c>
      <c r="H240" s="83" t="n">
        <v>1485</v>
      </c>
      <c r="I240" s="88">
        <f>G240/H240</f>
        <v/>
      </c>
    </row>
    <row r="241" ht="13.8" customHeight="1" s="82">
      <c r="A241" s="83" t="inlineStr">
        <is>
          <t>336412</t>
        </is>
      </c>
      <c r="B241" s="83" t="inlineStr">
        <is>
          <t>3364OT</t>
        </is>
      </c>
      <c r="C241" s="83">
        <f>TRUE()</f>
        <v/>
      </c>
      <c r="D241" s="83" t="inlineStr">
        <is>
          <t>Other transportation equipment</t>
        </is>
      </c>
      <c r="E241" s="83" t="inlineStr">
        <is>
          <t>Aircraft engine and engine parts manufacturing</t>
        </is>
      </c>
      <c r="F241" s="84" t="inlineStr">
        <is>
          <t>336412</t>
        </is>
      </c>
      <c r="G241" s="83" t="n">
        <v>0</v>
      </c>
      <c r="H241" s="83" t="n">
        <v>0</v>
      </c>
      <c r="I241" s="88">
        <f>G241/H241</f>
        <v/>
      </c>
    </row>
    <row r="242" ht="13.8" customHeight="1" s="82">
      <c r="A242" s="83" t="inlineStr">
        <is>
          <t>336413</t>
        </is>
      </c>
      <c r="B242" s="83" t="inlineStr">
        <is>
          <t>3364OT</t>
        </is>
      </c>
      <c r="C242" s="83">
        <f>TRUE()</f>
        <v/>
      </c>
      <c r="D242" s="83" t="inlineStr">
        <is>
          <t>Other transportation equipment</t>
        </is>
      </c>
      <c r="E242" s="83" t="inlineStr">
        <is>
          <t>Other aircraft parts and auxiliary equipment manufacturing</t>
        </is>
      </c>
      <c r="F242" s="84" t="inlineStr">
        <is>
          <t>336413</t>
        </is>
      </c>
      <c r="G242" s="83" t="n">
        <v>0</v>
      </c>
      <c r="H242" s="83" t="n">
        <v>0</v>
      </c>
      <c r="I242" s="88">
        <f>G242/H242</f>
        <v/>
      </c>
    </row>
    <row r="243" ht="13.8" customHeight="1" s="82">
      <c r="A243" s="83" t="inlineStr">
        <is>
          <t>336414</t>
        </is>
      </c>
      <c r="B243" s="83" t="inlineStr">
        <is>
          <t>3364OT</t>
        </is>
      </c>
      <c r="C243" s="83">
        <f>TRUE()</f>
        <v/>
      </c>
      <c r="D243" s="83" t="inlineStr">
        <is>
          <t>Other transportation equipment</t>
        </is>
      </c>
      <c r="E243" s="83" t="inlineStr">
        <is>
          <t>Guided missile and space vehicle manufacturing</t>
        </is>
      </c>
      <c r="F243" s="84" t="inlineStr">
        <is>
          <t>336414</t>
        </is>
      </c>
      <c r="G243" s="83" t="n">
        <v>0</v>
      </c>
      <c r="H243" s="83" t="n">
        <v>0</v>
      </c>
      <c r="I243" s="88">
        <f>G243/H243</f>
        <v/>
      </c>
    </row>
    <row r="244" ht="13.8" customHeight="1" s="82">
      <c r="A244" s="83" t="inlineStr">
        <is>
          <t>33641A</t>
        </is>
      </c>
      <c r="B244" s="83" t="inlineStr">
        <is>
          <t>3364OT</t>
        </is>
      </c>
      <c r="C244" s="83">
        <f>TRUE()</f>
        <v/>
      </c>
      <c r="D244" s="83" t="inlineStr">
        <is>
          <t>Other transportation equipment</t>
        </is>
      </c>
      <c r="E244" s="83" t="inlineStr">
        <is>
          <t>Propulsion units and parts for space vehicles and guided missiles</t>
        </is>
      </c>
      <c r="F244" s="84" t="inlineStr">
        <is>
          <t>33641A</t>
        </is>
      </c>
      <c r="G244" s="83" t="n">
        <v>0</v>
      </c>
      <c r="H244" s="83" t="n">
        <v>0</v>
      </c>
      <c r="I244" s="88">
        <f>G244/H244</f>
        <v/>
      </c>
    </row>
    <row r="245" ht="13.8" customHeight="1" s="82">
      <c r="A245" s="83" t="inlineStr">
        <is>
          <t>336500</t>
        </is>
      </c>
      <c r="B245" s="83" t="inlineStr">
        <is>
          <t>3364OT</t>
        </is>
      </c>
      <c r="C245" s="83">
        <f>FALSE()</f>
        <v/>
      </c>
      <c r="D245" s="83" t="inlineStr">
        <is>
          <t>Other transportation equipment</t>
        </is>
      </c>
      <c r="E245" s="83" t="inlineStr">
        <is>
          <t>Railroad rolling stock manufacturing</t>
        </is>
      </c>
      <c r="F245" s="84" t="inlineStr">
        <is>
          <t>336500</t>
        </is>
      </c>
      <c r="G245" s="83" t="n">
        <v>0</v>
      </c>
      <c r="H245" s="83" t="n">
        <v>0</v>
      </c>
      <c r="I245" s="88">
        <f>G245/H245</f>
        <v/>
      </c>
    </row>
    <row r="246" ht="13.8" customHeight="1" s="82">
      <c r="A246" s="83" t="inlineStr">
        <is>
          <t>336611</t>
        </is>
      </c>
      <c r="B246" s="83" t="inlineStr">
        <is>
          <t>3364OT</t>
        </is>
      </c>
      <c r="C246" s="83">
        <f>FALSE()</f>
        <v/>
      </c>
      <c r="D246" s="83" t="inlineStr">
        <is>
          <t>Other transportation equipment</t>
        </is>
      </c>
      <c r="E246" s="83" t="inlineStr">
        <is>
          <t>Ship building and repairing</t>
        </is>
      </c>
      <c r="F246" s="84" t="inlineStr">
        <is>
          <t>336611</t>
        </is>
      </c>
      <c r="G246" s="83" t="n">
        <v>0</v>
      </c>
      <c r="H246" s="83" t="n">
        <v>0</v>
      </c>
      <c r="I246" s="88">
        <f>G246/H246</f>
        <v/>
      </c>
    </row>
    <row r="247" ht="13.8" customHeight="1" s="82">
      <c r="A247" s="83" t="inlineStr">
        <is>
          <t>336612</t>
        </is>
      </c>
      <c r="B247" s="83" t="inlineStr">
        <is>
          <t>3364OT</t>
        </is>
      </c>
      <c r="C247" s="83">
        <f>FALSE()</f>
        <v/>
      </c>
      <c r="D247" s="83" t="inlineStr">
        <is>
          <t>Other transportation equipment</t>
        </is>
      </c>
      <c r="E247" s="83" t="inlineStr">
        <is>
          <t>Boat building</t>
        </is>
      </c>
      <c r="F247" s="84" t="inlineStr">
        <is>
          <t>336612</t>
        </is>
      </c>
      <c r="G247" s="83" t="n">
        <v>20546</v>
      </c>
      <c r="H247" s="83" t="n">
        <v>13599</v>
      </c>
      <c r="I247" s="88">
        <f>G247/H247</f>
        <v/>
      </c>
    </row>
    <row r="248" ht="13.8" customHeight="1" s="82">
      <c r="A248" s="83" t="inlineStr">
        <is>
          <t>336991</t>
        </is>
      </c>
      <c r="B248" s="83" t="inlineStr">
        <is>
          <t>3364OT</t>
        </is>
      </c>
      <c r="C248" s="83">
        <f>FALSE()</f>
        <v/>
      </c>
      <c r="D248" s="83" t="inlineStr">
        <is>
          <t>Other transportation equipment</t>
        </is>
      </c>
      <c r="E248" s="83" t="inlineStr">
        <is>
          <t>Motorcycle, bicycle, and parts manufacturing</t>
        </is>
      </c>
      <c r="F248" s="84" t="inlineStr">
        <is>
          <t>336991</t>
        </is>
      </c>
      <c r="G248" s="83" t="n">
        <v>23035</v>
      </c>
      <c r="H248" s="83" t="n">
        <v>15245</v>
      </c>
      <c r="I248" s="88">
        <f>G248/H248</f>
        <v/>
      </c>
    </row>
    <row r="249" ht="13.8" customHeight="1" s="82">
      <c r="A249" s="83" t="inlineStr">
        <is>
          <t>336992</t>
        </is>
      </c>
      <c r="B249" s="83" t="inlineStr">
        <is>
          <t>3364OT</t>
        </is>
      </c>
      <c r="C249" s="83">
        <f>FALSE()</f>
        <v/>
      </c>
      <c r="D249" s="83" t="inlineStr">
        <is>
          <t>Other transportation equipment</t>
        </is>
      </c>
      <c r="E249" s="83" t="inlineStr">
        <is>
          <t>Military armored vehicle, tank, and tank component manufacturing</t>
        </is>
      </c>
      <c r="F249" s="84" t="inlineStr">
        <is>
          <t>336992</t>
        </is>
      </c>
      <c r="G249" s="83" t="n">
        <v>0</v>
      </c>
      <c r="H249" s="83" t="n">
        <v>0</v>
      </c>
      <c r="I249" s="88">
        <f>G249/H249</f>
        <v/>
      </c>
    </row>
    <row r="250" ht="13.8" customHeight="1" s="82">
      <c r="A250" s="83" t="inlineStr">
        <is>
          <t>336999</t>
        </is>
      </c>
      <c r="B250" s="83" t="inlineStr">
        <is>
          <t>3364OT</t>
        </is>
      </c>
      <c r="C250" s="83">
        <f>FALSE()</f>
        <v/>
      </c>
      <c r="D250" s="83" t="inlineStr">
        <is>
          <t>Other transportation equipment</t>
        </is>
      </c>
      <c r="E250" s="83" t="inlineStr">
        <is>
          <t>All other transportation equipment manufacturing</t>
        </is>
      </c>
      <c r="F250" s="84" t="inlineStr">
        <is>
          <t>336999</t>
        </is>
      </c>
      <c r="G250" s="83" t="n">
        <v>10897</v>
      </c>
      <c r="H250" s="83" t="n">
        <v>6690</v>
      </c>
      <c r="I250" s="88">
        <f>G250/H250</f>
        <v/>
      </c>
    </row>
    <row r="251" ht="13.8" customHeight="1" s="82">
      <c r="A251" s="83" t="inlineStr">
        <is>
          <t>337110</t>
        </is>
      </c>
      <c r="B251" s="83" t="inlineStr">
        <is>
          <t>337</t>
        </is>
      </c>
      <c r="C251" s="83">
        <f>TRUE()</f>
        <v/>
      </c>
      <c r="D251" s="83" t="inlineStr">
        <is>
          <t>Furniture and related products</t>
        </is>
      </c>
      <c r="E251" s="83" t="inlineStr">
        <is>
          <t>Wood kitchen cabinet and countertop manufacturing</t>
        </is>
      </c>
      <c r="F251" s="84" t="inlineStr">
        <is>
          <t>337110</t>
        </is>
      </c>
      <c r="G251" s="83" t="n">
        <v>0</v>
      </c>
      <c r="H251" s="83" t="n">
        <v>0</v>
      </c>
      <c r="I251" s="88">
        <f>G251/H251</f>
        <v/>
      </c>
    </row>
    <row r="252" ht="13.8" customHeight="1" s="82">
      <c r="A252" s="83" t="inlineStr">
        <is>
          <t>337121</t>
        </is>
      </c>
      <c r="B252" s="83" t="inlineStr">
        <is>
          <t>337</t>
        </is>
      </c>
      <c r="C252" s="83">
        <f>TRUE()</f>
        <v/>
      </c>
      <c r="D252" s="83" t="inlineStr">
        <is>
          <t>Furniture and related products</t>
        </is>
      </c>
      <c r="E252" s="83" t="inlineStr">
        <is>
          <t>Upholstered household furniture manufacturing</t>
        </is>
      </c>
      <c r="F252" s="84" t="inlineStr">
        <is>
          <t>337121</t>
        </is>
      </c>
      <c r="G252" s="83" t="n">
        <v>48283</v>
      </c>
      <c r="H252" s="83" t="n">
        <v>32100</v>
      </c>
      <c r="I252" s="88">
        <f>G252/H252</f>
        <v/>
      </c>
    </row>
    <row r="253" ht="13.8" customHeight="1" s="82">
      <c r="A253" s="83" t="inlineStr">
        <is>
          <t>337122</t>
        </is>
      </c>
      <c r="B253" s="83" t="inlineStr">
        <is>
          <t>337</t>
        </is>
      </c>
      <c r="C253" s="83">
        <f>TRUE()</f>
        <v/>
      </c>
      <c r="D253" s="83" t="inlineStr">
        <is>
          <t>Furniture and related products</t>
        </is>
      </c>
      <c r="E253" s="83" t="inlineStr">
        <is>
          <t>Nonupholstered wood household furniture manufacturing</t>
        </is>
      </c>
      <c r="F253" s="84" t="inlineStr">
        <is>
          <t>337122</t>
        </is>
      </c>
      <c r="G253" s="83" t="n">
        <v>48247</v>
      </c>
      <c r="H253" s="83" t="n">
        <v>32076</v>
      </c>
      <c r="I253" s="88">
        <f>G253/H253</f>
        <v/>
      </c>
    </row>
    <row r="254" ht="13.8" customHeight="1" s="82">
      <c r="A254" s="83" t="inlineStr">
        <is>
          <t>337127</t>
        </is>
      </c>
      <c r="B254" s="83" t="inlineStr">
        <is>
          <t>337</t>
        </is>
      </c>
      <c r="C254" s="83">
        <f>TRUE()</f>
        <v/>
      </c>
      <c r="D254" s="83" t="inlineStr">
        <is>
          <t>Furniture and related products</t>
        </is>
      </c>
      <c r="E254" s="83" t="inlineStr">
        <is>
          <t>Institutional furniture manufacturing</t>
        </is>
      </c>
      <c r="F254" s="84" t="inlineStr">
        <is>
          <t>337127</t>
        </is>
      </c>
      <c r="G254" s="83" t="n">
        <v>5</v>
      </c>
      <c r="H254" s="83" t="n">
        <v>3</v>
      </c>
      <c r="I254" s="88">
        <f>G254/H254</f>
        <v/>
      </c>
    </row>
    <row r="255" ht="13.8" customHeight="1" s="82">
      <c r="A255" s="83" t="inlineStr">
        <is>
          <t>33712N</t>
        </is>
      </c>
      <c r="B255" s="83" t="inlineStr">
        <is>
          <t>337</t>
        </is>
      </c>
      <c r="C255" s="83">
        <f>TRUE()</f>
        <v/>
      </c>
      <c r="D255" s="83" t="inlineStr">
        <is>
          <t>Furniture and related products</t>
        </is>
      </c>
      <c r="E255" s="83" t="inlineStr">
        <is>
          <t>Other household nonupholstered furniture</t>
        </is>
      </c>
      <c r="F255" s="84" t="inlineStr">
        <is>
          <t>33712N</t>
        </is>
      </c>
      <c r="G255" s="83" t="n">
        <v>24111</v>
      </c>
      <c r="H255" s="83" t="n">
        <v>16030</v>
      </c>
      <c r="I255" s="88">
        <f>G255/H255</f>
        <v/>
      </c>
    </row>
    <row r="256" ht="13.8" customHeight="1" s="82">
      <c r="A256" s="83" t="inlineStr">
        <is>
          <t>337215</t>
        </is>
      </c>
      <c r="B256" s="83" t="inlineStr">
        <is>
          <t>337</t>
        </is>
      </c>
      <c r="C256" s="83">
        <f>TRUE()</f>
        <v/>
      </c>
      <c r="D256" s="83" t="inlineStr">
        <is>
          <t>Furniture and related products</t>
        </is>
      </c>
      <c r="E256" s="83" t="inlineStr">
        <is>
          <t>Showcase, partition, shelving, and locker manufacturing</t>
        </is>
      </c>
      <c r="F256" s="84" t="inlineStr">
        <is>
          <t>337215</t>
        </is>
      </c>
      <c r="G256" s="83" t="n">
        <v>1467</v>
      </c>
      <c r="H256" s="83" t="n">
        <v>975</v>
      </c>
      <c r="I256" s="88">
        <f>G256/H256</f>
        <v/>
      </c>
    </row>
    <row r="257" ht="13.8" customHeight="1" s="82">
      <c r="A257" s="83" t="inlineStr">
        <is>
          <t>33721A</t>
        </is>
      </c>
      <c r="B257" s="83" t="inlineStr">
        <is>
          <t>337</t>
        </is>
      </c>
      <c r="C257" s="83">
        <f>TRUE()</f>
        <v/>
      </c>
      <c r="D257" s="83" t="inlineStr">
        <is>
          <t>Furniture and related products</t>
        </is>
      </c>
      <c r="E257" s="83" t="inlineStr">
        <is>
          <t>Office furniture and custom architectural woodwork and millwork manufacturing</t>
        </is>
      </c>
      <c r="F257" s="84" t="inlineStr">
        <is>
          <t>33721A</t>
        </is>
      </c>
      <c r="G257" s="83" t="n">
        <v>257</v>
      </c>
      <c r="H257" s="83" t="n">
        <v>171</v>
      </c>
      <c r="I257" s="88">
        <f>G257/H257</f>
        <v/>
      </c>
    </row>
    <row r="258" ht="13.8" customHeight="1" s="82">
      <c r="A258" s="83" t="inlineStr">
        <is>
          <t>337900</t>
        </is>
      </c>
      <c r="B258" s="83" t="inlineStr">
        <is>
          <t>337</t>
        </is>
      </c>
      <c r="C258" s="83">
        <f>TRUE()</f>
        <v/>
      </c>
      <c r="D258" s="83" t="inlineStr">
        <is>
          <t>Furniture and related products</t>
        </is>
      </c>
      <c r="E258" s="83" t="inlineStr">
        <is>
          <t>Other furniture related product manufacturing</t>
        </is>
      </c>
      <c r="F258" s="84" t="inlineStr">
        <is>
          <t>337900</t>
        </is>
      </c>
      <c r="G258" s="83" t="n">
        <v>43416</v>
      </c>
      <c r="H258" s="83" t="n">
        <v>28858</v>
      </c>
      <c r="I258" s="88">
        <f>G258/H258</f>
        <v/>
      </c>
    </row>
    <row r="259" ht="13.8" customHeight="1" s="82">
      <c r="A259" s="83" t="inlineStr">
        <is>
          <t>339112</t>
        </is>
      </c>
      <c r="B259" s="83" t="inlineStr">
        <is>
          <t>339</t>
        </is>
      </c>
      <c r="C259" s="83">
        <f>TRUE()</f>
        <v/>
      </c>
      <c r="D259" s="83" t="inlineStr">
        <is>
          <t>Miscellaneous manufacturing</t>
        </is>
      </c>
      <c r="E259" s="83" t="inlineStr">
        <is>
          <t>Surgical and medical instrument manufacturing</t>
        </is>
      </c>
      <c r="F259" s="84" t="inlineStr">
        <is>
          <t>339112</t>
        </is>
      </c>
      <c r="G259" s="83" t="n">
        <v>213</v>
      </c>
      <c r="H259" s="83" t="n">
        <v>164</v>
      </c>
      <c r="I259" s="88">
        <f>G259/H259</f>
        <v/>
      </c>
    </row>
    <row r="260" ht="13.8" customHeight="1" s="82">
      <c r="A260" s="83" t="inlineStr">
        <is>
          <t>339113</t>
        </is>
      </c>
      <c r="B260" s="83" t="inlineStr">
        <is>
          <t>339</t>
        </is>
      </c>
      <c r="C260" s="83">
        <f>TRUE()</f>
        <v/>
      </c>
      <c r="D260" s="83" t="inlineStr">
        <is>
          <t>Miscellaneous manufacturing</t>
        </is>
      </c>
      <c r="E260" s="83" t="inlineStr">
        <is>
          <t>Surgical appliance and supplies manufacturing</t>
        </is>
      </c>
      <c r="F260" s="84" t="inlineStr">
        <is>
          <t>339113</t>
        </is>
      </c>
      <c r="G260" s="83" t="n">
        <v>38893</v>
      </c>
      <c r="H260" s="83" t="n">
        <v>26578</v>
      </c>
      <c r="I260" s="88">
        <f>G260/H260</f>
        <v/>
      </c>
    </row>
    <row r="261" ht="13.8" customHeight="1" s="82">
      <c r="A261" s="83" t="inlineStr">
        <is>
          <t>339114</t>
        </is>
      </c>
      <c r="B261" s="83" t="inlineStr">
        <is>
          <t>339</t>
        </is>
      </c>
      <c r="C261" s="83">
        <f>TRUE()</f>
        <v/>
      </c>
      <c r="D261" s="83" t="inlineStr">
        <is>
          <t>Miscellaneous manufacturing</t>
        </is>
      </c>
      <c r="E261" s="83" t="inlineStr">
        <is>
          <t>Dental equipment and supplies manufacturing</t>
        </is>
      </c>
      <c r="F261" s="84" t="inlineStr">
        <is>
          <t>339114</t>
        </is>
      </c>
      <c r="G261" s="83" t="n">
        <v>0</v>
      </c>
      <c r="H261" s="83" t="n">
        <v>0</v>
      </c>
      <c r="I261" s="88">
        <f>G261/H261</f>
        <v/>
      </c>
    </row>
    <row r="262" ht="13.8" customHeight="1" s="82">
      <c r="A262" s="83" t="inlineStr">
        <is>
          <t>339115</t>
        </is>
      </c>
      <c r="B262" s="83" t="inlineStr">
        <is>
          <t>339</t>
        </is>
      </c>
      <c r="C262" s="83">
        <f>TRUE()</f>
        <v/>
      </c>
      <c r="D262" s="83" t="inlineStr">
        <is>
          <t>Miscellaneous manufacturing</t>
        </is>
      </c>
      <c r="E262" s="83" t="inlineStr">
        <is>
          <t>Ophthalmic goods manufacturing</t>
        </is>
      </c>
      <c r="F262" s="84" t="inlineStr">
        <is>
          <t>339115</t>
        </is>
      </c>
      <c r="G262" s="83" t="n">
        <v>32577</v>
      </c>
      <c r="H262" s="83" t="n">
        <v>22945</v>
      </c>
      <c r="I262" s="88">
        <f>G262/H262</f>
        <v/>
      </c>
    </row>
    <row r="263" ht="13.8" customHeight="1" s="82">
      <c r="A263" s="83" t="inlineStr">
        <is>
          <t>339116</t>
        </is>
      </c>
      <c r="B263" s="83" t="inlineStr">
        <is>
          <t>339</t>
        </is>
      </c>
      <c r="C263" s="83">
        <f>TRUE()</f>
        <v/>
      </c>
      <c r="D263" s="83" t="inlineStr">
        <is>
          <t>Miscellaneous manufacturing</t>
        </is>
      </c>
      <c r="E263" s="83" t="inlineStr">
        <is>
          <t>Dental laboratories</t>
        </is>
      </c>
      <c r="F263" s="84" t="inlineStr">
        <is>
          <t>339116</t>
        </is>
      </c>
      <c r="G263" s="83" t="n">
        <v>0</v>
      </c>
      <c r="H263" s="83" t="n">
        <v>0</v>
      </c>
      <c r="I263" s="88">
        <f>G263/H263</f>
        <v/>
      </c>
    </row>
    <row r="264" ht="13.8" customHeight="1" s="82">
      <c r="A264" s="83" t="inlineStr">
        <is>
          <t>339910</t>
        </is>
      </c>
      <c r="B264" s="83" t="inlineStr">
        <is>
          <t>339</t>
        </is>
      </c>
      <c r="C264" s="83">
        <f>TRUE()</f>
        <v/>
      </c>
      <c r="D264" s="83" t="inlineStr">
        <is>
          <t>Miscellaneous manufacturing</t>
        </is>
      </c>
      <c r="E264" s="83" t="inlineStr">
        <is>
          <t>Jewelry and silverware manufacturing</t>
        </is>
      </c>
      <c r="F264" s="84" t="inlineStr">
        <is>
          <t>339910</t>
        </is>
      </c>
      <c r="G264" s="83" t="n">
        <v>64910</v>
      </c>
      <c r="H264" s="83" t="n">
        <v>43280</v>
      </c>
      <c r="I264" s="88">
        <f>G264/H264</f>
        <v/>
      </c>
    </row>
    <row r="265" ht="13.8" customHeight="1" s="82">
      <c r="A265" s="83" t="inlineStr">
        <is>
          <t>339920</t>
        </is>
      </c>
      <c r="B265" s="83" t="inlineStr">
        <is>
          <t>339</t>
        </is>
      </c>
      <c r="C265" s="83">
        <f>TRUE()</f>
        <v/>
      </c>
      <c r="D265" s="83" t="inlineStr">
        <is>
          <t>Miscellaneous manufacturing</t>
        </is>
      </c>
      <c r="E265" s="83" t="inlineStr">
        <is>
          <t>Sporting and athletic goods manufacturing</t>
        </is>
      </c>
      <c r="F265" s="84" t="inlineStr">
        <is>
          <t>339920</t>
        </is>
      </c>
      <c r="G265" s="83" t="n">
        <v>55810</v>
      </c>
      <c r="H265" s="83" t="n">
        <v>32601</v>
      </c>
      <c r="I265" s="88">
        <f>G265/H265</f>
        <v/>
      </c>
    </row>
    <row r="266" ht="13.8" customHeight="1" s="82">
      <c r="A266" s="83" t="inlineStr">
        <is>
          <t>339930</t>
        </is>
      </c>
      <c r="B266" s="83" t="inlineStr">
        <is>
          <t>339</t>
        </is>
      </c>
      <c r="C266" s="83">
        <f>TRUE()</f>
        <v/>
      </c>
      <c r="D266" s="83" t="inlineStr">
        <is>
          <t>Miscellaneous manufacturing</t>
        </is>
      </c>
      <c r="E266" s="83" t="inlineStr">
        <is>
          <t>Doll, toy, and game manufacturing</t>
        </is>
      </c>
      <c r="F266" s="84" t="inlineStr">
        <is>
          <t>339930</t>
        </is>
      </c>
      <c r="G266" s="83" t="n">
        <v>98871</v>
      </c>
      <c r="H266" s="83" t="n">
        <v>62205</v>
      </c>
      <c r="I266" s="88">
        <f>G266/H266</f>
        <v/>
      </c>
    </row>
    <row r="267" ht="13.8" customHeight="1" s="82">
      <c r="A267" s="83" t="inlineStr">
        <is>
          <t>339940</t>
        </is>
      </c>
      <c r="B267" s="83" t="inlineStr">
        <is>
          <t>339</t>
        </is>
      </c>
      <c r="C267" s="83">
        <f>TRUE()</f>
        <v/>
      </c>
      <c r="D267" s="83" t="inlineStr">
        <is>
          <t>Miscellaneous manufacturing</t>
        </is>
      </c>
      <c r="E267" s="83" t="inlineStr">
        <is>
          <t>Office supplies (except paper) manufacturing</t>
        </is>
      </c>
      <c r="F267" s="84" t="inlineStr">
        <is>
          <t>339940</t>
        </is>
      </c>
      <c r="G267" s="83" t="n">
        <v>8096</v>
      </c>
      <c r="H267" s="83" t="n">
        <v>4705</v>
      </c>
      <c r="I267" s="88">
        <f>G267/H267</f>
        <v/>
      </c>
    </row>
    <row r="268" ht="13.8" customHeight="1" s="82">
      <c r="A268" s="83" t="inlineStr">
        <is>
          <t>339950</t>
        </is>
      </c>
      <c r="B268" s="83" t="inlineStr">
        <is>
          <t>339</t>
        </is>
      </c>
      <c r="C268" s="83">
        <f>TRUE()</f>
        <v/>
      </c>
      <c r="D268" s="83" t="inlineStr">
        <is>
          <t>Miscellaneous manufacturing</t>
        </is>
      </c>
      <c r="E268" s="83" t="inlineStr">
        <is>
          <t>Sign manufacturing</t>
        </is>
      </c>
      <c r="F268" s="84" t="inlineStr">
        <is>
          <t>339950</t>
        </is>
      </c>
      <c r="G268" s="83" t="n">
        <v>0</v>
      </c>
      <c r="H268" s="83" t="n">
        <v>0</v>
      </c>
      <c r="I268" s="88">
        <f>G268/H268</f>
        <v/>
      </c>
    </row>
    <row r="269" ht="13.8" customHeight="1" s="82">
      <c r="A269" s="83" t="inlineStr">
        <is>
          <t>339990</t>
        </is>
      </c>
      <c r="B269" s="83" t="inlineStr">
        <is>
          <t>339</t>
        </is>
      </c>
      <c r="C269" s="83">
        <f>TRUE()</f>
        <v/>
      </c>
      <c r="D269" s="83" t="inlineStr">
        <is>
          <t>Miscellaneous manufacturing</t>
        </is>
      </c>
      <c r="E269" s="83" t="inlineStr">
        <is>
          <t>All other miscellaneous manufacturing</t>
        </is>
      </c>
      <c r="F269" s="84" t="inlineStr">
        <is>
          <t>339990</t>
        </is>
      </c>
      <c r="G269" s="83" t="n">
        <v>76502</v>
      </c>
      <c r="H269" s="83" t="n">
        <v>52600</v>
      </c>
      <c r="I269" s="88">
        <f>G269/H269</f>
        <v/>
      </c>
    </row>
    <row r="270" ht="13.8" customHeight="1" s="82">
      <c r="A270" s="83" t="inlineStr">
        <is>
          <t>4200ID</t>
        </is>
      </c>
      <c r="B270" s="83" t="inlineStr">
        <is>
          <t>42</t>
        </is>
      </c>
      <c r="C270" s="83">
        <f>TRUE()</f>
        <v/>
      </c>
      <c r="D270" s="83" t="inlineStr">
        <is>
          <t>Wholesale trade</t>
        </is>
      </c>
      <c r="E270" s="83" t="inlineStr">
        <is>
          <t>Customs duties</t>
        </is>
      </c>
      <c r="F270" s="84" t="inlineStr">
        <is>
          <t>4200ID</t>
        </is>
      </c>
      <c r="G270" s="83" t="n">
        <v>0</v>
      </c>
      <c r="H270" s="83" t="n">
        <v>0</v>
      </c>
      <c r="I270" s="88">
        <f>G270/H270</f>
        <v/>
      </c>
    </row>
    <row r="271" ht="13.8" customHeight="1" s="82">
      <c r="A271" s="83" t="inlineStr">
        <is>
          <t>423100</t>
        </is>
      </c>
      <c r="B271" s="83" t="inlineStr">
        <is>
          <t>42</t>
        </is>
      </c>
      <c r="C271" s="83">
        <f>TRUE()</f>
        <v/>
      </c>
      <c r="D271" s="83" t="inlineStr">
        <is>
          <t>Wholesale trade</t>
        </is>
      </c>
      <c r="E271" s="83" t="inlineStr">
        <is>
          <t>Motor vehicle and motor vehicle parts and supplies</t>
        </is>
      </c>
      <c r="F271" s="84" t="inlineStr">
        <is>
          <t>423100</t>
        </is>
      </c>
      <c r="G271" s="83" t="n">
        <v>0</v>
      </c>
      <c r="H271" s="83" t="n">
        <v>0</v>
      </c>
      <c r="I271" s="88">
        <f>G271/H271</f>
        <v/>
      </c>
    </row>
    <row r="272" ht="13.8" customHeight="1" s="82">
      <c r="A272" s="83" t="inlineStr">
        <is>
          <t>423400</t>
        </is>
      </c>
      <c r="B272" s="83" t="inlineStr">
        <is>
          <t>42</t>
        </is>
      </c>
      <c r="C272" s="83">
        <f>TRUE()</f>
        <v/>
      </c>
      <c r="D272" s="83" t="inlineStr">
        <is>
          <t>Wholesale trade</t>
        </is>
      </c>
      <c r="E272" s="83" t="inlineStr">
        <is>
          <t>Professional and commercial equipment and supplies</t>
        </is>
      </c>
      <c r="F272" s="84" t="inlineStr">
        <is>
          <t>423400</t>
        </is>
      </c>
      <c r="G272" s="83" t="n">
        <v>0</v>
      </c>
      <c r="H272" s="83" t="n">
        <v>0</v>
      </c>
      <c r="I272" s="88">
        <f>G272/H272</f>
        <v/>
      </c>
    </row>
    <row r="273" ht="13.8" customHeight="1" s="82">
      <c r="A273" s="83" t="inlineStr">
        <is>
          <t>423600</t>
        </is>
      </c>
      <c r="B273" s="83" t="inlineStr">
        <is>
          <t>42</t>
        </is>
      </c>
      <c r="C273" s="83">
        <f>TRUE()</f>
        <v/>
      </c>
      <c r="D273" s="83" t="inlineStr">
        <is>
          <t>Wholesale trade</t>
        </is>
      </c>
      <c r="E273" s="83" t="inlineStr">
        <is>
          <t xml:space="preserve">Household appliances and electrical and electronic goods </t>
        </is>
      </c>
      <c r="F273" s="84" t="inlineStr">
        <is>
          <t>423600</t>
        </is>
      </c>
      <c r="G273" s="83" t="n">
        <v>0</v>
      </c>
      <c r="H273" s="83" t="n">
        <v>0</v>
      </c>
      <c r="I273" s="88">
        <f>G273/H273</f>
        <v/>
      </c>
    </row>
    <row r="274" ht="13.8" customHeight="1" s="82">
      <c r="A274" s="83" t="inlineStr">
        <is>
          <t>423800</t>
        </is>
      </c>
      <c r="B274" s="83" t="inlineStr">
        <is>
          <t>42</t>
        </is>
      </c>
      <c r="C274" s="83">
        <f>TRUE()</f>
        <v/>
      </c>
      <c r="D274" s="83" t="inlineStr">
        <is>
          <t>Wholesale trade</t>
        </is>
      </c>
      <c r="E274" s="83" t="inlineStr">
        <is>
          <t>Machinery, equipment, and supplies</t>
        </is>
      </c>
      <c r="F274" s="84" t="inlineStr">
        <is>
          <t>423800</t>
        </is>
      </c>
      <c r="G274" s="83" t="n">
        <v>0</v>
      </c>
      <c r="H274" s="83" t="n">
        <v>0</v>
      </c>
      <c r="I274" s="88">
        <f>G274/H274</f>
        <v/>
      </c>
    </row>
    <row r="275" ht="13.8" customHeight="1" s="82">
      <c r="A275" s="83" t="inlineStr">
        <is>
          <t>423A00</t>
        </is>
      </c>
      <c r="B275" s="83" t="inlineStr">
        <is>
          <t>42</t>
        </is>
      </c>
      <c r="C275" s="83">
        <f>TRUE()</f>
        <v/>
      </c>
      <c r="D275" s="83" t="inlineStr">
        <is>
          <t>Wholesale trade</t>
        </is>
      </c>
      <c r="E275" s="83" t="inlineStr">
        <is>
          <t>Other durable goods merchant wholesalers</t>
        </is>
      </c>
      <c r="F275" s="84" t="inlineStr">
        <is>
          <t>423A00</t>
        </is>
      </c>
      <c r="G275" s="83" t="n">
        <v>0</v>
      </c>
      <c r="H275" s="83" t="n">
        <v>0</v>
      </c>
      <c r="I275" s="88">
        <f>G275/H275</f>
        <v/>
      </c>
    </row>
    <row r="276" ht="13.8" customHeight="1" s="82">
      <c r="A276" s="83" t="inlineStr">
        <is>
          <t>424200</t>
        </is>
      </c>
      <c r="B276" s="83" t="inlineStr">
        <is>
          <t>42</t>
        </is>
      </c>
      <c r="C276" s="83">
        <f>TRUE()</f>
        <v/>
      </c>
      <c r="D276" s="83" t="inlineStr">
        <is>
          <t>Wholesale trade</t>
        </is>
      </c>
      <c r="E276" s="83" t="inlineStr">
        <is>
          <t>Drugs and druggists’ sundries</t>
        </is>
      </c>
      <c r="F276" s="84" t="inlineStr">
        <is>
          <t>424200</t>
        </is>
      </c>
      <c r="G276" s="83" t="n">
        <v>0</v>
      </c>
      <c r="H276" s="83" t="n">
        <v>0</v>
      </c>
      <c r="I276" s="88">
        <f>G276/H276</f>
        <v/>
      </c>
    </row>
    <row r="277" ht="13.8" customHeight="1" s="82">
      <c r="A277" s="83" t="inlineStr">
        <is>
          <t>424400</t>
        </is>
      </c>
      <c r="B277" s="83" t="inlineStr">
        <is>
          <t>42</t>
        </is>
      </c>
      <c r="C277" s="83">
        <f>TRUE()</f>
        <v/>
      </c>
      <c r="D277" s="83" t="inlineStr">
        <is>
          <t>Wholesale trade</t>
        </is>
      </c>
      <c r="E277" s="83" t="inlineStr">
        <is>
          <t xml:space="preserve">Grocery and related product wholesalers </t>
        </is>
      </c>
      <c r="F277" s="84" t="inlineStr">
        <is>
          <t>424400</t>
        </is>
      </c>
      <c r="G277" s="83" t="n">
        <v>0</v>
      </c>
      <c r="H277" s="83" t="n">
        <v>0</v>
      </c>
      <c r="I277" s="88">
        <f>G277/H277</f>
        <v/>
      </c>
    </row>
    <row r="278" ht="13.8" customHeight="1" s="82">
      <c r="A278" s="83" t="inlineStr">
        <is>
          <t>424700</t>
        </is>
      </c>
      <c r="B278" s="83" t="inlineStr">
        <is>
          <t>42</t>
        </is>
      </c>
      <c r="C278" s="83">
        <f>TRUE()</f>
        <v/>
      </c>
      <c r="D278" s="83" t="inlineStr">
        <is>
          <t>Wholesale trade</t>
        </is>
      </c>
      <c r="E278" s="83" t="inlineStr">
        <is>
          <t>Petroleum and petroleum products</t>
        </is>
      </c>
      <c r="F278" s="84" t="inlineStr">
        <is>
          <t>424700</t>
        </is>
      </c>
      <c r="G278" s="83" t="n">
        <v>0</v>
      </c>
      <c r="H278" s="83" t="n">
        <v>0</v>
      </c>
      <c r="I278" s="88">
        <f>G278/H278</f>
        <v/>
      </c>
    </row>
    <row r="279" ht="13.8" customHeight="1" s="82">
      <c r="A279" s="83" t="inlineStr">
        <is>
          <t>424A00</t>
        </is>
      </c>
      <c r="B279" s="83" t="inlineStr">
        <is>
          <t>42</t>
        </is>
      </c>
      <c r="C279" s="83">
        <f>TRUE()</f>
        <v/>
      </c>
      <c r="D279" s="83" t="inlineStr">
        <is>
          <t>Wholesale trade</t>
        </is>
      </c>
      <c r="E279" s="83" t="inlineStr">
        <is>
          <t>Other nondurable goods merchant wholesalers</t>
        </is>
      </c>
      <c r="F279" s="84" t="inlineStr">
        <is>
          <t>424A00</t>
        </is>
      </c>
      <c r="G279" s="83" t="n">
        <v>0</v>
      </c>
      <c r="H279" s="83" t="n">
        <v>0</v>
      </c>
      <c r="I279" s="88">
        <f>G279/H279</f>
        <v/>
      </c>
    </row>
    <row r="280" ht="13.8" customHeight="1" s="82">
      <c r="A280" s="83" t="inlineStr">
        <is>
          <t>425000</t>
        </is>
      </c>
      <c r="B280" s="83" t="inlineStr">
        <is>
          <t>42</t>
        </is>
      </c>
      <c r="C280" s="83">
        <f>TRUE()</f>
        <v/>
      </c>
      <c r="D280" s="83" t="inlineStr">
        <is>
          <t>Wholesale trade</t>
        </is>
      </c>
      <c r="E280" s="83" t="inlineStr">
        <is>
          <t>Wholesale electronic markets and agents and brokers</t>
        </is>
      </c>
      <c r="F280" s="84" t="inlineStr">
        <is>
          <t>425000</t>
        </is>
      </c>
      <c r="G280" s="83" t="n">
        <v>0</v>
      </c>
      <c r="H280" s="83" t="n">
        <v>0</v>
      </c>
      <c r="I280" s="88">
        <f>G280/H280</f>
        <v/>
      </c>
    </row>
    <row r="281" ht="13.8" customHeight="1" s="82">
      <c r="A281" s="83" t="inlineStr">
        <is>
          <t>441000</t>
        </is>
      </c>
      <c r="B281" s="83" t="inlineStr">
        <is>
          <t>441</t>
        </is>
      </c>
      <c r="C281" s="83">
        <f>TRUE()</f>
        <v/>
      </c>
      <c r="D281" s="83" t="inlineStr">
        <is>
          <t>Motor vehicle and parts dealers</t>
        </is>
      </c>
      <c r="E281" s="83" t="inlineStr">
        <is>
          <t>Motor vehicle and parts dealers</t>
        </is>
      </c>
      <c r="F281" s="84" t="inlineStr">
        <is>
          <t>441000</t>
        </is>
      </c>
      <c r="G281" s="83" t="n">
        <v>0</v>
      </c>
      <c r="H281" s="83" t="n">
        <v>0</v>
      </c>
      <c r="I281" s="88">
        <f>G281/H281</f>
        <v/>
      </c>
    </row>
    <row r="282" ht="13.8" customHeight="1" s="82">
      <c r="A282" s="83" t="inlineStr">
        <is>
          <t>444000</t>
        </is>
      </c>
      <c r="B282" s="83" t="inlineStr">
        <is>
          <t>4A0</t>
        </is>
      </c>
      <c r="C282" s="83">
        <f>TRUE()</f>
        <v/>
      </c>
      <c r="D282" s="83" t="inlineStr">
        <is>
          <t>Other retail</t>
        </is>
      </c>
      <c r="E282" s="83" t="inlineStr">
        <is>
          <t>Building material and garden equipment and supplies dealers</t>
        </is>
      </c>
      <c r="F282" s="84" t="inlineStr">
        <is>
          <t>444000</t>
        </is>
      </c>
      <c r="G282" s="83" t="n">
        <v>0</v>
      </c>
      <c r="H282" s="83" t="n">
        <v>0</v>
      </c>
      <c r="I282" s="88">
        <f>G282/H282</f>
        <v/>
      </c>
    </row>
    <row r="283" ht="13.8" customHeight="1" s="82">
      <c r="A283" s="83" t="inlineStr">
        <is>
          <t>445000</t>
        </is>
      </c>
      <c r="B283" s="83" t="inlineStr">
        <is>
          <t>445</t>
        </is>
      </c>
      <c r="C283" s="83">
        <f>TRUE()</f>
        <v/>
      </c>
      <c r="D283" s="83" t="inlineStr">
        <is>
          <t>Food and beverage stores</t>
        </is>
      </c>
      <c r="E283" s="83" t="inlineStr">
        <is>
          <t>Food and beverage stores</t>
        </is>
      </c>
      <c r="F283" s="84" t="inlineStr">
        <is>
          <t>445000</t>
        </is>
      </c>
      <c r="G283" s="83" t="n">
        <v>0</v>
      </c>
      <c r="H283" s="83" t="n">
        <v>0</v>
      </c>
      <c r="I283" s="88">
        <f>G283/H283</f>
        <v/>
      </c>
    </row>
    <row r="284" ht="13.8" customHeight="1" s="82">
      <c r="A284" s="83" t="inlineStr">
        <is>
          <t>446000</t>
        </is>
      </c>
      <c r="B284" s="83" t="inlineStr">
        <is>
          <t>4A0</t>
        </is>
      </c>
      <c r="C284" s="83">
        <f>TRUE()</f>
        <v/>
      </c>
      <c r="D284" s="83" t="inlineStr">
        <is>
          <t>Other retail</t>
        </is>
      </c>
      <c r="E284" s="83" t="inlineStr">
        <is>
          <t>Health and personal care stores</t>
        </is>
      </c>
      <c r="F284" s="84" t="inlineStr">
        <is>
          <t>446000</t>
        </is>
      </c>
      <c r="G284" s="83" t="n">
        <v>0</v>
      </c>
      <c r="H284" s="83" t="n">
        <v>0</v>
      </c>
      <c r="I284" s="88">
        <f>G284/H284</f>
        <v/>
      </c>
    </row>
    <row r="285" ht="13.8" customHeight="1" s="82">
      <c r="A285" s="83" t="inlineStr">
        <is>
          <t>447000</t>
        </is>
      </c>
      <c r="B285" s="83" t="inlineStr">
        <is>
          <t>4A0</t>
        </is>
      </c>
      <c r="C285" s="83">
        <f>TRUE()</f>
        <v/>
      </c>
      <c r="D285" s="83" t="inlineStr">
        <is>
          <t>Other retail</t>
        </is>
      </c>
      <c r="E285" s="83" t="inlineStr">
        <is>
          <t>Gasoline stations</t>
        </is>
      </c>
      <c r="F285" s="84" t="inlineStr">
        <is>
          <t>447000</t>
        </is>
      </c>
      <c r="G285" s="83" t="n">
        <v>0</v>
      </c>
      <c r="H285" s="83" t="n">
        <v>0</v>
      </c>
      <c r="I285" s="88">
        <f>G285/H285</f>
        <v/>
      </c>
    </row>
    <row r="286" ht="13.8" customHeight="1" s="82">
      <c r="A286" s="83" t="inlineStr">
        <is>
          <t>448000</t>
        </is>
      </c>
      <c r="B286" s="83" t="inlineStr">
        <is>
          <t>4A0</t>
        </is>
      </c>
      <c r="C286" s="83">
        <f>TRUE()</f>
        <v/>
      </c>
      <c r="D286" s="83" t="inlineStr">
        <is>
          <t>Other retail</t>
        </is>
      </c>
      <c r="E286" s="83" t="inlineStr">
        <is>
          <t>Clothing and clothing accessories stores</t>
        </is>
      </c>
      <c r="F286" s="84" t="inlineStr">
        <is>
          <t>448000</t>
        </is>
      </c>
      <c r="G286" s="83" t="n">
        <v>0</v>
      </c>
      <c r="H286" s="83" t="n">
        <v>0</v>
      </c>
      <c r="I286" s="88">
        <f>G286/H286</f>
        <v/>
      </c>
    </row>
    <row r="287" ht="13.8" customHeight="1" s="82">
      <c r="A287" s="83" t="inlineStr">
        <is>
          <t>452000</t>
        </is>
      </c>
      <c r="B287" s="83" t="inlineStr">
        <is>
          <t>452</t>
        </is>
      </c>
      <c r="C287" s="83">
        <f>TRUE()</f>
        <v/>
      </c>
      <c r="D287" s="83" t="inlineStr">
        <is>
          <t>General merchandise stores</t>
        </is>
      </c>
      <c r="E287" s="83" t="inlineStr">
        <is>
          <t>General merchandise stores</t>
        </is>
      </c>
      <c r="F287" s="84" t="inlineStr">
        <is>
          <t>452000</t>
        </is>
      </c>
      <c r="G287" s="83" t="n">
        <v>0</v>
      </c>
      <c r="H287" s="83" t="n">
        <v>0</v>
      </c>
      <c r="I287" s="88">
        <f>G287/H287</f>
        <v/>
      </c>
    </row>
    <row r="288" ht="13.8" customHeight="1" s="82">
      <c r="A288" s="83" t="inlineStr">
        <is>
          <t>454000</t>
        </is>
      </c>
      <c r="B288" s="83" t="inlineStr">
        <is>
          <t>4A0</t>
        </is>
      </c>
      <c r="C288" s="83">
        <f>TRUE()</f>
        <v/>
      </c>
      <c r="D288" s="83" t="inlineStr">
        <is>
          <t>Other retail</t>
        </is>
      </c>
      <c r="E288" s="83" t="inlineStr">
        <is>
          <t>Nonstore retailers</t>
        </is>
      </c>
      <c r="F288" s="84" t="inlineStr">
        <is>
          <t>454000</t>
        </is>
      </c>
      <c r="G288" s="83" t="n">
        <v>7490</v>
      </c>
      <c r="H288" s="83" t="n">
        <v>5974</v>
      </c>
      <c r="I288" s="88">
        <f>G288/H288</f>
        <v/>
      </c>
    </row>
    <row r="289" ht="13.8" customHeight="1" s="82">
      <c r="A289" s="83" t="inlineStr">
        <is>
          <t>481000</t>
        </is>
      </c>
      <c r="B289" s="83" t="inlineStr">
        <is>
          <t>481</t>
        </is>
      </c>
      <c r="C289" s="83">
        <f>TRUE()</f>
        <v/>
      </c>
      <c r="D289" s="83" t="inlineStr">
        <is>
          <t>Air transportation</t>
        </is>
      </c>
      <c r="E289" s="83" t="inlineStr">
        <is>
          <t>Air transportation</t>
        </is>
      </c>
      <c r="F289" s="84" t="inlineStr">
        <is>
          <t>481000</t>
        </is>
      </c>
      <c r="G289" s="83" t="n">
        <v>192534</v>
      </c>
      <c r="H289" s="83" t="n">
        <v>129785</v>
      </c>
      <c r="I289" s="88">
        <f>G289/H289</f>
        <v/>
      </c>
    </row>
    <row r="290" ht="13.8" customHeight="1" s="82">
      <c r="A290" s="83" t="inlineStr">
        <is>
          <t>482000</t>
        </is>
      </c>
      <c r="B290" s="83" t="inlineStr">
        <is>
          <t>482</t>
        </is>
      </c>
      <c r="C290" s="83">
        <f>TRUE()</f>
        <v/>
      </c>
      <c r="D290" s="83" t="inlineStr">
        <is>
          <t>Rail transportation</t>
        </is>
      </c>
      <c r="E290" s="83" t="inlineStr">
        <is>
          <t>Rail transportation</t>
        </is>
      </c>
      <c r="F290" s="84" t="inlineStr">
        <is>
          <t>482000</t>
        </is>
      </c>
      <c r="G290" s="83" t="n">
        <v>1810</v>
      </c>
      <c r="H290" s="83" t="n">
        <v>1458</v>
      </c>
      <c r="I290" s="88">
        <f>G290/H290</f>
        <v/>
      </c>
    </row>
    <row r="291" ht="13.8" customHeight="1" s="82">
      <c r="A291" s="83" t="inlineStr">
        <is>
          <t>483000</t>
        </is>
      </c>
      <c r="B291" s="83" t="inlineStr">
        <is>
          <t>483</t>
        </is>
      </c>
      <c r="C291" s="83">
        <f>TRUE()</f>
        <v/>
      </c>
      <c r="D291" s="83" t="inlineStr">
        <is>
          <t>Water transportation</t>
        </is>
      </c>
      <c r="E291" s="83" t="inlineStr">
        <is>
          <t>Water transportation</t>
        </is>
      </c>
      <c r="F291" s="84" t="inlineStr">
        <is>
          <t>483000</t>
        </is>
      </c>
      <c r="G291" s="83" t="n">
        <v>25178</v>
      </c>
      <c r="H291" s="83" t="n">
        <v>22027</v>
      </c>
      <c r="I291" s="88">
        <f>G291/H291</f>
        <v/>
      </c>
    </row>
    <row r="292" ht="13.8" customHeight="1" s="82">
      <c r="A292" s="83" t="inlineStr">
        <is>
          <t>484000</t>
        </is>
      </c>
      <c r="B292" s="83" t="inlineStr">
        <is>
          <t>484</t>
        </is>
      </c>
      <c r="C292" s="83">
        <f>TRUE()</f>
        <v/>
      </c>
      <c r="D292" s="83" t="inlineStr">
        <is>
          <t>Truck transportation</t>
        </is>
      </c>
      <c r="E292" s="83" t="inlineStr">
        <is>
          <t>Truck transportation</t>
        </is>
      </c>
      <c r="F292" s="84" t="inlineStr">
        <is>
          <t>484000</t>
        </is>
      </c>
      <c r="G292" s="83" t="n">
        <v>15684</v>
      </c>
      <c r="H292" s="83" t="n">
        <v>11700</v>
      </c>
      <c r="I292" s="88">
        <f>G292/H292</f>
        <v/>
      </c>
    </row>
    <row r="293" ht="13.8" customHeight="1" s="82">
      <c r="A293" s="83" t="inlineStr">
        <is>
          <t>485000</t>
        </is>
      </c>
      <c r="B293" s="83" t="inlineStr">
        <is>
          <t>485</t>
        </is>
      </c>
      <c r="C293" s="83">
        <f>TRUE()</f>
        <v/>
      </c>
      <c r="D293" s="83" t="inlineStr">
        <is>
          <t>Transit and ground passenger transportation</t>
        </is>
      </c>
      <c r="E293" s="83" t="inlineStr">
        <is>
          <t>Transit and ground passenger transportation</t>
        </is>
      </c>
      <c r="F293" s="84" t="inlineStr">
        <is>
          <t>485000</t>
        </is>
      </c>
      <c r="G293" s="83" t="n">
        <v>58075</v>
      </c>
      <c r="H293" s="83" t="n">
        <v>47460</v>
      </c>
      <c r="I293" s="88">
        <f>G293/H293</f>
        <v/>
      </c>
    </row>
    <row r="294" ht="13.8" customHeight="1" s="82">
      <c r="A294" s="83" t="inlineStr">
        <is>
          <t>486000</t>
        </is>
      </c>
      <c r="B294" s="83" t="inlineStr">
        <is>
          <t>486</t>
        </is>
      </c>
      <c r="C294" s="83">
        <f>TRUE()</f>
        <v/>
      </c>
      <c r="D294" s="83" t="inlineStr">
        <is>
          <t>Pipeline transportation</t>
        </is>
      </c>
      <c r="E294" s="83" t="inlineStr">
        <is>
          <t>Pipeline transportation</t>
        </is>
      </c>
      <c r="F294" s="84" t="inlineStr">
        <is>
          <t>486000</t>
        </is>
      </c>
      <c r="G294" s="83" t="n">
        <v>0</v>
      </c>
      <c r="H294" s="83" t="n">
        <v>0</v>
      </c>
      <c r="I294" s="88">
        <f>G294/H294</f>
        <v/>
      </c>
    </row>
    <row r="295" ht="13.8" customHeight="1" s="82">
      <c r="A295" s="83" t="inlineStr">
        <is>
          <t>48A000</t>
        </is>
      </c>
      <c r="B295" s="83" t="inlineStr">
        <is>
          <t>487OS</t>
        </is>
      </c>
      <c r="C295" s="83">
        <f>FALSE()</f>
        <v/>
      </c>
      <c r="D295" s="83" t="inlineStr">
        <is>
          <t>Other transportation and support activities</t>
        </is>
      </c>
      <c r="E295" s="83" t="inlineStr">
        <is>
          <t>Scenic and sightseeing transportation and support activities for transportation</t>
        </is>
      </c>
      <c r="F295" s="84" t="inlineStr">
        <is>
          <t>48A000</t>
        </is>
      </c>
      <c r="G295" s="83" t="n">
        <v>15746</v>
      </c>
      <c r="H295" s="83" t="n">
        <v>11399</v>
      </c>
      <c r="I295" s="88">
        <f>G295/H295</f>
        <v/>
      </c>
    </row>
    <row r="296" ht="13.8" customHeight="1" s="82">
      <c r="A296" s="83" t="inlineStr">
        <is>
          <t>491000</t>
        </is>
      </c>
      <c r="B296" s="83" t="inlineStr">
        <is>
          <t>GFE</t>
        </is>
      </c>
      <c r="C296" s="83">
        <f>FALSE()</f>
        <v/>
      </c>
      <c r="D296" s="83" t="inlineStr">
        <is>
          <t>Federal government enterprises</t>
        </is>
      </c>
      <c r="E296" s="83" t="inlineStr">
        <is>
          <t>Postal service</t>
        </is>
      </c>
      <c r="F296" s="84" t="inlineStr">
        <is>
          <t>491000</t>
        </is>
      </c>
      <c r="G296" s="83" t="n">
        <v>8688</v>
      </c>
      <c r="H296" s="83" t="n">
        <v>6914</v>
      </c>
      <c r="I296" s="88">
        <f>G296/H296</f>
        <v/>
      </c>
    </row>
    <row r="297" ht="13.8" customHeight="1" s="82">
      <c r="A297" s="83" t="inlineStr">
        <is>
          <t>492000</t>
        </is>
      </c>
      <c r="B297" s="83" t="inlineStr">
        <is>
          <t>487OS</t>
        </is>
      </c>
      <c r="C297" s="83">
        <f>FALSE()</f>
        <v/>
      </c>
      <c r="D297" s="83" t="inlineStr">
        <is>
          <t>Other transportation and support activities</t>
        </is>
      </c>
      <c r="E297" s="83" t="inlineStr">
        <is>
          <t>Couriers and messengers</t>
        </is>
      </c>
      <c r="F297" s="84" t="inlineStr">
        <is>
          <t>492000</t>
        </is>
      </c>
      <c r="G297" s="83" t="n">
        <v>8114</v>
      </c>
      <c r="H297" s="83" t="n">
        <v>6456</v>
      </c>
      <c r="I297" s="88">
        <f>G297/H297</f>
        <v/>
      </c>
    </row>
    <row r="298" ht="13.8" customHeight="1" s="82">
      <c r="A298" s="83" t="inlineStr">
        <is>
          <t>493000</t>
        </is>
      </c>
      <c r="B298" s="83" t="inlineStr">
        <is>
          <t>493</t>
        </is>
      </c>
      <c r="C298" s="83">
        <f>TRUE()</f>
        <v/>
      </c>
      <c r="D298" s="83" t="inlineStr">
        <is>
          <t>Warehousing and storage</t>
        </is>
      </c>
      <c r="E298" s="83" t="inlineStr">
        <is>
          <t>Warehousing and storage</t>
        </is>
      </c>
      <c r="F298" s="84" t="inlineStr">
        <is>
          <t>493000</t>
        </is>
      </c>
      <c r="G298" s="83" t="n">
        <v>336</v>
      </c>
      <c r="H298" s="83" t="n">
        <v>251</v>
      </c>
      <c r="I298" s="88">
        <f>G298/H298</f>
        <v/>
      </c>
    </row>
    <row r="299" ht="13.8" customHeight="1" s="82">
      <c r="A299" s="83" t="inlineStr">
        <is>
          <t>4B0000</t>
        </is>
      </c>
      <c r="B299" s="83" t="inlineStr">
        <is>
          <t>4A0</t>
        </is>
      </c>
      <c r="C299" s="83">
        <f>TRUE()</f>
        <v/>
      </c>
      <c r="D299" s="83" t="inlineStr">
        <is>
          <t>Other retail</t>
        </is>
      </c>
      <c r="E299" s="83" t="inlineStr">
        <is>
          <t>All other retail</t>
        </is>
      </c>
      <c r="F299" s="84" t="inlineStr">
        <is>
          <t>4B0000</t>
        </is>
      </c>
      <c r="G299" s="83" t="n">
        <v>0</v>
      </c>
      <c r="H299" s="83" t="n">
        <v>0</v>
      </c>
      <c r="I299" s="88">
        <f>G299/H299</f>
        <v/>
      </c>
    </row>
    <row r="300" ht="13.8" customHeight="1" s="82">
      <c r="A300" s="83" t="inlineStr">
        <is>
          <t>511110</t>
        </is>
      </c>
      <c r="B300" s="83" t="inlineStr">
        <is>
          <t>511</t>
        </is>
      </c>
      <c r="C300" s="83">
        <f>TRUE()</f>
        <v/>
      </c>
      <c r="D300" s="83" t="inlineStr">
        <is>
          <t>Publishing industries, except internet (includes software)</t>
        </is>
      </c>
      <c r="E300" s="83" t="inlineStr">
        <is>
          <t>Newspaper publishers</t>
        </is>
      </c>
      <c r="F300" s="84" t="inlineStr">
        <is>
          <t>511110</t>
        </is>
      </c>
      <c r="G300" s="83" t="n">
        <v>30569</v>
      </c>
      <c r="H300" s="83" t="n">
        <v>17764</v>
      </c>
      <c r="I300" s="88">
        <f>G300/H300</f>
        <v/>
      </c>
    </row>
    <row r="301" ht="13.8" customHeight="1" s="82">
      <c r="A301" s="83" t="inlineStr">
        <is>
          <t>511120</t>
        </is>
      </c>
      <c r="B301" s="83" t="inlineStr">
        <is>
          <t>511</t>
        </is>
      </c>
      <c r="C301" s="83">
        <f>TRUE()</f>
        <v/>
      </c>
      <c r="D301" s="83" t="inlineStr">
        <is>
          <t>Publishing industries, except internet (includes software)</t>
        </is>
      </c>
      <c r="E301" s="83" t="inlineStr">
        <is>
          <t>Periodical Publishers</t>
        </is>
      </c>
      <c r="F301" s="84" t="inlineStr">
        <is>
          <t>511120</t>
        </is>
      </c>
      <c r="G301" s="83" t="n">
        <v>19103</v>
      </c>
      <c r="H301" s="83" t="n">
        <v>11101</v>
      </c>
      <c r="I301" s="88">
        <f>G301/H301</f>
        <v/>
      </c>
    </row>
    <row r="302" ht="13.8" customHeight="1" s="82">
      <c r="A302" s="83" t="inlineStr">
        <is>
          <t>511130</t>
        </is>
      </c>
      <c r="B302" s="83" t="inlineStr">
        <is>
          <t>511</t>
        </is>
      </c>
      <c r="C302" s="83">
        <f>TRUE()</f>
        <v/>
      </c>
      <c r="D302" s="83" t="inlineStr">
        <is>
          <t>Publishing industries, except internet (includes software)</t>
        </is>
      </c>
      <c r="E302" s="83" t="inlineStr">
        <is>
          <t>Book publishers</t>
        </is>
      </c>
      <c r="F302" s="84" t="inlineStr">
        <is>
          <t>511130</t>
        </is>
      </c>
      <c r="G302" s="83" t="n">
        <v>30754</v>
      </c>
      <c r="H302" s="83" t="n">
        <v>26230</v>
      </c>
      <c r="I302" s="88">
        <f>G302/H302</f>
        <v/>
      </c>
    </row>
    <row r="303" ht="13.8" customHeight="1" s="82">
      <c r="A303" s="83" t="inlineStr">
        <is>
          <t>5111A0</t>
        </is>
      </c>
      <c r="B303" s="83" t="inlineStr">
        <is>
          <t>511</t>
        </is>
      </c>
      <c r="C303" s="83">
        <f>TRUE()</f>
        <v/>
      </c>
      <c r="D303" s="83" t="inlineStr">
        <is>
          <t>Publishing industries, except internet (includes software)</t>
        </is>
      </c>
      <c r="E303" s="83" t="inlineStr">
        <is>
          <t>Directory, mailing list, and other publishers</t>
        </is>
      </c>
      <c r="F303" s="84" t="inlineStr">
        <is>
          <t>5111A0</t>
        </is>
      </c>
      <c r="G303" s="83" t="n">
        <v>24218</v>
      </c>
      <c r="H303" s="83" t="n">
        <v>14288</v>
      </c>
      <c r="I303" s="88">
        <f>G303/H303</f>
        <v/>
      </c>
    </row>
    <row r="304" ht="13.8" customHeight="1" s="82">
      <c r="A304" s="83" t="inlineStr">
        <is>
          <t>511200</t>
        </is>
      </c>
      <c r="B304" s="83" t="inlineStr">
        <is>
          <t>511</t>
        </is>
      </c>
      <c r="C304" s="83">
        <f>TRUE()</f>
        <v/>
      </c>
      <c r="D304" s="83" t="inlineStr">
        <is>
          <t>Publishing industries, except internet (includes software)</t>
        </is>
      </c>
      <c r="E304" s="83" t="inlineStr">
        <is>
          <t>Software publishers</t>
        </is>
      </c>
      <c r="F304" s="84" t="inlineStr">
        <is>
          <t>511200</t>
        </is>
      </c>
      <c r="G304" s="83" t="n">
        <v>133159</v>
      </c>
      <c r="H304" s="83" t="n">
        <v>79659</v>
      </c>
      <c r="I304" s="88">
        <f>G304/H304</f>
        <v/>
      </c>
    </row>
    <row r="305" ht="13.8" customHeight="1" s="82">
      <c r="A305" s="83" t="inlineStr">
        <is>
          <t>512100</t>
        </is>
      </c>
      <c r="B305" s="83" t="inlineStr">
        <is>
          <t>512</t>
        </is>
      </c>
      <c r="C305" s="83">
        <f>TRUE()</f>
        <v/>
      </c>
      <c r="D305" s="83" t="inlineStr">
        <is>
          <t>Motion picture and sound recording industries</t>
        </is>
      </c>
      <c r="E305" s="83" t="inlineStr">
        <is>
          <t>Motion picture and video industries</t>
        </is>
      </c>
      <c r="F305" s="84" t="inlineStr">
        <is>
          <t>512100</t>
        </is>
      </c>
      <c r="G305" s="83" t="n">
        <v>35587</v>
      </c>
      <c r="H305" s="83" t="n">
        <v>25944</v>
      </c>
      <c r="I305" s="88">
        <f>G305/H305</f>
        <v/>
      </c>
    </row>
    <row r="306" ht="13.8" customHeight="1" s="82">
      <c r="A306" s="83" t="inlineStr">
        <is>
          <t>512200</t>
        </is>
      </c>
      <c r="B306" s="83" t="inlineStr">
        <is>
          <t>512</t>
        </is>
      </c>
      <c r="C306" s="83">
        <f>TRUE()</f>
        <v/>
      </c>
      <c r="D306" s="83" t="inlineStr">
        <is>
          <t>Motion picture and sound recording industries</t>
        </is>
      </c>
      <c r="E306" s="83" t="inlineStr">
        <is>
          <t>Sound recording industries</t>
        </is>
      </c>
      <c r="F306" s="84" t="inlineStr">
        <is>
          <t>512200</t>
        </is>
      </c>
      <c r="G306" s="83" t="n">
        <v>5859</v>
      </c>
      <c r="H306" s="83" t="n">
        <v>3501</v>
      </c>
      <c r="I306" s="88">
        <f>G306/H306</f>
        <v/>
      </c>
    </row>
    <row r="307" ht="13.8" customHeight="1" s="82">
      <c r="A307" s="83" t="inlineStr">
        <is>
          <t>515100</t>
        </is>
      </c>
      <c r="B307" s="83" t="inlineStr">
        <is>
          <t>513</t>
        </is>
      </c>
      <c r="C307" s="83">
        <f>FALSE()</f>
        <v/>
      </c>
      <c r="D307" s="83" t="inlineStr">
        <is>
          <t>Broadcasting and telecommunications</t>
        </is>
      </c>
      <c r="E307" s="83" t="inlineStr">
        <is>
          <t>Radio and television broadcasting</t>
        </is>
      </c>
      <c r="F307" s="84" t="inlineStr">
        <is>
          <t>515100</t>
        </is>
      </c>
      <c r="G307" s="83" t="n">
        <v>31188</v>
      </c>
      <c r="H307" s="83" t="n">
        <v>11653</v>
      </c>
      <c r="I307" s="88">
        <f>G307/H307</f>
        <v/>
      </c>
    </row>
    <row r="308" ht="13.8" customHeight="1" s="82">
      <c r="A308" s="83" t="inlineStr">
        <is>
          <t>515200</t>
        </is>
      </c>
      <c r="B308" s="83" t="inlineStr">
        <is>
          <t>513</t>
        </is>
      </c>
      <c r="C308" s="83">
        <f>FALSE()</f>
        <v/>
      </c>
      <c r="D308" s="83" t="inlineStr">
        <is>
          <t>Broadcasting and telecommunications</t>
        </is>
      </c>
      <c r="E308" s="83" t="inlineStr">
        <is>
          <t>Cable and other subscription programming</t>
        </is>
      </c>
      <c r="F308" s="84" t="inlineStr">
        <is>
          <t>515200</t>
        </is>
      </c>
      <c r="G308" s="83" t="n">
        <v>0</v>
      </c>
      <c r="H308" s="83" t="n">
        <v>0</v>
      </c>
      <c r="I308" s="88">
        <f>G308/H308</f>
        <v/>
      </c>
    </row>
    <row r="309" ht="13.8" customHeight="1" s="82">
      <c r="A309" s="83" t="inlineStr">
        <is>
          <t>517110</t>
        </is>
      </c>
      <c r="B309" s="83" t="inlineStr">
        <is>
          <t>513</t>
        </is>
      </c>
      <c r="C309" s="83">
        <f>FALSE()</f>
        <v/>
      </c>
      <c r="D309" s="83" t="inlineStr">
        <is>
          <t>Broadcasting and telecommunications</t>
        </is>
      </c>
      <c r="E309" s="83" t="inlineStr">
        <is>
          <t>Wired telecommunications carriers</t>
        </is>
      </c>
      <c r="F309" s="84" t="inlineStr">
        <is>
          <t>517110</t>
        </is>
      </c>
      <c r="G309" s="83" t="n">
        <v>240434</v>
      </c>
      <c r="H309" s="83" t="n">
        <v>201552</v>
      </c>
      <c r="I309" s="88">
        <f>G309/H309</f>
        <v/>
      </c>
    </row>
    <row r="310" ht="13.8" customHeight="1" s="82">
      <c r="A310" s="83" t="inlineStr">
        <is>
          <t>517210</t>
        </is>
      </c>
      <c r="B310" s="83" t="inlineStr">
        <is>
          <t>513</t>
        </is>
      </c>
      <c r="C310" s="83">
        <f>FALSE()</f>
        <v/>
      </c>
      <c r="D310" s="83" t="inlineStr">
        <is>
          <t>Broadcasting and telecommunications</t>
        </is>
      </c>
      <c r="E310" s="83" t="inlineStr">
        <is>
          <t>Wireless telecommunications carriers (except satellite)</t>
        </is>
      </c>
      <c r="F310" s="84" t="inlineStr">
        <is>
          <t>517210</t>
        </is>
      </c>
      <c r="G310" s="83" t="n">
        <v>138106</v>
      </c>
      <c r="H310" s="83" t="n">
        <v>122323</v>
      </c>
      <c r="I310" s="88">
        <f>G310/H310</f>
        <v/>
      </c>
    </row>
    <row r="311" ht="13.8" customHeight="1" s="82">
      <c r="A311" s="83" t="inlineStr">
        <is>
          <t>517A00</t>
        </is>
      </c>
      <c r="B311" s="83" t="inlineStr">
        <is>
          <t>513</t>
        </is>
      </c>
      <c r="C311" s="83">
        <f>FALSE()</f>
        <v/>
      </c>
      <c r="D311" s="83" t="inlineStr">
        <is>
          <t>Broadcasting and telecommunications</t>
        </is>
      </c>
      <c r="E311" s="83" t="inlineStr">
        <is>
          <t>Satellite, telecommunications resellers, and all other telecommunications</t>
        </is>
      </c>
      <c r="F311" s="84" t="inlineStr">
        <is>
          <t>517A00</t>
        </is>
      </c>
      <c r="G311" s="83" t="n">
        <v>15460</v>
      </c>
      <c r="H311" s="83" t="n">
        <v>13485</v>
      </c>
      <c r="I311" s="88">
        <f>G311/H311</f>
        <v/>
      </c>
    </row>
    <row r="312" ht="13.8" customHeight="1" s="82">
      <c r="A312" s="83" t="inlineStr">
        <is>
          <t>518200</t>
        </is>
      </c>
      <c r="B312" s="83" t="inlineStr">
        <is>
          <t>514</t>
        </is>
      </c>
      <c r="C312" s="83">
        <f>FALSE()</f>
        <v/>
      </c>
      <c r="D312" s="83" t="inlineStr">
        <is>
          <t>Data processing, internet publishing, and other information services</t>
        </is>
      </c>
      <c r="E312" s="83" t="inlineStr">
        <is>
          <t>Data processing, hosting, and related services</t>
        </is>
      </c>
      <c r="F312" s="84" t="inlineStr">
        <is>
          <t>518200</t>
        </is>
      </c>
      <c r="G312" s="83" t="n">
        <v>45082</v>
      </c>
      <c r="H312" s="83" t="n">
        <v>31753</v>
      </c>
      <c r="I312" s="88">
        <f>G312/H312</f>
        <v/>
      </c>
    </row>
    <row r="313" ht="13.8" customHeight="1" s="82">
      <c r="A313" s="83" t="inlineStr">
        <is>
          <t>519130</t>
        </is>
      </c>
      <c r="B313" s="83" t="inlineStr">
        <is>
          <t>514</t>
        </is>
      </c>
      <c r="C313" s="83">
        <f>FALSE()</f>
        <v/>
      </c>
      <c r="D313" s="83" t="inlineStr">
        <is>
          <t>Data processing, internet publishing, and other information services</t>
        </is>
      </c>
      <c r="E313" s="83" t="inlineStr">
        <is>
          <t>Internet publishing and broadcasting and Web search portals</t>
        </is>
      </c>
      <c r="F313" s="84" t="inlineStr">
        <is>
          <t>519130</t>
        </is>
      </c>
      <c r="G313" s="83" t="n">
        <v>15966</v>
      </c>
      <c r="H313" s="83" t="n">
        <v>10416</v>
      </c>
      <c r="I313" s="88">
        <f>G313/H313</f>
        <v/>
      </c>
    </row>
    <row r="314" ht="13.8" customHeight="1" s="82">
      <c r="A314" s="83" t="inlineStr">
        <is>
          <t>5191A0</t>
        </is>
      </c>
      <c r="B314" s="83" t="inlineStr">
        <is>
          <t>514</t>
        </is>
      </c>
      <c r="C314" s="83">
        <f>FALSE()</f>
        <v/>
      </c>
      <c r="D314" s="83" t="inlineStr">
        <is>
          <t>Data processing, internet publishing, and other information services</t>
        </is>
      </c>
      <c r="E314" s="83" t="inlineStr">
        <is>
          <t>News syndicates, libraries, archives and all other information services</t>
        </is>
      </c>
      <c r="F314" s="84" t="inlineStr">
        <is>
          <t>5191A0</t>
        </is>
      </c>
      <c r="G314" s="83" t="n">
        <v>5310</v>
      </c>
      <c r="H314" s="83" t="n">
        <v>4546</v>
      </c>
      <c r="I314" s="88">
        <f>G314/H314</f>
        <v/>
      </c>
    </row>
    <row r="315" ht="13.8" customHeight="1" s="82">
      <c r="A315" s="83" t="inlineStr">
        <is>
          <t>522A00</t>
        </is>
      </c>
      <c r="B315" s="83" t="inlineStr">
        <is>
          <t>521CI</t>
        </is>
      </c>
      <c r="C315" s="83">
        <f>FALSE()</f>
        <v/>
      </c>
      <c r="D315" s="83" t="inlineStr">
        <is>
          <t>Federal Reserve banks, credit intermediation, and related activities</t>
        </is>
      </c>
      <c r="E315" s="83" t="inlineStr">
        <is>
          <t>Nondepository credit intermediation and related activities</t>
        </is>
      </c>
      <c r="F315" s="84" t="inlineStr">
        <is>
          <t>522A00</t>
        </is>
      </c>
      <c r="G315" s="83" t="n">
        <v>52696</v>
      </c>
      <c r="H315" s="83" t="n">
        <v>42387</v>
      </c>
      <c r="I315" s="88">
        <f>G315/H315</f>
        <v/>
      </c>
    </row>
    <row r="316" ht="13.8" customHeight="1" s="82">
      <c r="A316" s="83" t="inlineStr">
        <is>
          <t>523900</t>
        </is>
      </c>
      <c r="B316" s="83" t="inlineStr">
        <is>
          <t>523</t>
        </is>
      </c>
      <c r="C316" s="83">
        <f>TRUE()</f>
        <v/>
      </c>
      <c r="D316" s="83" t="inlineStr">
        <is>
          <t>Securities, commodity contracts, and investments</t>
        </is>
      </c>
      <c r="E316" s="83" t="inlineStr">
        <is>
          <t>Other financial investment activities</t>
        </is>
      </c>
      <c r="F316" s="84" t="inlineStr">
        <is>
          <t>523900</t>
        </is>
      </c>
      <c r="G316" s="83" t="n">
        <v>221162</v>
      </c>
      <c r="H316" s="83" t="n">
        <v>177895</v>
      </c>
      <c r="I316" s="88">
        <f>G316/H316</f>
        <v/>
      </c>
    </row>
    <row r="317" ht="13.8" customHeight="1" s="82">
      <c r="A317" s="83" t="inlineStr">
        <is>
          <t>523A00</t>
        </is>
      </c>
      <c r="B317" s="83" t="inlineStr">
        <is>
          <t>523</t>
        </is>
      </c>
      <c r="C317" s="83">
        <f>TRUE()</f>
        <v/>
      </c>
      <c r="D317" s="83" t="inlineStr">
        <is>
          <t>Securities, commodity contracts, and investments</t>
        </is>
      </c>
      <c r="E317" s="83" t="inlineStr">
        <is>
          <t>Securities and commodity contracts intermediation and brokerage</t>
        </is>
      </c>
      <c r="F317" s="84" t="inlineStr">
        <is>
          <t>523A00</t>
        </is>
      </c>
      <c r="G317" s="83" t="n">
        <v>58843</v>
      </c>
      <c r="H317" s="83" t="n">
        <v>47331</v>
      </c>
      <c r="I317" s="88">
        <f>G317/H317</f>
        <v/>
      </c>
    </row>
    <row r="318" ht="13.8" customHeight="1" s="82">
      <c r="A318" s="83" t="inlineStr">
        <is>
          <t>524113</t>
        </is>
      </c>
      <c r="B318" s="83" t="inlineStr">
        <is>
          <t>524</t>
        </is>
      </c>
      <c r="C318" s="83">
        <f>TRUE()</f>
        <v/>
      </c>
      <c r="D318" s="83" t="inlineStr">
        <is>
          <t>Insurance carriers and related activities</t>
        </is>
      </c>
      <c r="E318" s="83" t="inlineStr">
        <is>
          <t>Direct life insurance carriers</t>
        </is>
      </c>
      <c r="F318" s="84" t="inlineStr">
        <is>
          <t>524113</t>
        </is>
      </c>
      <c r="G318" s="83" t="n">
        <v>106701</v>
      </c>
      <c r="H318" s="83" t="n">
        <v>90314</v>
      </c>
      <c r="I318" s="88">
        <f>G318/H318</f>
        <v/>
      </c>
    </row>
    <row r="319" ht="13.8" customHeight="1" s="82">
      <c r="A319" s="83" t="inlineStr">
        <is>
          <t>5241XX</t>
        </is>
      </c>
      <c r="B319" s="83" t="inlineStr">
        <is>
          <t>524</t>
        </is>
      </c>
      <c r="C319" s="83">
        <f>TRUE()</f>
        <v/>
      </c>
      <c r="D319" s="83" t="inlineStr">
        <is>
          <t>Insurance carriers and related activities</t>
        </is>
      </c>
      <c r="E319" s="83" t="inlineStr">
        <is>
          <t>Insurance carriers, except direct life</t>
        </is>
      </c>
      <c r="F319" s="84" t="inlineStr">
        <is>
          <t>5241XX</t>
        </is>
      </c>
      <c r="G319" s="83" t="n">
        <v>366594</v>
      </c>
      <c r="H319" s="83" t="n">
        <v>308251</v>
      </c>
      <c r="I319" s="88">
        <f>G319/H319</f>
        <v/>
      </c>
    </row>
    <row r="320" ht="13.8" customHeight="1" s="82">
      <c r="A320" s="83" t="inlineStr">
        <is>
          <t>524200</t>
        </is>
      </c>
      <c r="B320" s="83" t="inlineStr">
        <is>
          <t>524</t>
        </is>
      </c>
      <c r="C320" s="83">
        <f>TRUE()</f>
        <v/>
      </c>
      <c r="D320" s="83" t="inlineStr">
        <is>
          <t>Insurance carriers and related activities</t>
        </is>
      </c>
      <c r="E320" s="83" t="inlineStr">
        <is>
          <t>Insurance agencies, brokerages, and related activities</t>
        </is>
      </c>
      <c r="F320" s="84" t="inlineStr">
        <is>
          <t>524200</t>
        </is>
      </c>
      <c r="G320" s="83" t="n">
        <v>0</v>
      </c>
      <c r="H320" s="83" t="n">
        <v>0</v>
      </c>
      <c r="I320" s="88">
        <f>G320/H320</f>
        <v/>
      </c>
    </row>
    <row r="321" ht="13.8" customHeight="1" s="82">
      <c r="A321" s="83" t="inlineStr">
        <is>
          <t>525000</t>
        </is>
      </c>
      <c r="B321" s="83" t="inlineStr">
        <is>
          <t>525</t>
        </is>
      </c>
      <c r="C321" s="83">
        <f>TRUE()</f>
        <v/>
      </c>
      <c r="D321" s="83" t="inlineStr">
        <is>
          <t>Funds, trusts, and other financial vehicles</t>
        </is>
      </c>
      <c r="E321" s="83" t="inlineStr">
        <is>
          <t>Funds, trusts, and other financial vehicles</t>
        </is>
      </c>
      <c r="F321" s="84" t="inlineStr">
        <is>
          <t>525000</t>
        </is>
      </c>
      <c r="G321" s="83" t="n">
        <v>220510</v>
      </c>
      <c r="H321" s="83" t="n">
        <v>170526</v>
      </c>
      <c r="I321" s="88">
        <f>G321/H321</f>
        <v/>
      </c>
    </row>
    <row r="322" ht="13.8" customHeight="1" s="82">
      <c r="A322" s="83" t="inlineStr">
        <is>
          <t>52A000</t>
        </is>
      </c>
      <c r="B322" s="83" t="inlineStr">
        <is>
          <t>521CI</t>
        </is>
      </c>
      <c r="C322" s="83">
        <f>FALSE()</f>
        <v/>
      </c>
      <c r="D322" s="83" t="inlineStr">
        <is>
          <t>Federal Reserve banks, credit intermediation, and related activities</t>
        </is>
      </c>
      <c r="E322" s="83" t="inlineStr">
        <is>
          <t>Monetary authorities and depository credit intermediation</t>
        </is>
      </c>
      <c r="F322" s="84" t="inlineStr">
        <is>
          <t>52A000</t>
        </is>
      </c>
      <c r="G322" s="83" t="n">
        <v>302360</v>
      </c>
      <c r="H322" s="83" t="n">
        <v>236363</v>
      </c>
      <c r="I322" s="88">
        <f>G322/H322</f>
        <v/>
      </c>
    </row>
    <row r="323" ht="13.8" customHeight="1" s="82">
      <c r="A323" s="83" t="inlineStr">
        <is>
          <t>531HSO</t>
        </is>
      </c>
      <c r="B323" s="83" t="inlineStr">
        <is>
          <t>HS</t>
        </is>
      </c>
      <c r="C323" s="83">
        <f>FALSE()</f>
        <v/>
      </c>
      <c r="D323" s="83" t="inlineStr">
        <is>
          <t>Housing</t>
        </is>
      </c>
      <c r="E323" s="83" t="inlineStr">
        <is>
          <t>Owner-occupied housing</t>
        </is>
      </c>
      <c r="F323" s="84" t="inlineStr">
        <is>
          <t>531HSO</t>
        </is>
      </c>
      <c r="G323" s="83" t="n">
        <v>2053270</v>
      </c>
      <c r="H323" s="83" t="n">
        <v>1553178</v>
      </c>
      <c r="I323" s="88">
        <f>G323/H323</f>
        <v/>
      </c>
    </row>
    <row r="324" ht="13.8" customHeight="1" s="82">
      <c r="A324" s="83" t="inlineStr">
        <is>
          <t>531HST</t>
        </is>
      </c>
      <c r="B324" s="83" t="inlineStr">
        <is>
          <t>HS</t>
        </is>
      </c>
      <c r="C324" s="83">
        <f>FALSE()</f>
        <v/>
      </c>
      <c r="D324" s="83" t="inlineStr">
        <is>
          <t>Housing</t>
        </is>
      </c>
      <c r="E324" s="83" t="inlineStr">
        <is>
          <t>Tenant-occupied housing</t>
        </is>
      </c>
      <c r="F324" s="84" t="inlineStr">
        <is>
          <t>531HST</t>
        </is>
      </c>
      <c r="G324" s="83" t="n">
        <v>623135</v>
      </c>
      <c r="H324" s="83" t="n">
        <v>467675</v>
      </c>
      <c r="I324" s="88">
        <f>G324/H324</f>
        <v/>
      </c>
    </row>
    <row r="325" ht="13.8" customHeight="1" s="82">
      <c r="A325" s="83" t="inlineStr">
        <is>
          <t>531ORE</t>
        </is>
      </c>
      <c r="B325" s="83" t="inlineStr">
        <is>
          <t>ORE</t>
        </is>
      </c>
      <c r="C325" s="83">
        <f>FALSE()</f>
        <v/>
      </c>
      <c r="D325" s="83" t="inlineStr">
        <is>
          <t>Other real estate</t>
        </is>
      </c>
      <c r="E325" s="83" t="inlineStr">
        <is>
          <t>Other real estate</t>
        </is>
      </c>
      <c r="F325" s="84" t="inlineStr">
        <is>
          <t>531ORE</t>
        </is>
      </c>
      <c r="G325" s="83" t="n">
        <v>7857</v>
      </c>
      <c r="H325" s="83" t="n">
        <v>5861</v>
      </c>
      <c r="I325" s="88">
        <f>G325/H325</f>
        <v/>
      </c>
    </row>
    <row r="326" ht="13.8" customHeight="1" s="82">
      <c r="A326" s="83" t="inlineStr">
        <is>
          <t>532100</t>
        </is>
      </c>
      <c r="B326" s="83" t="inlineStr">
        <is>
          <t>532RL</t>
        </is>
      </c>
      <c r="C326" s="83">
        <f>TRUE()</f>
        <v/>
      </c>
      <c r="D326" s="83" t="inlineStr">
        <is>
          <t>Rental and leasing services and lessors of intangible assets</t>
        </is>
      </c>
      <c r="E326" s="83" t="inlineStr">
        <is>
          <t>Automotive equipment rental and leasing</t>
        </is>
      </c>
      <c r="F326" s="84" t="inlineStr">
        <is>
          <t>532100</t>
        </is>
      </c>
      <c r="G326" s="83" t="n">
        <v>81743</v>
      </c>
      <c r="H326" s="83" t="n">
        <v>78600</v>
      </c>
      <c r="I326" s="88">
        <f>G326/H326</f>
        <v/>
      </c>
    </row>
    <row r="327" ht="13.8" customHeight="1" s="82">
      <c r="A327" s="83" t="inlineStr">
        <is>
          <t>532400</t>
        </is>
      </c>
      <c r="B327" s="83" t="inlineStr">
        <is>
          <t>532RL</t>
        </is>
      </c>
      <c r="C327" s="83">
        <f>TRUE()</f>
        <v/>
      </c>
      <c r="D327" s="83" t="inlineStr">
        <is>
          <t>Rental and leasing services and lessors of intangible assets</t>
        </is>
      </c>
      <c r="E327" s="83" t="inlineStr">
        <is>
          <t>Commercial and industrial machinery and equipment rental and leasing</t>
        </is>
      </c>
      <c r="F327" s="84" t="inlineStr">
        <is>
          <t>532400</t>
        </is>
      </c>
      <c r="G327" s="83" t="n">
        <v>515</v>
      </c>
      <c r="H327" s="83" t="n">
        <v>441</v>
      </c>
      <c r="I327" s="88">
        <f>G327/H327</f>
        <v/>
      </c>
    </row>
    <row r="328" ht="13.8" customHeight="1" s="82">
      <c r="A328" s="83" t="inlineStr">
        <is>
          <t>532A00</t>
        </is>
      </c>
      <c r="B328" s="83" t="inlineStr">
        <is>
          <t>532RL</t>
        </is>
      </c>
      <c r="C328" s="83">
        <f>TRUE()</f>
        <v/>
      </c>
      <c r="D328" s="83" t="inlineStr">
        <is>
          <t>Rental and leasing services and lessors of intangible assets</t>
        </is>
      </c>
      <c r="E328" s="83" t="inlineStr">
        <is>
          <t>General and consumer goods rental</t>
        </is>
      </c>
      <c r="F328" s="84" t="inlineStr">
        <is>
          <t>532A00</t>
        </is>
      </c>
      <c r="G328" s="83" t="n">
        <v>23980</v>
      </c>
      <c r="H328" s="83" t="n">
        <v>18051</v>
      </c>
      <c r="I328" s="88">
        <f>G328/H328</f>
        <v/>
      </c>
    </row>
    <row r="329" ht="13.8" customHeight="1" s="82">
      <c r="A329" s="83" t="inlineStr">
        <is>
          <t>533000</t>
        </is>
      </c>
      <c r="B329" s="83" t="inlineStr">
        <is>
          <t>532RL</t>
        </is>
      </c>
      <c r="C329" s="83">
        <f>FALSE()</f>
        <v/>
      </c>
      <c r="D329" s="83" t="inlineStr">
        <is>
          <t>Rental and leasing services and lessors of intangible assets</t>
        </is>
      </c>
      <c r="E329" s="83" t="inlineStr">
        <is>
          <t>Lessors of nonfinancial intangible assets</t>
        </is>
      </c>
      <c r="F329" s="84" t="inlineStr">
        <is>
          <t>533000</t>
        </is>
      </c>
      <c r="G329" s="83" t="n">
        <v>0</v>
      </c>
      <c r="H329" s="83" t="n">
        <v>0</v>
      </c>
      <c r="I329" s="88">
        <f>G329/H329</f>
        <v/>
      </c>
    </row>
    <row r="330" ht="13.8" customHeight="1" s="82">
      <c r="A330" s="83" t="inlineStr">
        <is>
          <t>541100</t>
        </is>
      </c>
      <c r="B330" s="83" t="inlineStr">
        <is>
          <t>5411</t>
        </is>
      </c>
      <c r="C330" s="83">
        <f>TRUE()</f>
        <v/>
      </c>
      <c r="D330" s="83" t="inlineStr">
        <is>
          <t>Legal services</t>
        </is>
      </c>
      <c r="E330" s="83" t="inlineStr">
        <is>
          <t>Legal services</t>
        </is>
      </c>
      <c r="F330" s="84" t="inlineStr">
        <is>
          <t>541100</t>
        </is>
      </c>
      <c r="G330" s="83" t="n">
        <v>130851</v>
      </c>
      <c r="H330" s="83" t="n">
        <v>104093</v>
      </c>
      <c r="I330" s="88">
        <f>G330/H330</f>
        <v/>
      </c>
    </row>
    <row r="331" ht="13.8" customHeight="1" s="82">
      <c r="A331" s="83" t="inlineStr">
        <is>
          <t>541200</t>
        </is>
      </c>
      <c r="B331" s="83" t="inlineStr">
        <is>
          <t>5412OP</t>
        </is>
      </c>
      <c r="C331" s="83">
        <f>TRUE()</f>
        <v/>
      </c>
      <c r="D331" s="83" t="inlineStr">
        <is>
          <t>Miscellaneous professional, scientific, and technical services</t>
        </is>
      </c>
      <c r="E331" s="83" t="inlineStr">
        <is>
          <t>Accounting, tax preparation, bookkeeping, and payroll services</t>
        </is>
      </c>
      <c r="F331" s="84" t="inlineStr">
        <is>
          <t>541200</t>
        </is>
      </c>
      <c r="G331" s="83" t="n">
        <v>22442</v>
      </c>
      <c r="H331" s="83" t="n">
        <v>17900</v>
      </c>
      <c r="I331" s="88">
        <f>G331/H331</f>
        <v/>
      </c>
    </row>
    <row r="332" ht="13.8" customHeight="1" s="82">
      <c r="A332" s="83" t="inlineStr">
        <is>
          <t>541300</t>
        </is>
      </c>
      <c r="B332" s="83" t="inlineStr">
        <is>
          <t>5412OP</t>
        </is>
      </c>
      <c r="C332" s="83">
        <f>FALSE()</f>
        <v/>
      </c>
      <c r="D332" s="83" t="inlineStr">
        <is>
          <t>Miscellaneous professional, scientific, and technical services</t>
        </is>
      </c>
      <c r="E332" s="83" t="inlineStr">
        <is>
          <t>Architectural, engineering, and related services</t>
        </is>
      </c>
      <c r="F332" s="84" t="inlineStr">
        <is>
          <t>541300</t>
        </is>
      </c>
      <c r="G332" s="83" t="n">
        <v>0</v>
      </c>
      <c r="H332" s="83" t="n">
        <v>0</v>
      </c>
      <c r="I332" s="88">
        <f>G332/H332</f>
        <v/>
      </c>
    </row>
    <row r="333" ht="13.8" customHeight="1" s="82">
      <c r="A333" s="83" t="inlineStr">
        <is>
          <t>541400</t>
        </is>
      </c>
      <c r="B333" s="83" t="inlineStr">
        <is>
          <t>5412OP</t>
        </is>
      </c>
      <c r="C333" s="83">
        <f>FALSE()</f>
        <v/>
      </c>
      <c r="D333" s="83" t="inlineStr">
        <is>
          <t>Miscellaneous professional, scientific, and technical services</t>
        </is>
      </c>
      <c r="E333" s="83" t="inlineStr">
        <is>
          <t>Specialized design services</t>
        </is>
      </c>
      <c r="F333" s="84" t="inlineStr">
        <is>
          <t>541400</t>
        </is>
      </c>
      <c r="G333" s="83" t="n">
        <v>9476</v>
      </c>
      <c r="H333" s="83" t="n">
        <v>7558</v>
      </c>
      <c r="I333" s="88">
        <f>G333/H333</f>
        <v/>
      </c>
    </row>
    <row r="334" ht="13.8" customHeight="1" s="82">
      <c r="A334" s="83" t="inlineStr">
        <is>
          <t>541511</t>
        </is>
      </c>
      <c r="B334" s="83" t="inlineStr">
        <is>
          <t>5415</t>
        </is>
      </c>
      <c r="C334" s="83">
        <f>TRUE()</f>
        <v/>
      </c>
      <c r="D334" s="83" t="inlineStr">
        <is>
          <t>Computer systems design and related services</t>
        </is>
      </c>
      <c r="E334" s="83" t="inlineStr">
        <is>
          <t>Custom computer programming services</t>
        </is>
      </c>
      <c r="F334" s="84" t="inlineStr">
        <is>
          <t>541511</t>
        </is>
      </c>
      <c r="G334" s="83" t="n">
        <v>0</v>
      </c>
      <c r="H334" s="83" t="n">
        <v>0</v>
      </c>
      <c r="I334" s="88">
        <f>G334/H334</f>
        <v/>
      </c>
    </row>
    <row r="335" ht="13.8" customHeight="1" s="82">
      <c r="A335" s="83" t="inlineStr">
        <is>
          <t>541512</t>
        </is>
      </c>
      <c r="B335" s="83" t="inlineStr">
        <is>
          <t>5415</t>
        </is>
      </c>
      <c r="C335" s="83">
        <f>TRUE()</f>
        <v/>
      </c>
      <c r="D335" s="83" t="inlineStr">
        <is>
          <t>Computer systems design and related services</t>
        </is>
      </c>
      <c r="E335" s="83" t="inlineStr">
        <is>
          <t>Computer systems design services</t>
        </is>
      </c>
      <c r="F335" s="84" t="inlineStr">
        <is>
          <t>541512</t>
        </is>
      </c>
      <c r="G335" s="83" t="n">
        <v>0</v>
      </c>
      <c r="H335" s="83" t="n">
        <v>0</v>
      </c>
      <c r="I335" s="88">
        <f>G335/H335</f>
        <v/>
      </c>
    </row>
    <row r="336" ht="13.8" customHeight="1" s="82">
      <c r="A336" s="83" t="inlineStr">
        <is>
          <t>54151A</t>
        </is>
      </c>
      <c r="B336" s="83" t="inlineStr">
        <is>
          <t>5415</t>
        </is>
      </c>
      <c r="C336" s="83">
        <f>TRUE()</f>
        <v/>
      </c>
      <c r="D336" s="83" t="inlineStr">
        <is>
          <t>Computer systems design and related services</t>
        </is>
      </c>
      <c r="E336" s="83" t="inlineStr">
        <is>
          <t>Other computer related services, including facilities management</t>
        </is>
      </c>
      <c r="F336" s="84" t="inlineStr">
        <is>
          <t>54151A</t>
        </is>
      </c>
      <c r="G336" s="83" t="n">
        <v>0</v>
      </c>
      <c r="H336" s="83" t="n">
        <v>0</v>
      </c>
      <c r="I336" s="88">
        <f>G336/H336</f>
        <v/>
      </c>
    </row>
    <row r="337" ht="13.8" customHeight="1" s="82">
      <c r="A337" s="83" t="inlineStr">
        <is>
          <t>541610</t>
        </is>
      </c>
      <c r="B337" s="83" t="inlineStr">
        <is>
          <t>5412OP</t>
        </is>
      </c>
      <c r="C337" s="83">
        <f>FALSE()</f>
        <v/>
      </c>
      <c r="D337" s="83" t="inlineStr">
        <is>
          <t>Miscellaneous professional, scientific, and technical services</t>
        </is>
      </c>
      <c r="E337" s="83" t="inlineStr">
        <is>
          <t>Management consulting services</t>
        </is>
      </c>
      <c r="F337" s="84" t="inlineStr">
        <is>
          <t>541610</t>
        </is>
      </c>
      <c r="G337" s="83" t="n">
        <v>0</v>
      </c>
      <c r="H337" s="83" t="n">
        <v>0</v>
      </c>
      <c r="I337" s="88">
        <f>G337/H337</f>
        <v/>
      </c>
    </row>
    <row r="338" ht="13.8" customHeight="1" s="82">
      <c r="A338" s="83" t="inlineStr">
        <is>
          <t>5416A0</t>
        </is>
      </c>
      <c r="B338" s="83" t="inlineStr">
        <is>
          <t>5412OP</t>
        </is>
      </c>
      <c r="C338" s="83">
        <f>FALSE()</f>
        <v/>
      </c>
      <c r="D338" s="83" t="inlineStr">
        <is>
          <t>Miscellaneous professional, scientific, and technical services</t>
        </is>
      </c>
      <c r="E338" s="83" t="inlineStr">
        <is>
          <t>Environmental and other technical consulting services</t>
        </is>
      </c>
      <c r="F338" s="84" t="inlineStr">
        <is>
          <t>5416A0</t>
        </is>
      </c>
      <c r="G338" s="83" t="n">
        <v>0</v>
      </c>
      <c r="H338" s="83" t="n">
        <v>0</v>
      </c>
      <c r="I338" s="88">
        <f>G338/H338</f>
        <v/>
      </c>
    </row>
    <row r="339" ht="13.8" customHeight="1" s="82">
      <c r="A339" s="83" t="inlineStr">
        <is>
          <t>541700</t>
        </is>
      </c>
      <c r="B339" s="83" t="inlineStr">
        <is>
          <t>5412OP</t>
        </is>
      </c>
      <c r="C339" s="83">
        <f>FALSE()</f>
        <v/>
      </c>
      <c r="D339" s="83" t="inlineStr">
        <is>
          <t>Miscellaneous professional, scientific, and technical services</t>
        </is>
      </c>
      <c r="E339" s="83" t="inlineStr">
        <is>
          <t>Scientific research and development services</t>
        </is>
      </c>
      <c r="F339" s="84" t="inlineStr">
        <is>
          <t>541700</t>
        </is>
      </c>
      <c r="G339" s="83" t="n">
        <v>25574</v>
      </c>
      <c r="H339" s="83" t="n">
        <v>5303</v>
      </c>
      <c r="I339" s="88">
        <f>G339/H339</f>
        <v/>
      </c>
    </row>
    <row r="340" ht="13.8" customHeight="1" s="82">
      <c r="A340" s="83" t="inlineStr">
        <is>
          <t>541800</t>
        </is>
      </c>
      <c r="B340" s="83" t="inlineStr">
        <is>
          <t>5412OP</t>
        </is>
      </c>
      <c r="C340" s="83">
        <f>FALSE()</f>
        <v/>
      </c>
      <c r="D340" s="83" t="inlineStr">
        <is>
          <t>Miscellaneous professional, scientific, and technical services</t>
        </is>
      </c>
      <c r="E340" s="83" t="inlineStr">
        <is>
          <t>Advertising, public relations, and related services</t>
        </is>
      </c>
      <c r="F340" s="84" t="inlineStr">
        <is>
          <t>541800</t>
        </is>
      </c>
      <c r="G340" s="83" t="n">
        <v>960</v>
      </c>
      <c r="H340" s="83" t="n">
        <v>766</v>
      </c>
      <c r="I340" s="88">
        <f>G340/H340</f>
        <v/>
      </c>
    </row>
    <row r="341" ht="13.8" customHeight="1" s="82">
      <c r="A341" s="83" t="inlineStr">
        <is>
          <t>541920</t>
        </is>
      </c>
      <c r="B341" s="83" t="inlineStr">
        <is>
          <t>5412OP</t>
        </is>
      </c>
      <c r="C341" s="83">
        <f>FALSE()</f>
        <v/>
      </c>
      <c r="D341" s="83" t="inlineStr">
        <is>
          <t>Miscellaneous professional, scientific, and technical services</t>
        </is>
      </c>
      <c r="E341" s="83" t="inlineStr">
        <is>
          <t>Photographic services</t>
        </is>
      </c>
      <c r="F341" s="84" t="inlineStr">
        <is>
          <t>541920</t>
        </is>
      </c>
      <c r="G341" s="83" t="n">
        <v>8540</v>
      </c>
      <c r="H341" s="83" t="n">
        <v>7156</v>
      </c>
      <c r="I341" s="88">
        <f>G341/H341</f>
        <v/>
      </c>
    </row>
    <row r="342" ht="13.8" customHeight="1" s="82">
      <c r="A342" s="83" t="inlineStr">
        <is>
          <t>541940</t>
        </is>
      </c>
      <c r="B342" s="83" t="inlineStr">
        <is>
          <t>5412OP</t>
        </is>
      </c>
      <c r="C342" s="83">
        <f>FALSE()</f>
        <v/>
      </c>
      <c r="D342" s="83" t="inlineStr">
        <is>
          <t>Miscellaneous professional, scientific, and technical services</t>
        </is>
      </c>
      <c r="E342" s="83" t="inlineStr">
        <is>
          <t>Veterinary services</t>
        </is>
      </c>
      <c r="F342" s="84" t="inlineStr">
        <is>
          <t>541940</t>
        </is>
      </c>
      <c r="G342" s="83" t="n">
        <v>46885</v>
      </c>
      <c r="H342" s="83" t="n">
        <v>33726</v>
      </c>
      <c r="I342" s="88">
        <f>G342/H342</f>
        <v/>
      </c>
    </row>
    <row r="343" ht="13.8" customHeight="1" s="82">
      <c r="A343" s="83" t="inlineStr">
        <is>
          <t>5419A0</t>
        </is>
      </c>
      <c r="B343" s="83" t="inlineStr">
        <is>
          <t>5412OP</t>
        </is>
      </c>
      <c r="C343" s="83">
        <f>FALSE()</f>
        <v/>
      </c>
      <c r="D343" s="83" t="inlineStr">
        <is>
          <t>Miscellaneous professional, scientific, and technical services</t>
        </is>
      </c>
      <c r="E343" s="83" t="inlineStr">
        <is>
          <t xml:space="preserve">All other miscellaneous professional, scientific, and technical services </t>
        </is>
      </c>
      <c r="F343" s="84" t="inlineStr">
        <is>
          <t>5419A0</t>
        </is>
      </c>
      <c r="G343" s="83" t="n">
        <v>0</v>
      </c>
      <c r="H343" s="83" t="n">
        <v>0</v>
      </c>
      <c r="I343" s="88">
        <f>G343/H343</f>
        <v/>
      </c>
    </row>
    <row r="344" ht="13.8" customHeight="1" s="82">
      <c r="A344" s="83" t="inlineStr">
        <is>
          <t>550000</t>
        </is>
      </c>
      <c r="B344" s="83" t="inlineStr">
        <is>
          <t>55</t>
        </is>
      </c>
      <c r="C344" s="83">
        <f>TRUE()</f>
        <v/>
      </c>
      <c r="D344" s="83" t="inlineStr">
        <is>
          <t>Management of companies and enterprises</t>
        </is>
      </c>
      <c r="E344" s="83" t="inlineStr">
        <is>
          <t>Management of companies and enterprises</t>
        </is>
      </c>
      <c r="F344" s="84" t="inlineStr">
        <is>
          <t>550000</t>
        </is>
      </c>
      <c r="G344" s="83" t="n">
        <v>0</v>
      </c>
      <c r="H344" s="83" t="n">
        <v>0</v>
      </c>
      <c r="I344" s="88">
        <f>G344/H344</f>
        <v/>
      </c>
    </row>
    <row r="345" ht="13.8" customHeight="1" s="82">
      <c r="A345" s="83" t="inlineStr">
        <is>
          <t>561100</t>
        </is>
      </c>
      <c r="B345" s="83" t="inlineStr">
        <is>
          <t>561</t>
        </is>
      </c>
      <c r="C345" s="83">
        <f>TRUE()</f>
        <v/>
      </c>
      <c r="D345" s="83" t="inlineStr">
        <is>
          <t>Administrative and support services</t>
        </is>
      </c>
      <c r="E345" s="83" t="inlineStr">
        <is>
          <t>Office administrative services</t>
        </is>
      </c>
      <c r="F345" s="84" t="inlineStr">
        <is>
          <t>561100</t>
        </is>
      </c>
      <c r="G345" s="83" t="n">
        <v>0</v>
      </c>
      <c r="H345" s="83" t="n">
        <v>0</v>
      </c>
      <c r="I345" s="88">
        <f>G345/H345</f>
        <v/>
      </c>
    </row>
    <row r="346" ht="13.8" customHeight="1" s="82">
      <c r="A346" s="83" t="inlineStr">
        <is>
          <t>561200</t>
        </is>
      </c>
      <c r="B346" s="83" t="inlineStr">
        <is>
          <t>561</t>
        </is>
      </c>
      <c r="C346" s="83">
        <f>TRUE()</f>
        <v/>
      </c>
      <c r="D346" s="83" t="inlineStr">
        <is>
          <t>Administrative and support services</t>
        </is>
      </c>
      <c r="E346" s="83" t="inlineStr">
        <is>
          <t>Facilities support services</t>
        </is>
      </c>
      <c r="F346" s="84" t="inlineStr">
        <is>
          <t>561200</t>
        </is>
      </c>
      <c r="G346" s="83" t="n">
        <v>0</v>
      </c>
      <c r="H346" s="83" t="n">
        <v>0</v>
      </c>
      <c r="I346" s="88">
        <f>G346/H346</f>
        <v/>
      </c>
    </row>
    <row r="347" ht="13.8" customHeight="1" s="82">
      <c r="A347" s="83" t="inlineStr">
        <is>
          <t>561300</t>
        </is>
      </c>
      <c r="B347" s="83" t="inlineStr">
        <is>
          <t>561</t>
        </is>
      </c>
      <c r="C347" s="83">
        <f>TRUE()</f>
        <v/>
      </c>
      <c r="D347" s="83" t="inlineStr">
        <is>
          <t>Administrative and support services</t>
        </is>
      </c>
      <c r="E347" s="83" t="inlineStr">
        <is>
          <t>Employment services</t>
        </is>
      </c>
      <c r="F347" s="84" t="inlineStr">
        <is>
          <t>561300</t>
        </is>
      </c>
      <c r="G347" s="83" t="n">
        <v>2356</v>
      </c>
      <c r="H347" s="83" t="n">
        <v>1879</v>
      </c>
      <c r="I347" s="88">
        <f>G347/H347</f>
        <v/>
      </c>
    </row>
    <row r="348" ht="13.8" customHeight="1" s="82">
      <c r="A348" s="83" t="inlineStr">
        <is>
          <t>561400</t>
        </is>
      </c>
      <c r="B348" s="83" t="inlineStr">
        <is>
          <t>561</t>
        </is>
      </c>
      <c r="C348" s="83">
        <f>TRUE()</f>
        <v/>
      </c>
      <c r="D348" s="83" t="inlineStr">
        <is>
          <t>Administrative and support services</t>
        </is>
      </c>
      <c r="E348" s="83" t="inlineStr">
        <is>
          <t>Business support services</t>
        </is>
      </c>
      <c r="F348" s="84" t="inlineStr">
        <is>
          <t>561400</t>
        </is>
      </c>
      <c r="G348" s="83" t="n">
        <v>7947</v>
      </c>
      <c r="H348" s="83" t="n">
        <v>6344</v>
      </c>
      <c r="I348" s="88">
        <f>G348/H348</f>
        <v/>
      </c>
    </row>
    <row r="349" ht="13.8" customHeight="1" s="82">
      <c r="A349" s="83" t="inlineStr">
        <is>
          <t>561500</t>
        </is>
      </c>
      <c r="B349" s="83" t="inlineStr">
        <is>
          <t>561</t>
        </is>
      </c>
      <c r="C349" s="83">
        <f>TRUE()</f>
        <v/>
      </c>
      <c r="D349" s="83" t="inlineStr">
        <is>
          <t>Administrative and support services</t>
        </is>
      </c>
      <c r="E349" s="83" t="inlineStr">
        <is>
          <t>Travel arrangement and reservation services</t>
        </is>
      </c>
      <c r="F349" s="84" t="inlineStr">
        <is>
          <t>561500</t>
        </is>
      </c>
      <c r="G349" s="83" t="n">
        <v>30974</v>
      </c>
      <c r="H349" s="83" t="n">
        <v>23394</v>
      </c>
      <c r="I349" s="88">
        <f>G349/H349</f>
        <v/>
      </c>
    </row>
    <row r="350" ht="13.8" customHeight="1" s="82">
      <c r="A350" s="83" t="inlineStr">
        <is>
          <t>561600</t>
        </is>
      </c>
      <c r="B350" s="83" t="inlineStr">
        <is>
          <t>561</t>
        </is>
      </c>
      <c r="C350" s="83">
        <f>TRUE()</f>
        <v/>
      </c>
      <c r="D350" s="83" t="inlineStr">
        <is>
          <t>Administrative and support services</t>
        </is>
      </c>
      <c r="E350" s="83" t="inlineStr">
        <is>
          <t>Investigation and security services</t>
        </is>
      </c>
      <c r="F350" s="84" t="inlineStr">
        <is>
          <t>561600</t>
        </is>
      </c>
      <c r="G350" s="83" t="n">
        <v>15202</v>
      </c>
      <c r="H350" s="83" t="n">
        <v>11365</v>
      </c>
      <c r="I350" s="88">
        <f>G350/H350</f>
        <v/>
      </c>
    </row>
    <row r="351" ht="13.8" customHeight="1" s="82">
      <c r="A351" s="83" t="inlineStr">
        <is>
          <t>561700</t>
        </is>
      </c>
      <c r="B351" s="83" t="inlineStr">
        <is>
          <t>561</t>
        </is>
      </c>
      <c r="C351" s="83">
        <f>TRUE()</f>
        <v/>
      </c>
      <c r="D351" s="83" t="inlineStr">
        <is>
          <t>Administrative and support services</t>
        </is>
      </c>
      <c r="E351" s="83" t="inlineStr">
        <is>
          <t>Services to buildings and dwellings</t>
        </is>
      </c>
      <c r="F351" s="84" t="inlineStr">
        <is>
          <t>561700</t>
        </is>
      </c>
      <c r="G351" s="83" t="n">
        <v>28617</v>
      </c>
      <c r="H351" s="83" t="n">
        <v>21348</v>
      </c>
      <c r="I351" s="88">
        <f>G351/H351</f>
        <v/>
      </c>
    </row>
    <row r="352" ht="13.8" customHeight="1" s="82">
      <c r="A352" s="83" t="inlineStr">
        <is>
          <t>561900</t>
        </is>
      </c>
      <c r="B352" s="83" t="inlineStr">
        <is>
          <t>561</t>
        </is>
      </c>
      <c r="C352" s="83">
        <f>TRUE()</f>
        <v/>
      </c>
      <c r="D352" s="83" t="inlineStr">
        <is>
          <t>Administrative and support services</t>
        </is>
      </c>
      <c r="E352" s="83" t="inlineStr">
        <is>
          <t>Other support services</t>
        </is>
      </c>
      <c r="F352" s="84" t="inlineStr">
        <is>
          <t>561900</t>
        </is>
      </c>
      <c r="G352" s="83" t="n">
        <v>213</v>
      </c>
      <c r="H352" s="83" t="n">
        <v>159</v>
      </c>
      <c r="I352" s="88">
        <f>G352/H352</f>
        <v/>
      </c>
    </row>
    <row r="353" ht="13.8" customHeight="1" s="82">
      <c r="A353" s="83" t="inlineStr">
        <is>
          <t>562000</t>
        </is>
      </c>
      <c r="B353" s="83" t="inlineStr">
        <is>
          <t>562</t>
        </is>
      </c>
      <c r="C353" s="83">
        <f>TRUE()</f>
        <v/>
      </c>
      <c r="D353" s="83" t="inlineStr">
        <is>
          <t>Waste management and remediation services</t>
        </is>
      </c>
      <c r="E353" s="83" t="inlineStr">
        <is>
          <t>Waste management and remediation services</t>
        </is>
      </c>
      <c r="F353" s="84" t="inlineStr">
        <is>
          <t>562000</t>
        </is>
      </c>
      <c r="G353" s="83" t="n">
        <v>33904</v>
      </c>
      <c r="H353" s="83" t="n">
        <v>28334</v>
      </c>
      <c r="I353" s="88">
        <f>G353/H353</f>
        <v/>
      </c>
    </row>
    <row r="354" ht="13.8" customHeight="1" s="82">
      <c r="A354" s="83" t="inlineStr">
        <is>
          <t>611100</t>
        </is>
      </c>
      <c r="B354" s="83" t="inlineStr">
        <is>
          <t>61</t>
        </is>
      </c>
      <c r="C354" s="83">
        <f>TRUE()</f>
        <v/>
      </c>
      <c r="D354" s="83" t="inlineStr">
        <is>
          <t>Educational services</t>
        </is>
      </c>
      <c r="E354" s="83" t="inlineStr">
        <is>
          <t>Elementary and secondary schools</t>
        </is>
      </c>
      <c r="F354" s="84" t="inlineStr">
        <is>
          <t>611100</t>
        </is>
      </c>
      <c r="G354" s="83" t="n">
        <v>115971</v>
      </c>
      <c r="H354" s="83" t="n">
        <v>53010</v>
      </c>
      <c r="I354" s="88">
        <f>G354/H354</f>
        <v/>
      </c>
      <c r="J354" s="83">
        <f>G354/H354</f>
        <v/>
      </c>
    </row>
    <row r="355" ht="13.8" customHeight="1" s="82">
      <c r="A355" s="83" t="inlineStr">
        <is>
          <t>611A00</t>
        </is>
      </c>
      <c r="B355" s="83" t="inlineStr">
        <is>
          <t>61</t>
        </is>
      </c>
      <c r="C355" s="83">
        <f>TRUE()</f>
        <v/>
      </c>
      <c r="D355" s="83" t="inlineStr">
        <is>
          <t>Educational services</t>
        </is>
      </c>
      <c r="E355" s="83" t="inlineStr">
        <is>
          <t>Junior colleges, colleges, universities, and professional schools</t>
        </is>
      </c>
      <c r="F355" s="84" t="inlineStr">
        <is>
          <t>611A00</t>
        </is>
      </c>
      <c r="G355" s="83" t="n">
        <v>472274</v>
      </c>
      <c r="H355" s="83" t="n">
        <v>238722</v>
      </c>
      <c r="I355" s="88">
        <f>G355/H355</f>
        <v/>
      </c>
      <c r="J355" s="83">
        <f>G355/H355</f>
        <v/>
      </c>
    </row>
    <row r="356" ht="13.8" customHeight="1" s="82">
      <c r="A356" s="83" t="inlineStr">
        <is>
          <t>611B00</t>
        </is>
      </c>
      <c r="B356" s="83" t="inlineStr">
        <is>
          <t>61</t>
        </is>
      </c>
      <c r="C356" s="83">
        <f>TRUE()</f>
        <v/>
      </c>
      <c r="D356" s="83" t="inlineStr">
        <is>
          <t>Educational services</t>
        </is>
      </c>
      <c r="E356" s="83" t="inlineStr">
        <is>
          <t>Other educational services</t>
        </is>
      </c>
      <c r="F356" s="84" t="inlineStr">
        <is>
          <t>611B00</t>
        </is>
      </c>
      <c r="G356" s="83" t="n">
        <v>107996</v>
      </c>
      <c r="H356" s="83" t="n">
        <v>68474</v>
      </c>
      <c r="I356" s="88">
        <f>G356/H356</f>
        <v/>
      </c>
      <c r="J356" s="83">
        <f>G356/H356</f>
        <v/>
      </c>
    </row>
    <row r="357" ht="13.8" customHeight="1" s="82">
      <c r="A357" s="83" t="inlineStr">
        <is>
          <t>621100</t>
        </is>
      </c>
      <c r="B357" s="83" t="inlineStr">
        <is>
          <t>621</t>
        </is>
      </c>
      <c r="C357" s="83">
        <f>TRUE()</f>
        <v/>
      </c>
      <c r="D357" s="83" t="inlineStr">
        <is>
          <t>Ambulatory health care services</t>
        </is>
      </c>
      <c r="E357" s="83" t="inlineStr">
        <is>
          <t>Offices of physicians</t>
        </is>
      </c>
      <c r="F357" s="84" t="inlineStr">
        <is>
          <t>621100</t>
        </is>
      </c>
      <c r="G357" s="83" t="n">
        <v>603241</v>
      </c>
      <c r="H357" s="83" t="n">
        <v>491310</v>
      </c>
      <c r="I357" s="88">
        <f>G357/H357</f>
        <v/>
      </c>
    </row>
    <row r="358" ht="13.8" customHeight="1" s="82">
      <c r="A358" s="83" t="inlineStr">
        <is>
          <t>621200</t>
        </is>
      </c>
      <c r="B358" s="83" t="inlineStr">
        <is>
          <t>621</t>
        </is>
      </c>
      <c r="C358" s="83">
        <f>TRUE()</f>
        <v/>
      </c>
      <c r="D358" s="83" t="inlineStr">
        <is>
          <t>Ambulatory health care services</t>
        </is>
      </c>
      <c r="E358" s="83" t="inlineStr">
        <is>
          <t>Offices of dentists</t>
        </is>
      </c>
      <c r="F358" s="84" t="inlineStr">
        <is>
          <t>621200</t>
        </is>
      </c>
      <c r="G358" s="83" t="n">
        <v>162026</v>
      </c>
      <c r="H358" s="83" t="n">
        <v>129315</v>
      </c>
      <c r="I358" s="88">
        <f>G358/H358</f>
        <v/>
      </c>
    </row>
    <row r="359" ht="13.8" customHeight="1" s="82">
      <c r="A359" s="83" t="inlineStr">
        <is>
          <t>621300</t>
        </is>
      </c>
      <c r="B359" s="83" t="inlineStr">
        <is>
          <t>621</t>
        </is>
      </c>
      <c r="C359" s="83">
        <f>TRUE()</f>
        <v/>
      </c>
      <c r="D359" s="83" t="inlineStr">
        <is>
          <t>Ambulatory health care services</t>
        </is>
      </c>
      <c r="E359" s="83" t="inlineStr">
        <is>
          <t>Offices of other health practitioners</t>
        </is>
      </c>
      <c r="F359" s="84" t="inlineStr">
        <is>
          <t>621300</t>
        </is>
      </c>
      <c r="G359" s="83" t="n">
        <v>126541</v>
      </c>
      <c r="H359" s="83" t="n">
        <v>94125</v>
      </c>
      <c r="I359" s="88">
        <f>G359/H359</f>
        <v/>
      </c>
    </row>
    <row r="360" ht="13.8" customHeight="1" s="82">
      <c r="A360" s="83" t="inlineStr">
        <is>
          <t>621400</t>
        </is>
      </c>
      <c r="B360" s="83" t="inlineStr">
        <is>
          <t>621</t>
        </is>
      </c>
      <c r="C360" s="83">
        <f>TRUE()</f>
        <v/>
      </c>
      <c r="D360" s="83" t="inlineStr">
        <is>
          <t>Ambulatory health care services</t>
        </is>
      </c>
      <c r="E360" s="83" t="inlineStr">
        <is>
          <t>Outpatient care centers</t>
        </is>
      </c>
      <c r="F360" s="84" t="inlineStr">
        <is>
          <t>621400</t>
        </is>
      </c>
      <c r="G360" s="83" t="n">
        <v>231972</v>
      </c>
      <c r="H360" s="83" t="n">
        <v>160922</v>
      </c>
      <c r="I360" s="88">
        <f>G360/H360</f>
        <v/>
      </c>
    </row>
    <row r="361" ht="13.8" customHeight="1" s="82">
      <c r="A361" s="83" t="inlineStr">
        <is>
          <t>621500</t>
        </is>
      </c>
      <c r="B361" s="83" t="inlineStr">
        <is>
          <t>621</t>
        </is>
      </c>
      <c r="C361" s="83">
        <f>TRUE()</f>
        <v/>
      </c>
      <c r="D361" s="83" t="inlineStr">
        <is>
          <t>Ambulatory health care services</t>
        </is>
      </c>
      <c r="E361" s="83" t="inlineStr">
        <is>
          <t>Medical and diagnostic laboratories</t>
        </is>
      </c>
      <c r="F361" s="84" t="inlineStr">
        <is>
          <t>621500</t>
        </is>
      </c>
      <c r="G361" s="83" t="n">
        <v>51115</v>
      </c>
      <c r="H361" s="83" t="n">
        <v>38265</v>
      </c>
      <c r="I361" s="88">
        <f>G361/H361</f>
        <v/>
      </c>
    </row>
    <row r="362" ht="13.8" customHeight="1" s="82">
      <c r="A362" s="83" t="inlineStr">
        <is>
          <t>621600</t>
        </is>
      </c>
      <c r="B362" s="83" t="inlineStr">
        <is>
          <t>621</t>
        </is>
      </c>
      <c r="C362" s="83">
        <f>TRUE()</f>
        <v/>
      </c>
      <c r="D362" s="83" t="inlineStr">
        <is>
          <t>Ambulatory health care services</t>
        </is>
      </c>
      <c r="E362" s="83" t="inlineStr">
        <is>
          <t>Home health care services</t>
        </is>
      </c>
      <c r="F362" s="84" t="inlineStr">
        <is>
          <t>621600</t>
        </is>
      </c>
      <c r="G362" s="83" t="n">
        <v>144061</v>
      </c>
      <c r="H362" s="83" t="n">
        <v>107517</v>
      </c>
      <c r="I362" s="88">
        <f>G362/H362</f>
        <v/>
      </c>
    </row>
    <row r="363" ht="13.8" customHeight="1" s="82">
      <c r="A363" s="83" t="inlineStr">
        <is>
          <t>621900</t>
        </is>
      </c>
      <c r="B363" s="83" t="inlineStr">
        <is>
          <t>621</t>
        </is>
      </c>
      <c r="C363" s="83">
        <f>TRUE()</f>
        <v/>
      </c>
      <c r="D363" s="83" t="inlineStr">
        <is>
          <t>Ambulatory health care services</t>
        </is>
      </c>
      <c r="E363" s="83" t="inlineStr">
        <is>
          <t>Other ambulatory health care services</t>
        </is>
      </c>
      <c r="F363" s="84" t="inlineStr">
        <is>
          <t>621900</t>
        </is>
      </c>
      <c r="G363" s="83" t="n">
        <v>40762</v>
      </c>
      <c r="H363" s="83" t="n">
        <v>29419</v>
      </c>
      <c r="I363" s="88">
        <f>G363/H363</f>
        <v/>
      </c>
    </row>
    <row r="364" ht="13.8" customHeight="1" s="82">
      <c r="A364" s="83" t="inlineStr">
        <is>
          <t>622000</t>
        </is>
      </c>
      <c r="B364" s="83" t="inlineStr">
        <is>
          <t>622</t>
        </is>
      </c>
      <c r="C364" s="83">
        <f>TRUE()</f>
        <v/>
      </c>
      <c r="D364" s="83" t="inlineStr">
        <is>
          <t>Hospitals</t>
        </is>
      </c>
      <c r="E364" s="83" t="inlineStr">
        <is>
          <t>Hospitals</t>
        </is>
      </c>
      <c r="F364" s="84" t="inlineStr">
        <is>
          <t>622000</t>
        </is>
      </c>
      <c r="G364" s="83" t="n">
        <v>1377978</v>
      </c>
      <c r="H364" s="83" t="n">
        <v>1039196</v>
      </c>
      <c r="I364" s="88">
        <f>G364/H364</f>
        <v/>
      </c>
    </row>
    <row r="365" ht="13.8" customHeight="1" s="82">
      <c r="A365" s="83" t="inlineStr">
        <is>
          <t>623A00</t>
        </is>
      </c>
      <c r="B365" s="83" t="inlineStr">
        <is>
          <t>623</t>
        </is>
      </c>
      <c r="C365" s="83">
        <f>TRUE()</f>
        <v/>
      </c>
      <c r="D365" s="83" t="inlineStr">
        <is>
          <t>Nursing and residential care facilities</t>
        </is>
      </c>
      <c r="E365" s="83" t="inlineStr">
        <is>
          <t>Nursing and community care facilities</t>
        </is>
      </c>
      <c r="F365" s="84" t="inlineStr">
        <is>
          <t>623A00</t>
        </is>
      </c>
      <c r="G365" s="83" t="n">
        <v>223157</v>
      </c>
      <c r="H365" s="83" t="n">
        <v>187578</v>
      </c>
      <c r="I365" s="88">
        <f>G365/H365</f>
        <v/>
      </c>
    </row>
    <row r="366" ht="13.8" customHeight="1" s="82">
      <c r="A366" s="83" t="inlineStr">
        <is>
          <t>623B00</t>
        </is>
      </c>
      <c r="B366" s="83" t="inlineStr">
        <is>
          <t>623</t>
        </is>
      </c>
      <c r="C366" s="83">
        <f>TRUE()</f>
        <v/>
      </c>
      <c r="D366" s="83" t="inlineStr">
        <is>
          <t>Nursing and residential care facilities</t>
        </is>
      </c>
      <c r="E366" s="83" t="inlineStr">
        <is>
          <t>Residential mental health, substance abuse, and other residential care facilities</t>
        </is>
      </c>
      <c r="F366" s="84" t="inlineStr">
        <is>
          <t>623B00</t>
        </is>
      </c>
      <c r="G366" s="83" t="n">
        <v>97689</v>
      </c>
      <c r="H366" s="83" t="n">
        <v>54042</v>
      </c>
      <c r="I366" s="88">
        <f>G366/H366</f>
        <v/>
      </c>
    </row>
    <row r="367" ht="13.8" customHeight="1" s="82">
      <c r="A367" s="83" t="inlineStr">
        <is>
          <t>624100</t>
        </is>
      </c>
      <c r="B367" s="83" t="inlineStr">
        <is>
          <t>624</t>
        </is>
      </c>
      <c r="C367" s="83">
        <f>TRUE()</f>
        <v/>
      </c>
      <c r="D367" s="83" t="inlineStr">
        <is>
          <t>Social assistance</t>
        </is>
      </c>
      <c r="E367" s="83" t="inlineStr">
        <is>
          <t>Individual and family services</t>
        </is>
      </c>
      <c r="F367" s="84" t="inlineStr">
        <is>
          <t>624100</t>
        </is>
      </c>
      <c r="G367" s="83" t="n">
        <v>322964</v>
      </c>
      <c r="H367" s="83" t="n">
        <v>112901</v>
      </c>
      <c r="I367" s="88">
        <f>G367/H367</f>
        <v/>
      </c>
      <c r="J367" s="83" t="n"/>
    </row>
    <row r="368" ht="13.8" customHeight="1" s="82">
      <c r="A368" s="83" t="inlineStr">
        <is>
          <t>624400</t>
        </is>
      </c>
      <c r="B368" s="83" t="inlineStr">
        <is>
          <t>624</t>
        </is>
      </c>
      <c r="C368" s="83">
        <f>TRUE()</f>
        <v/>
      </c>
      <c r="D368" s="83" t="inlineStr">
        <is>
          <t>Social assistance</t>
        </is>
      </c>
      <c r="E368" s="83" t="inlineStr">
        <is>
          <t>Child day care services</t>
        </is>
      </c>
      <c r="F368" s="84" t="inlineStr">
        <is>
          <t>624400</t>
        </is>
      </c>
      <c r="G368" s="83" t="n">
        <v>100154</v>
      </c>
      <c r="H368" s="83" t="n">
        <v>56995</v>
      </c>
      <c r="I368" s="88">
        <f>G368/H368</f>
        <v/>
      </c>
      <c r="J368" s="83" t="n"/>
    </row>
    <row r="369" ht="13.8" customHeight="1" s="82">
      <c r="A369" s="83" t="inlineStr">
        <is>
          <t>624A00</t>
        </is>
      </c>
      <c r="B369" s="83" t="inlineStr">
        <is>
          <t>624</t>
        </is>
      </c>
      <c r="C369" s="83">
        <f>TRUE()</f>
        <v/>
      </c>
      <c r="D369" s="83" t="inlineStr">
        <is>
          <t>Social assistance</t>
        </is>
      </c>
      <c r="E369" s="83" t="inlineStr">
        <is>
          <t>Community food, housing, and other relief services, including rehabilitation services</t>
        </is>
      </c>
      <c r="F369" s="84" t="inlineStr">
        <is>
          <t>624A00</t>
        </is>
      </c>
      <c r="G369" s="83" t="n">
        <v>192215</v>
      </c>
      <c r="H369" s="83" t="n">
        <v>55383</v>
      </c>
      <c r="I369" s="88">
        <f>G369/H369</f>
        <v/>
      </c>
      <c r="J369" s="83" t="n"/>
    </row>
    <row r="370" ht="13.8" customHeight="1" s="82">
      <c r="A370" s="83" t="inlineStr">
        <is>
          <t>711100</t>
        </is>
      </c>
      <c r="B370" s="83" t="inlineStr">
        <is>
          <t>711AS</t>
        </is>
      </c>
      <c r="C370" s="83">
        <f>TRUE()</f>
        <v/>
      </c>
      <c r="D370" s="83" t="inlineStr">
        <is>
          <t>Performing arts, spectator sports, museums, and related activities</t>
        </is>
      </c>
      <c r="E370" s="83" t="inlineStr">
        <is>
          <t>Performing arts companies</t>
        </is>
      </c>
      <c r="F370" s="84" t="inlineStr">
        <is>
          <t>711100</t>
        </is>
      </c>
      <c r="G370" s="83" t="n">
        <v>50737</v>
      </c>
      <c r="H370" s="83" t="n">
        <v>32596</v>
      </c>
      <c r="I370" s="88">
        <f>G370/H370</f>
        <v/>
      </c>
    </row>
    <row r="371" ht="13.8" customHeight="1" s="82">
      <c r="A371" s="83" t="inlineStr">
        <is>
          <t>711200</t>
        </is>
      </c>
      <c r="B371" s="83" t="inlineStr">
        <is>
          <t>711AS</t>
        </is>
      </c>
      <c r="C371" s="83">
        <f>TRUE()</f>
        <v/>
      </c>
      <c r="D371" s="83" t="inlineStr">
        <is>
          <t>Performing arts, spectator sports, museums, and related activities</t>
        </is>
      </c>
      <c r="E371" s="83" t="inlineStr">
        <is>
          <t>Spectator sports</t>
        </is>
      </c>
      <c r="F371" s="84" t="inlineStr">
        <is>
          <t>711200</t>
        </is>
      </c>
      <c r="G371" s="83" t="n">
        <v>25237</v>
      </c>
      <c r="H371" s="83" t="n">
        <v>21320</v>
      </c>
      <c r="I371" s="88">
        <f>G371/H371</f>
        <v/>
      </c>
    </row>
    <row r="372" ht="13.8" customHeight="1" s="82">
      <c r="A372" s="83" t="inlineStr">
        <is>
          <t>711500</t>
        </is>
      </c>
      <c r="B372" s="83" t="inlineStr">
        <is>
          <t>711AS</t>
        </is>
      </c>
      <c r="C372" s="83">
        <f>TRUE()</f>
        <v/>
      </c>
      <c r="D372" s="83" t="inlineStr">
        <is>
          <t>Performing arts, spectator sports, museums, and related activities</t>
        </is>
      </c>
      <c r="E372" s="83" t="inlineStr">
        <is>
          <t>Independent artists, writers, and performers</t>
        </is>
      </c>
      <c r="F372" s="84" t="inlineStr">
        <is>
          <t>711500</t>
        </is>
      </c>
      <c r="G372" s="83" t="n">
        <v>551</v>
      </c>
      <c r="H372" s="83" t="n">
        <v>472</v>
      </c>
      <c r="I372" s="88">
        <f>G372/H372</f>
        <v/>
      </c>
    </row>
    <row r="373" ht="13.8" customHeight="1" s="82">
      <c r="A373" s="83" t="inlineStr">
        <is>
          <t>711A00</t>
        </is>
      </c>
      <c r="B373" s="83" t="inlineStr">
        <is>
          <t>711AS</t>
        </is>
      </c>
      <c r="C373" s="83">
        <f>TRUE()</f>
        <v/>
      </c>
      <c r="D373" s="83" t="inlineStr">
        <is>
          <t>Performing arts, spectator sports, museums, and related activities</t>
        </is>
      </c>
      <c r="E373" s="83" t="inlineStr">
        <is>
          <t>Promoters of performing arts and sports and agents for public figures</t>
        </is>
      </c>
      <c r="F373" s="84" t="inlineStr">
        <is>
          <t>711A00</t>
        </is>
      </c>
      <c r="G373" s="83" t="n">
        <v>24355</v>
      </c>
      <c r="H373" s="83" t="n">
        <v>11360</v>
      </c>
      <c r="I373" s="88">
        <f>G373/H373</f>
        <v/>
      </c>
    </row>
    <row r="374" ht="13.8" customHeight="1" s="82">
      <c r="A374" s="83" t="inlineStr">
        <is>
          <t>712000</t>
        </is>
      </c>
      <c r="B374" s="83" t="inlineStr">
        <is>
          <t>711AS</t>
        </is>
      </c>
      <c r="C374" s="83">
        <f>FALSE()</f>
        <v/>
      </c>
      <c r="D374" s="83" t="inlineStr">
        <is>
          <t>Performing arts, spectator sports, museums, and related activities</t>
        </is>
      </c>
      <c r="E374" s="83" t="inlineStr">
        <is>
          <t>Museums, historical sites, zoos, and parks</t>
        </is>
      </c>
      <c r="F374" s="84" t="inlineStr">
        <is>
          <t>712000</t>
        </is>
      </c>
      <c r="G374" s="83" t="n">
        <v>63497</v>
      </c>
      <c r="H374" s="83" t="n">
        <v>21225</v>
      </c>
      <c r="I374" s="88">
        <f>G374/H374</f>
        <v/>
      </c>
    </row>
    <row r="375" ht="13.8" customHeight="1" s="82">
      <c r="A375" s="83" t="inlineStr">
        <is>
          <t>713100</t>
        </is>
      </c>
      <c r="B375" s="83" t="inlineStr">
        <is>
          <t>713</t>
        </is>
      </c>
      <c r="C375" s="83">
        <f>TRUE()</f>
        <v/>
      </c>
      <c r="D375" s="83" t="inlineStr">
        <is>
          <t>Amusements, gambling, and recreation industries</t>
        </is>
      </c>
      <c r="E375" s="83" t="inlineStr">
        <is>
          <t>Amusement parks and arcades</t>
        </is>
      </c>
      <c r="F375" s="84" t="inlineStr">
        <is>
          <t>713100</t>
        </is>
      </c>
      <c r="G375" s="83" t="n">
        <v>20468</v>
      </c>
      <c r="H375" s="83" t="n">
        <v>17522</v>
      </c>
      <c r="I375" s="88">
        <f>G375/H375</f>
        <v/>
      </c>
    </row>
    <row r="376" ht="13.8" customHeight="1" s="82">
      <c r="A376" s="83" t="inlineStr">
        <is>
          <t>713200</t>
        </is>
      </c>
      <c r="B376" s="83" t="inlineStr">
        <is>
          <t>713</t>
        </is>
      </c>
      <c r="C376" s="83">
        <f>TRUE()</f>
        <v/>
      </c>
      <c r="D376" s="83" t="inlineStr">
        <is>
          <t>Amusements, gambling, and recreation industries</t>
        </is>
      </c>
      <c r="E376" s="83" t="inlineStr">
        <is>
          <t>Gambling industries (except casino hotels)</t>
        </is>
      </c>
      <c r="F376" s="84" t="inlineStr">
        <is>
          <t>713200</t>
        </is>
      </c>
      <c r="G376" s="83" t="n">
        <v>139327</v>
      </c>
      <c r="H376" s="83" t="n">
        <v>111858</v>
      </c>
      <c r="I376" s="88">
        <f>G376/H376</f>
        <v/>
      </c>
    </row>
    <row r="377" ht="13.8" customHeight="1" s="82">
      <c r="A377" s="83" t="inlineStr">
        <is>
          <t>713900</t>
        </is>
      </c>
      <c r="B377" s="83" t="inlineStr">
        <is>
          <t>713</t>
        </is>
      </c>
      <c r="C377" s="83">
        <f>TRUE()</f>
        <v/>
      </c>
      <c r="D377" s="83" t="inlineStr">
        <is>
          <t>Amusements, gambling, and recreation industries</t>
        </is>
      </c>
      <c r="E377" s="83" t="inlineStr">
        <is>
          <t>Other amusement and recreation industries</t>
        </is>
      </c>
      <c r="F377" s="84" t="inlineStr">
        <is>
          <t>713900</t>
        </is>
      </c>
      <c r="G377" s="83" t="n">
        <v>122558</v>
      </c>
      <c r="H377" s="83" t="n">
        <v>80832</v>
      </c>
      <c r="I377" s="88">
        <f>G377/H377</f>
        <v/>
      </c>
    </row>
    <row r="378" ht="13.8" customHeight="1" s="82">
      <c r="A378" s="83" t="inlineStr">
        <is>
          <t>721000</t>
        </is>
      </c>
      <c r="B378" s="83" t="inlineStr">
        <is>
          <t>721</t>
        </is>
      </c>
      <c r="C378" s="83">
        <f>TRUE()</f>
        <v/>
      </c>
      <c r="D378" s="83" t="inlineStr">
        <is>
          <t>Accommodation</t>
        </is>
      </c>
      <c r="E378" s="83" t="inlineStr">
        <is>
          <t>Accommodation</t>
        </is>
      </c>
      <c r="F378" s="84" t="inlineStr">
        <is>
          <t>721000</t>
        </is>
      </c>
      <c r="G378" s="83" t="n">
        <v>189334</v>
      </c>
      <c r="H378" s="83" t="n">
        <v>163295</v>
      </c>
      <c r="I378" s="88">
        <f>G378/H378</f>
        <v/>
      </c>
    </row>
    <row r="379" ht="13.8" customHeight="1" s="82">
      <c r="A379" s="83" t="inlineStr">
        <is>
          <t>722110</t>
        </is>
      </c>
      <c r="B379" s="83" t="inlineStr">
        <is>
          <t>722</t>
        </is>
      </c>
      <c r="C379" s="83">
        <f>TRUE()</f>
        <v/>
      </c>
      <c r="D379" s="83" t="inlineStr">
        <is>
          <t>Food services and drinking places</t>
        </is>
      </c>
      <c r="E379" s="83" t="inlineStr">
        <is>
          <t>Full-service restaurants</t>
        </is>
      </c>
      <c r="F379" s="84" t="inlineStr">
        <is>
          <t>722110</t>
        </is>
      </c>
      <c r="G379" s="83" t="n">
        <v>390312</v>
      </c>
      <c r="H379" s="83" t="n">
        <v>279233</v>
      </c>
      <c r="I379" s="88">
        <f>G379/H379</f>
        <v/>
      </c>
      <c r="J379" s="89" t="n"/>
      <c r="K379" s="89" t="n"/>
      <c r="L379" s="89" t="n"/>
      <c r="M379" s="85">
        <f>L380/SUM(H382:H393)</f>
        <v/>
      </c>
      <c r="N379" s="89" t="n"/>
    </row>
    <row r="380" ht="13.8" customHeight="1" s="82">
      <c r="A380" s="83" t="inlineStr">
        <is>
          <t>722211</t>
        </is>
      </c>
      <c r="B380" s="83" t="inlineStr">
        <is>
          <t>722</t>
        </is>
      </c>
      <c r="C380" s="83">
        <f>TRUE()</f>
        <v/>
      </c>
      <c r="D380" s="83" t="inlineStr">
        <is>
          <t>Food services and drinking places</t>
        </is>
      </c>
      <c r="E380" s="83" t="inlineStr">
        <is>
          <t>Limited-service restaurants</t>
        </is>
      </c>
      <c r="F380" s="84" t="inlineStr">
        <is>
          <t>722211</t>
        </is>
      </c>
      <c r="G380" s="83" t="n">
        <v>481854</v>
      </c>
      <c r="H380" s="83" t="n">
        <v>344723</v>
      </c>
      <c r="I380" s="88">
        <f>G380/H380</f>
        <v/>
      </c>
      <c r="J380" s="89" t="n"/>
      <c r="K380" s="89" t="inlineStr">
        <is>
          <t>target</t>
        </is>
      </c>
      <c r="L380" s="89" t="n">
        <v>764303</v>
      </c>
      <c r="M380" s="89" t="n"/>
      <c r="N380" s="89" t="n"/>
    </row>
    <row r="381" ht="13.8" customHeight="1" s="82">
      <c r="A381" s="83" t="inlineStr">
        <is>
          <t>722A00</t>
        </is>
      </c>
      <c r="B381" s="83" t="inlineStr">
        <is>
          <t>722</t>
        </is>
      </c>
      <c r="C381" s="83">
        <f>TRUE()</f>
        <v/>
      </c>
      <c r="D381" s="83" t="inlineStr">
        <is>
          <t>Food services and drinking places</t>
        </is>
      </c>
      <c r="E381" s="83" t="inlineStr">
        <is>
          <t>All other food and drinking places</t>
        </is>
      </c>
      <c r="F381" s="84" t="inlineStr">
        <is>
          <t>722A00</t>
        </is>
      </c>
      <c r="G381" s="83" t="n">
        <v>150814</v>
      </c>
      <c r="H381" s="83" t="n">
        <v>107894</v>
      </c>
      <c r="I381" s="88">
        <f>G381/H381</f>
        <v/>
      </c>
      <c r="J381" s="89" t="n"/>
      <c r="K381" s="89" t="n"/>
      <c r="L381" s="89" t="inlineStr">
        <is>
          <t>bea</t>
        </is>
      </c>
      <c r="M381" s="89" t="inlineStr">
        <is>
          <t>sut2017</t>
        </is>
      </c>
      <c r="N381" s="89" t="inlineStr">
        <is>
          <t>ratio</t>
        </is>
      </c>
    </row>
    <row r="382" ht="13.8" customHeight="1" s="82">
      <c r="A382" s="83" t="inlineStr">
        <is>
          <t>811100</t>
        </is>
      </c>
      <c r="B382" s="83" t="inlineStr">
        <is>
          <t>81</t>
        </is>
      </c>
      <c r="C382" s="83">
        <f>TRUE()</f>
        <v/>
      </c>
      <c r="D382" s="83" t="inlineStr">
        <is>
          <t>Other services, except government</t>
        </is>
      </c>
      <c r="E382" s="83" t="inlineStr">
        <is>
          <t>Automotive repair and maintenance (including car washes)</t>
        </is>
      </c>
      <c r="F382" s="84" t="inlineStr">
        <is>
          <t>811100</t>
        </is>
      </c>
      <c r="G382" s="83" t="n">
        <v>227726</v>
      </c>
      <c r="H382" s="83" t="n">
        <v>164881</v>
      </c>
      <c r="I382" s="88">
        <f>G382/H382</f>
        <v/>
      </c>
      <c r="J382" s="89" t="n"/>
      <c r="K382" s="89" t="inlineStr">
        <is>
          <t>sum without</t>
        </is>
      </c>
      <c r="L382" s="89">
        <f>SUM(G382:G389)+G393</f>
        <v/>
      </c>
      <c r="M382" s="89">
        <f>SUM(H382:H389)+H393</f>
        <v/>
      </c>
      <c r="N382" s="89" t="n"/>
    </row>
    <row r="383" ht="13.8" customHeight="1" s="82">
      <c r="A383" s="83" t="inlineStr">
        <is>
          <t>811200</t>
        </is>
      </c>
      <c r="B383" s="83" t="inlineStr">
        <is>
          <t>81</t>
        </is>
      </c>
      <c r="C383" s="83">
        <f>TRUE()</f>
        <v/>
      </c>
      <c r="D383" s="83" t="inlineStr">
        <is>
          <t>Other services, except government</t>
        </is>
      </c>
      <c r="E383" s="83" t="inlineStr">
        <is>
          <t>Electronic and precision equipment repair and maintenance</t>
        </is>
      </c>
      <c r="F383" s="84" t="inlineStr">
        <is>
          <t>811200</t>
        </is>
      </c>
      <c r="G383" s="83" t="n">
        <v>5336</v>
      </c>
      <c r="H383" s="83" t="n">
        <v>4114</v>
      </c>
      <c r="I383" s="88">
        <f>G383/H383</f>
        <v/>
      </c>
      <c r="J383" s="89" t="n"/>
      <c r="K383" s="89" t="inlineStr">
        <is>
          <t>religious</t>
        </is>
      </c>
      <c r="L383" s="89">
        <f>L$382*M383</f>
        <v/>
      </c>
      <c r="M383" s="89">
        <f>H390/M$382</f>
        <v/>
      </c>
      <c r="N383" s="89" t="n"/>
    </row>
    <row r="384" ht="13.8" customHeight="1" s="82">
      <c r="A384" s="83" t="inlineStr">
        <is>
          <t>811300</t>
        </is>
      </c>
      <c r="B384" s="83" t="inlineStr">
        <is>
          <t>81</t>
        </is>
      </c>
      <c r="C384" s="83">
        <f>TRUE()</f>
        <v/>
      </c>
      <c r="D384" s="83" t="inlineStr">
        <is>
          <t>Other services, except government</t>
        </is>
      </c>
      <c r="E384" s="83" t="inlineStr">
        <is>
          <t>Commercial and industrial machinery and equipment repair and maintenance</t>
        </is>
      </c>
      <c r="F384" s="84" t="inlineStr">
        <is>
          <t>811300</t>
        </is>
      </c>
      <c r="G384" s="83" t="n">
        <v>0</v>
      </c>
      <c r="H384" s="83" t="n">
        <v>0</v>
      </c>
      <c r="I384" s="88" t="n"/>
      <c r="J384" s="89" t="n"/>
      <c r="K384" s="89" t="inlineStr">
        <is>
          <t>grantmaking</t>
        </is>
      </c>
      <c r="L384" s="89">
        <f>L$382*M384</f>
        <v/>
      </c>
      <c r="M384" s="89">
        <f>H391/M$382</f>
        <v/>
      </c>
      <c r="N384" s="89" t="n"/>
    </row>
    <row r="385" ht="13.8" customHeight="1" s="82">
      <c r="A385" s="83" t="inlineStr">
        <is>
          <t>811400</t>
        </is>
      </c>
      <c r="B385" s="83" t="inlineStr">
        <is>
          <t>81</t>
        </is>
      </c>
      <c r="C385" s="83">
        <f>TRUE()</f>
        <v/>
      </c>
      <c r="D385" s="83" t="inlineStr">
        <is>
          <t>Other services, except government</t>
        </is>
      </c>
      <c r="E385" s="83" t="inlineStr">
        <is>
          <t>Personal and household goods repair and maintenance</t>
        </is>
      </c>
      <c r="F385" s="84" t="inlineStr">
        <is>
          <t>811400</t>
        </is>
      </c>
      <c r="G385" s="83" t="n">
        <v>29001</v>
      </c>
      <c r="H385" s="83" t="n">
        <v>22333</v>
      </c>
      <c r="I385" s="88">
        <f>G385/H385</f>
        <v/>
      </c>
      <c r="J385" s="89" t="n"/>
      <c r="K385" s="89" t="inlineStr">
        <is>
          <t>civic</t>
        </is>
      </c>
      <c r="L385" s="89">
        <f>L$382*M385</f>
        <v/>
      </c>
      <c r="M385" s="89">
        <f>H392/M$382</f>
        <v/>
      </c>
      <c r="N385" s="89" t="n"/>
    </row>
    <row r="386" ht="13.8" customHeight="1" s="82">
      <c r="A386" s="83" t="inlineStr">
        <is>
          <t>812100</t>
        </is>
      </c>
      <c r="B386" s="83" t="inlineStr">
        <is>
          <t>81</t>
        </is>
      </c>
      <c r="C386" s="83">
        <f>TRUE()</f>
        <v/>
      </c>
      <c r="D386" s="83" t="inlineStr">
        <is>
          <t>Other services, except government</t>
        </is>
      </c>
      <c r="E386" s="83" t="inlineStr">
        <is>
          <t>Personal care services</t>
        </is>
      </c>
      <c r="F386" s="84" t="inlineStr">
        <is>
          <t>812100</t>
        </is>
      </c>
      <c r="G386" s="83" t="n">
        <v>98902</v>
      </c>
      <c r="H386" s="83" t="n">
        <v>79038</v>
      </c>
      <c r="I386" s="88">
        <f>G386/H386</f>
        <v/>
      </c>
      <c r="J386" s="89" t="n"/>
      <c r="K386" s="89" t="n"/>
      <c r="L386" s="89">
        <f>SUM(L382:L385)</f>
        <v/>
      </c>
      <c r="M386" s="89" t="n"/>
      <c r="N386" s="89" t="n"/>
    </row>
    <row r="387" ht="13.8" customHeight="1" s="82">
      <c r="A387" s="83" t="inlineStr">
        <is>
          <t>812200</t>
        </is>
      </c>
      <c r="B387" s="83" t="inlineStr">
        <is>
          <t>81</t>
        </is>
      </c>
      <c r="C387" s="83">
        <f>TRUE()</f>
        <v/>
      </c>
      <c r="D387" s="83" t="inlineStr">
        <is>
          <t>Other services, except government</t>
        </is>
      </c>
      <c r="E387" s="83" t="inlineStr">
        <is>
          <t>Death care services</t>
        </is>
      </c>
      <c r="F387" s="84" t="inlineStr">
        <is>
          <t>812200</t>
        </is>
      </c>
      <c r="G387" s="83" t="n">
        <v>26753</v>
      </c>
      <c r="H387" s="83" t="n">
        <v>21338</v>
      </c>
      <c r="I387" s="88">
        <f>G387/H387</f>
        <v/>
      </c>
      <c r="J387" s="89" t="n"/>
      <c r="K387" s="89" t="n"/>
      <c r="L387" s="89">
        <f>L386-L380</f>
        <v/>
      </c>
      <c r="M387" s="89" t="n"/>
      <c r="N387" s="89" t="n"/>
    </row>
    <row r="388" ht="13.8" customHeight="1" s="82">
      <c r="A388" s="83" t="inlineStr">
        <is>
          <t>812300</t>
        </is>
      </c>
      <c r="B388" s="83" t="inlineStr">
        <is>
          <t>81</t>
        </is>
      </c>
      <c r="C388" s="83">
        <f>TRUE()</f>
        <v/>
      </c>
      <c r="D388" s="83" t="inlineStr">
        <is>
          <t>Other services, except government</t>
        </is>
      </c>
      <c r="E388" s="83" t="inlineStr">
        <is>
          <t>Dry-cleaning and laundry services</t>
        </is>
      </c>
      <c r="F388" s="84" t="inlineStr">
        <is>
          <t>812300</t>
        </is>
      </c>
      <c r="G388" s="83" t="n">
        <v>17632</v>
      </c>
      <c r="H388" s="83" t="n">
        <v>14091</v>
      </c>
      <c r="I388" s="88">
        <f>G388/H388</f>
        <v/>
      </c>
      <c r="J388" s="89" t="n"/>
      <c r="K388" s="89" t="n"/>
      <c r="L388" s="89">
        <f>L387/L380</f>
        <v/>
      </c>
      <c r="M388" s="89" t="n"/>
      <c r="N388" s="89" t="n"/>
    </row>
    <row r="389" ht="13.8" customHeight="1" s="82">
      <c r="A389" s="83" t="inlineStr">
        <is>
          <t>812900</t>
        </is>
      </c>
      <c r="B389" s="83" t="inlineStr">
        <is>
          <t>81</t>
        </is>
      </c>
      <c r="C389" s="83">
        <f>TRUE()</f>
        <v/>
      </c>
      <c r="D389" s="83" t="inlineStr">
        <is>
          <t>Other services, except government</t>
        </is>
      </c>
      <c r="E389" s="83" t="inlineStr">
        <is>
          <t>Other personal services</t>
        </is>
      </c>
      <c r="F389" s="84" t="inlineStr">
        <is>
          <t>812900</t>
        </is>
      </c>
      <c r="G389" s="83" t="n">
        <v>88328</v>
      </c>
      <c r="H389" s="83" t="n">
        <v>71772</v>
      </c>
      <c r="I389" s="88">
        <f>G389/H389</f>
        <v/>
      </c>
      <c r="J389" s="89" t="n"/>
      <c r="K389" s="89" t="n"/>
      <c r="L389" s="89" t="n"/>
      <c r="M389" s="89" t="n"/>
      <c r="N389" s="89" t="n"/>
      <c r="O389" s="90" t="n"/>
    </row>
    <row r="390" ht="13.8" customHeight="1" s="82">
      <c r="A390" s="86" t="inlineStr">
        <is>
          <t>813100</t>
        </is>
      </c>
      <c r="B390" s="86" t="inlineStr">
        <is>
          <t>81</t>
        </is>
      </c>
      <c r="C390" s="86">
        <f>TRUE()</f>
        <v/>
      </c>
      <c r="D390" s="86" t="inlineStr">
        <is>
          <t>Other services, except government</t>
        </is>
      </c>
      <c r="E390" s="86" t="inlineStr">
        <is>
          <t>Religious organizations</t>
        </is>
      </c>
      <c r="F390" s="91" t="inlineStr">
        <is>
          <t>813100</t>
        </is>
      </c>
      <c r="G390" s="86" t="n">
        <v>-428694</v>
      </c>
      <c r="H390" s="86" t="n">
        <v>100202</v>
      </c>
      <c r="I390" s="88">
        <f>G390/H390</f>
        <v/>
      </c>
      <c r="J390" s="89" t="n"/>
      <c r="K390" s="89" t="n"/>
      <c r="L390" s="89" t="n"/>
      <c r="M390" s="89" t="n"/>
      <c r="N390" s="89" t="n"/>
      <c r="O390" s="90" t="n"/>
    </row>
    <row r="391" ht="13.8" customHeight="1" s="82">
      <c r="A391" s="86" t="inlineStr">
        <is>
          <t>813A00</t>
        </is>
      </c>
      <c r="B391" s="86" t="inlineStr">
        <is>
          <t>81</t>
        </is>
      </c>
      <c r="C391" s="86">
        <f>TRUE()</f>
        <v/>
      </c>
      <c r="D391" s="86" t="inlineStr">
        <is>
          <t>Other services, except government</t>
        </is>
      </c>
      <c r="E391" s="86" t="inlineStr">
        <is>
          <t>Grantmaking, giving, and social advocacy organizations</t>
        </is>
      </c>
      <c r="F391" s="91" t="inlineStr">
        <is>
          <t>813A00</t>
        </is>
      </c>
      <c r="G391" s="86" t="n">
        <v>-245814</v>
      </c>
      <c r="H391" s="86" t="n">
        <v>58233</v>
      </c>
      <c r="I391" s="88">
        <f>G391/H391</f>
        <v/>
      </c>
      <c r="J391" s="88" t="n"/>
      <c r="O391" s="88" t="n"/>
    </row>
    <row r="392" ht="13.8" customHeight="1" s="82">
      <c r="A392" s="86" t="inlineStr">
        <is>
          <t>813B00</t>
        </is>
      </c>
      <c r="B392" s="86" t="inlineStr">
        <is>
          <t>81</t>
        </is>
      </c>
      <c r="C392" s="86">
        <f>TRUE()</f>
        <v/>
      </c>
      <c r="D392" s="86" t="inlineStr">
        <is>
          <t>Other services, except government</t>
        </is>
      </c>
      <c r="E392" s="86" t="inlineStr">
        <is>
          <t>Civic, social, professional, and similar organizations</t>
        </is>
      </c>
      <c r="F392" s="91" t="inlineStr">
        <is>
          <t>813B00</t>
        </is>
      </c>
      <c r="G392" s="86" t="n">
        <v>155960</v>
      </c>
      <c r="H392" s="86" t="n">
        <v>58624</v>
      </c>
      <c r="I392" s="88">
        <f>G392/H392</f>
        <v/>
      </c>
      <c r="J392" s="88" t="n"/>
      <c r="N392" s="88" t="n"/>
      <c r="O392" s="88" t="n"/>
    </row>
    <row r="393" ht="13.8" customHeight="1" s="82">
      <c r="A393" s="83" t="inlineStr">
        <is>
          <t>814000</t>
        </is>
      </c>
      <c r="B393" s="83" t="inlineStr">
        <is>
          <t>81</t>
        </is>
      </c>
      <c r="C393" s="83">
        <f>TRUE()</f>
        <v/>
      </c>
      <c r="D393" s="83" t="inlineStr">
        <is>
          <t>Other services, except government</t>
        </is>
      </c>
      <c r="E393" s="83" t="inlineStr">
        <is>
          <t>Private households</t>
        </is>
      </c>
      <c r="F393" s="84" t="inlineStr">
        <is>
          <t>814000</t>
        </is>
      </c>
      <c r="G393" s="83" t="n">
        <v>25046</v>
      </c>
      <c r="H393" s="83" t="n">
        <v>18684</v>
      </c>
      <c r="I393" s="88">
        <f>G393/H393</f>
        <v/>
      </c>
      <c r="J393" s="88" t="n"/>
      <c r="N393" s="88" t="n"/>
      <c r="O393" s="88" t="n"/>
    </row>
    <row r="394" ht="13.8" customHeight="1" s="82">
      <c r="A394" s="83" t="inlineStr">
        <is>
          <t>GSLGE</t>
        </is>
      </c>
      <c r="B394" s="83" t="inlineStr">
        <is>
          <t>GSLG</t>
        </is>
      </c>
      <c r="C394" s="83">
        <f>FALSE()</f>
        <v/>
      </c>
      <c r="D394" s="83" t="inlineStr">
        <is>
          <t>State and local general government</t>
        </is>
      </c>
      <c r="E394" s="83" t="inlineStr">
        <is>
          <t>State and local government (educational services)</t>
        </is>
      </c>
      <c r="F394" s="84" t="inlineStr">
        <is>
          <t>GSLGE</t>
        </is>
      </c>
      <c r="G394" s="83" t="n">
        <v>0</v>
      </c>
      <c r="H394" s="83" t="n">
        <v>0</v>
      </c>
      <c r="I394" s="88" t="n"/>
    </row>
    <row r="395" ht="13.8" customHeight="1" s="82">
      <c r="A395" s="83" t="inlineStr">
        <is>
          <t>GSLGH</t>
        </is>
      </c>
      <c r="B395" s="83" t="inlineStr">
        <is>
          <t>GSLG</t>
        </is>
      </c>
      <c r="C395" s="83">
        <f>FALSE()</f>
        <v/>
      </c>
      <c r="D395" s="83" t="inlineStr">
        <is>
          <t>State and local general government</t>
        </is>
      </c>
      <c r="E395" s="83" t="inlineStr">
        <is>
          <t>State and local government (hospitals and health services)</t>
        </is>
      </c>
      <c r="F395" s="84" t="inlineStr">
        <is>
          <t>GSLGH</t>
        </is>
      </c>
      <c r="G395" s="83" t="n">
        <v>0</v>
      </c>
      <c r="H395" s="83" t="n">
        <v>0</v>
      </c>
      <c r="I395" s="88" t="n"/>
      <c r="N395" s="90" t="n"/>
      <c r="O395" s="90" t="n"/>
    </row>
    <row r="396" ht="13.8" customHeight="1" s="82">
      <c r="A396" s="83" t="inlineStr">
        <is>
          <t>GSLGO</t>
        </is>
      </c>
      <c r="B396" s="83" t="inlineStr">
        <is>
          <t>GSLG</t>
        </is>
      </c>
      <c r="C396" s="83">
        <f>FALSE()</f>
        <v/>
      </c>
      <c r="D396" s="83" t="inlineStr">
        <is>
          <t>State and local general government</t>
        </is>
      </c>
      <c r="E396" s="83" t="inlineStr">
        <is>
          <t>State and local government (other services)</t>
        </is>
      </c>
      <c r="F396" s="84" t="inlineStr">
        <is>
          <t>GSLGO</t>
        </is>
      </c>
      <c r="G396" s="83" t="n">
        <v>0</v>
      </c>
      <c r="H396" s="83" t="n">
        <v>0</v>
      </c>
      <c r="I396" s="88" t="n"/>
      <c r="N396" s="90" t="n"/>
      <c r="O396" s="90" t="n"/>
    </row>
    <row r="397" ht="13.8" customHeight="1" s="82">
      <c r="A397" s="83" t="inlineStr">
        <is>
          <t>S00102</t>
        </is>
      </c>
      <c r="B397" s="83" t="inlineStr">
        <is>
          <t>GFE</t>
        </is>
      </c>
      <c r="C397" s="83">
        <f>FALSE()</f>
        <v/>
      </c>
      <c r="D397" s="83" t="inlineStr">
        <is>
          <t>Federal government enterprises</t>
        </is>
      </c>
      <c r="E397" s="83" t="inlineStr">
        <is>
          <t>Other federal government enterprises</t>
        </is>
      </c>
      <c r="F397" s="84" t="inlineStr">
        <is>
          <t>S00102</t>
        </is>
      </c>
      <c r="G397" s="83" t="n">
        <v>0</v>
      </c>
      <c r="H397" s="83" t="n">
        <v>0</v>
      </c>
      <c r="I397" s="88" t="n"/>
    </row>
    <row r="398" ht="13.8" customHeight="1" s="82">
      <c r="A398" s="83" t="inlineStr">
        <is>
          <t>S00203</t>
        </is>
      </c>
      <c r="B398" s="83" t="inlineStr">
        <is>
          <t>GSLE</t>
        </is>
      </c>
      <c r="C398" s="83">
        <f>FALSE()</f>
        <v/>
      </c>
      <c r="D398" s="83" t="inlineStr">
        <is>
          <t>State and local government enterprises</t>
        </is>
      </c>
      <c r="E398" s="83" t="inlineStr">
        <is>
          <t>Other state and local government enterprises</t>
        </is>
      </c>
      <c r="F398" s="84" t="inlineStr">
        <is>
          <t>S00203</t>
        </is>
      </c>
      <c r="G398" s="83" t="n">
        <v>86073</v>
      </c>
      <c r="H398" s="83" t="n">
        <v>72509</v>
      </c>
      <c r="I398" s="88">
        <f>G398/H398</f>
        <v/>
      </c>
    </row>
    <row r="399" ht="13.8" customHeight="1" s="82">
      <c r="A399" s="83" t="inlineStr">
        <is>
          <t>S00300</t>
        </is>
      </c>
      <c r="B399" s="83" t="inlineStr">
        <is>
          <t>OTHER</t>
        </is>
      </c>
      <c r="C399" s="83">
        <f>FALSE()</f>
        <v/>
      </c>
      <c r="D399" s="83" t="inlineStr">
        <is>
          <t>Noncomparable imports and rest-of-the-world adjustment</t>
        </is>
      </c>
      <c r="E399" s="83" t="inlineStr">
        <is>
          <t>Noncomparable imports</t>
        </is>
      </c>
      <c r="F399" s="84" t="inlineStr">
        <is>
          <t>S00300</t>
        </is>
      </c>
      <c r="G399" s="83" t="n">
        <v>113668</v>
      </c>
      <c r="H399" s="83" t="n">
        <v>110221</v>
      </c>
      <c r="I399" s="88">
        <f>G399/H399</f>
        <v/>
      </c>
      <c r="N399" s="83" t="n"/>
    </row>
    <row r="400" ht="13.8" customHeight="1" s="82">
      <c r="A400" s="83" t="inlineStr">
        <is>
          <t>S00401</t>
        </is>
      </c>
      <c r="B400" s="83" t="inlineStr">
        <is>
          <t>USED</t>
        </is>
      </c>
      <c r="C400" s="83">
        <f>FALSE()</f>
        <v/>
      </c>
      <c r="D400" s="83" t="inlineStr">
        <is>
          <t>Scrap, used and secondhand goods</t>
        </is>
      </c>
      <c r="E400" s="83" t="inlineStr">
        <is>
          <t>Scrap</t>
        </is>
      </c>
      <c r="F400" s="84" t="inlineStr">
        <is>
          <t>S00401</t>
        </is>
      </c>
      <c r="G400" s="83" t="n">
        <v>-18609</v>
      </c>
      <c r="H400" s="83" t="n">
        <v>-12990</v>
      </c>
      <c r="I400" s="88">
        <f>G400/H400</f>
        <v/>
      </c>
    </row>
    <row r="401" ht="13.8" customHeight="1" s="82">
      <c r="A401" s="83" t="inlineStr">
        <is>
          <t>S00402</t>
        </is>
      </c>
      <c r="B401" s="83" t="inlineStr">
        <is>
          <t>USED</t>
        </is>
      </c>
      <c r="C401" s="83">
        <f>FALSE()</f>
        <v/>
      </c>
      <c r="D401" s="83" t="inlineStr">
        <is>
          <t>Scrap, used and secondhand goods</t>
        </is>
      </c>
      <c r="E401" s="83" t="inlineStr">
        <is>
          <t>Used and secondhand goods</t>
        </is>
      </c>
      <c r="F401" s="84" t="inlineStr">
        <is>
          <t>S00402</t>
        </is>
      </c>
      <c r="G401" s="83" t="n">
        <v>321867</v>
      </c>
      <c r="H401" s="83" t="n">
        <v>222777</v>
      </c>
      <c r="I401" s="88">
        <f>G401/H401</f>
        <v/>
      </c>
    </row>
    <row r="402" ht="13.8" customHeight="1" s="82">
      <c r="A402" s="83" t="inlineStr">
        <is>
          <t>S00500</t>
        </is>
      </c>
      <c r="B402" s="83" t="inlineStr">
        <is>
          <t>GFGD</t>
        </is>
      </c>
      <c r="C402" s="83">
        <f>FALSE()</f>
        <v/>
      </c>
      <c r="D402" s="83" t="inlineStr">
        <is>
          <t>Federal general government (defense)</t>
        </is>
      </c>
      <c r="E402" s="83" t="inlineStr">
        <is>
          <t>Federal general government (defense)</t>
        </is>
      </c>
      <c r="F402" s="84" t="inlineStr">
        <is>
          <t>S00500</t>
        </is>
      </c>
      <c r="G402" s="83" t="n">
        <v>0</v>
      </c>
      <c r="H402" s="83" t="n">
        <v>0</v>
      </c>
      <c r="I402" s="88" t="n"/>
    </row>
    <row r="403" ht="13.8" customHeight="1" s="82">
      <c r="A403" s="83" t="inlineStr">
        <is>
          <t>S00600</t>
        </is>
      </c>
      <c r="B403" s="83" t="inlineStr">
        <is>
          <t>GFGN</t>
        </is>
      </c>
      <c r="C403" s="83">
        <f>FALSE()</f>
        <v/>
      </c>
      <c r="D403" s="83" t="inlineStr">
        <is>
          <t>Federal general government (nondefense)</t>
        </is>
      </c>
      <c r="E403" s="83" t="inlineStr">
        <is>
          <t>Federal general government (nondefense)</t>
        </is>
      </c>
      <c r="F403" s="84" t="inlineStr">
        <is>
          <t>S00600</t>
        </is>
      </c>
      <c r="G403" s="83" t="n">
        <v>0</v>
      </c>
      <c r="H403" s="83" t="n">
        <v>0</v>
      </c>
      <c r="I403" s="88" t="n"/>
    </row>
    <row r="404" ht="13.8" customHeight="1" s="82">
      <c r="A404" s="83" t="inlineStr">
        <is>
          <t>S00900</t>
        </is>
      </c>
      <c r="B404" s="83" t="inlineStr">
        <is>
          <t>OTHER</t>
        </is>
      </c>
      <c r="C404" s="83">
        <f>FALSE()</f>
        <v/>
      </c>
      <c r="D404" s="83" t="inlineStr">
        <is>
          <t>Noncomparable imports and rest-of-the-world adjustment</t>
        </is>
      </c>
      <c r="E404" s="83" t="inlineStr">
        <is>
          <t>Rest of the world adjustment</t>
        </is>
      </c>
      <c r="F404" s="84" t="inlineStr">
        <is>
          <t>S00900</t>
        </is>
      </c>
      <c r="G404" s="83" t="n">
        <v>-145368</v>
      </c>
      <c r="H404" s="83" t="n">
        <v>-200997</v>
      </c>
      <c r="I404" s="88">
        <f>G404/H404</f>
        <v/>
      </c>
    </row>
    <row r="405" ht="12.8" customHeight="1" s="82">
      <c r="G405" s="83" t="n"/>
      <c r="H405" s="83" t="n"/>
      <c r="I405" s="88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7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8" activeCellId="0" sqref="A8"/>
    </sheetView>
  </sheetViews>
  <sheetFormatPr baseColWidth="8" defaultColWidth="11.53515625" defaultRowHeight="12.8" zeroHeight="0" outlineLevelRow="0"/>
  <cols>
    <col width="11.53" customWidth="1" style="92" min="2" max="2"/>
    <col width="11.53" customWidth="1" style="93" min="4" max="4"/>
    <col width="11.53" customWidth="1" style="92" min="9" max="9"/>
    <col width="11.53" customWidth="1" style="93" min="11" max="11"/>
    <col width="16.19" customWidth="1" style="83" min="16" max="16"/>
  </cols>
  <sheetData>
    <row r="1" ht="12.8" customHeight="1" s="82">
      <c r="B1" s="92" t="inlineStr">
        <is>
          <t>bea</t>
        </is>
      </c>
      <c r="C1" s="83" t="inlineStr">
        <is>
          <t>bea</t>
        </is>
      </c>
      <c r="D1" s="93" t="inlineStr">
        <is>
          <t>bea</t>
        </is>
      </c>
      <c r="E1" s="83" t="inlineStr">
        <is>
          <t>sut</t>
        </is>
      </c>
      <c r="F1" s="83" t="inlineStr">
        <is>
          <t>sut</t>
        </is>
      </c>
      <c r="G1" s="83" t="inlineStr">
        <is>
          <t>sut</t>
        </is>
      </c>
      <c r="H1" s="83" t="inlineStr">
        <is>
          <t>sut</t>
        </is>
      </c>
      <c r="I1" s="92" t="inlineStr">
        <is>
          <t>ratio</t>
        </is>
      </c>
      <c r="J1" s="83" t="inlineStr">
        <is>
          <t>ratio</t>
        </is>
      </c>
      <c r="K1" s="93" t="inlineStr">
        <is>
          <t>ratio</t>
        </is>
      </c>
      <c r="L1" s="83" t="inlineStr">
        <is>
          <t>diff</t>
        </is>
      </c>
      <c r="M1" s="83" t="inlineStr">
        <is>
          <t>diff</t>
        </is>
      </c>
      <c r="N1" s="83" t="inlineStr">
        <is>
          <t>diff</t>
        </is>
      </c>
    </row>
    <row r="2" ht="12.8" customHeight="1" s="82">
      <c r="A2" s="94" t="inlineStr">
        <is>
          <t>code</t>
        </is>
      </c>
      <c r="B2" s="95" t="inlineStr">
        <is>
          <t>wages</t>
        </is>
      </c>
      <c r="C2" s="94" t="inlineStr">
        <is>
          <t>nettax</t>
        </is>
      </c>
      <c r="D2" s="96" t="inlineStr">
        <is>
          <t>surplus</t>
        </is>
      </c>
      <c r="E2" s="94" t="inlineStr">
        <is>
          <t>wages</t>
        </is>
      </c>
      <c r="F2" s="94" t="inlineStr">
        <is>
          <t>nettax</t>
        </is>
      </c>
      <c r="G2" s="94" t="inlineStr">
        <is>
          <t>extratax</t>
        </is>
      </c>
      <c r="H2" s="94" t="inlineStr">
        <is>
          <t>surplus</t>
        </is>
      </c>
      <c r="I2" s="95" t="inlineStr">
        <is>
          <t>wages</t>
        </is>
      </c>
      <c r="J2" s="94" t="inlineStr">
        <is>
          <t>nettax</t>
        </is>
      </c>
      <c r="K2" s="96" t="inlineStr">
        <is>
          <t>surplus</t>
        </is>
      </c>
      <c r="L2" s="94" t="inlineStr">
        <is>
          <t>wages</t>
        </is>
      </c>
      <c r="M2" s="94" t="inlineStr">
        <is>
          <t>nettax</t>
        </is>
      </c>
      <c r="N2" s="94" t="inlineStr">
        <is>
          <t>surplus</t>
        </is>
      </c>
      <c r="O2" s="94" t="inlineStr">
        <is>
          <t>select</t>
        </is>
      </c>
      <c r="P2" s="94" t="inlineStr">
        <is>
          <t>comment</t>
        </is>
      </c>
    </row>
    <row r="3" ht="12.8" customHeight="1" s="82">
      <c r="A3" s="86" t="inlineStr">
        <is>
          <t>441</t>
        </is>
      </c>
      <c r="B3" s="97" t="n">
        <v>162073</v>
      </c>
      <c r="C3" s="86" t="n">
        <v>70232</v>
      </c>
      <c r="D3" s="98" t="n">
        <v>109738</v>
      </c>
      <c r="E3" s="86" t="n">
        <v>162259</v>
      </c>
      <c r="F3" s="86" t="n">
        <v>3488</v>
      </c>
      <c r="G3" s="86" t="n">
        <v>66281</v>
      </c>
      <c r="H3" s="86" t="n">
        <v>115345</v>
      </c>
      <c r="I3" s="99">
        <f>E3/B3</f>
        <v/>
      </c>
      <c r="J3" s="100">
        <f>(F3+G3)/C3</f>
        <v/>
      </c>
      <c r="K3" s="101">
        <f>H3/D3</f>
        <v/>
      </c>
      <c r="L3" s="86">
        <f>(E3-B3)</f>
        <v/>
      </c>
      <c r="M3" s="86">
        <f>(F3+G3-C3)</f>
        <v/>
      </c>
      <c r="N3" s="86">
        <f>(H3-D3)</f>
        <v/>
      </c>
      <c r="O3" s="86" t="inlineStr">
        <is>
          <t>trade</t>
        </is>
      </c>
      <c r="P3" s="86" t="n"/>
    </row>
    <row r="4" ht="12.8" customHeight="1" s="82">
      <c r="A4" s="86" t="inlineStr">
        <is>
          <t>445</t>
        </is>
      </c>
      <c r="B4" s="97" t="n">
        <v>121454</v>
      </c>
      <c r="C4" s="86" t="n">
        <v>52631</v>
      </c>
      <c r="D4" s="98" t="n">
        <v>82235</v>
      </c>
      <c r="E4" s="86" t="n">
        <v>121414</v>
      </c>
      <c r="F4" s="86" t="n">
        <v>3609</v>
      </c>
      <c r="G4" s="86" t="n">
        <v>32237</v>
      </c>
      <c r="H4" s="86" t="n">
        <v>57346</v>
      </c>
      <c r="I4" s="99">
        <f>E4/B4</f>
        <v/>
      </c>
      <c r="J4" s="100">
        <f>(F4+G4)/C4</f>
        <v/>
      </c>
      <c r="K4" s="101">
        <f>H4/D4</f>
        <v/>
      </c>
      <c r="L4" s="86">
        <f>(E4-B4)</f>
        <v/>
      </c>
      <c r="M4" s="86">
        <f>(F4+G4-C4)</f>
        <v/>
      </c>
      <c r="N4" s="86">
        <f>(H4-D4)</f>
        <v/>
      </c>
      <c r="O4" s="86" t="inlineStr">
        <is>
          <t>trade</t>
        </is>
      </c>
      <c r="P4" s="86" t="inlineStr">
        <is>
          <t>add diff to 454000</t>
        </is>
      </c>
    </row>
    <row r="5" ht="12.8" customHeight="1" s="82">
      <c r="A5" s="86" t="inlineStr">
        <is>
          <t>452</t>
        </is>
      </c>
      <c r="B5" s="97" t="n">
        <v>115271</v>
      </c>
      <c r="C5" s="86" t="n">
        <v>49951</v>
      </c>
      <c r="D5" s="98" t="n">
        <v>78049</v>
      </c>
      <c r="E5" s="86" t="n">
        <v>114934</v>
      </c>
      <c r="F5" s="86" t="n">
        <v>2672</v>
      </c>
      <c r="G5" s="86" t="n">
        <v>54001</v>
      </c>
      <c r="H5" s="86" t="n">
        <v>25005</v>
      </c>
      <c r="I5" s="99">
        <f>E5/B5</f>
        <v/>
      </c>
      <c r="J5" s="100">
        <f>(F5+G5)/C5</f>
        <v/>
      </c>
      <c r="K5" s="101">
        <f>H5/D5</f>
        <v/>
      </c>
      <c r="L5" s="86">
        <f>(E5-B5)</f>
        <v/>
      </c>
      <c r="M5" s="86">
        <f>(F5+G5-C5)</f>
        <v/>
      </c>
      <c r="N5" s="86">
        <f>(H5-D5)</f>
        <v/>
      </c>
      <c r="O5" s="86" t="inlineStr">
        <is>
          <t>trade</t>
        </is>
      </c>
      <c r="P5" s="86" t="inlineStr">
        <is>
          <t>add diff to 454000</t>
        </is>
      </c>
    </row>
    <row r="6" ht="12.8" customHeight="1" s="82">
      <c r="A6" s="86" t="inlineStr">
        <is>
          <t>4A0</t>
        </is>
      </c>
      <c r="B6" s="97" t="n">
        <v>369311</v>
      </c>
      <c r="C6" s="86" t="n">
        <v>160035</v>
      </c>
      <c r="D6" s="98" t="n">
        <v>250057</v>
      </c>
      <c r="E6" s="86" t="n">
        <v>369509</v>
      </c>
      <c r="F6" s="86" t="n">
        <v>17476</v>
      </c>
      <c r="G6" s="86" t="n">
        <v>153084</v>
      </c>
      <c r="H6" s="86" t="n">
        <v>322372</v>
      </c>
      <c r="I6" s="99">
        <f>E6/B6</f>
        <v/>
      </c>
      <c r="J6" s="100">
        <f>(F6+G6)/C6</f>
        <v/>
      </c>
      <c r="K6" s="101">
        <f>H6/D6</f>
        <v/>
      </c>
      <c r="L6" s="86">
        <f>(E6-B6)</f>
        <v/>
      </c>
      <c r="M6" s="86">
        <f>(F6+G6-C6)</f>
        <v/>
      </c>
      <c r="N6" s="86">
        <f>(H6-D6)</f>
        <v/>
      </c>
      <c r="O6" s="86" t="inlineStr">
        <is>
          <t>trade</t>
        </is>
      </c>
      <c r="P6" s="86" t="n"/>
    </row>
    <row r="7" ht="12.8" customHeight="1" s="82">
      <c r="A7" s="102" t="inlineStr">
        <is>
          <t>HS</t>
        </is>
      </c>
      <c r="B7" s="103" t="n">
        <v>27637</v>
      </c>
      <c r="C7" s="102" t="n">
        <v>54923</v>
      </c>
      <c r="D7" s="104" t="n">
        <v>439384</v>
      </c>
      <c r="E7" s="102" t="n">
        <v>25664</v>
      </c>
      <c r="F7" s="102" t="n">
        <v>312331</v>
      </c>
      <c r="G7" s="102" t="n">
        <v>-23155</v>
      </c>
      <c r="H7" s="102" t="n">
        <v>2025649</v>
      </c>
      <c r="I7" s="105">
        <f>E7/B7</f>
        <v/>
      </c>
      <c r="J7" s="106">
        <f>(F7+G7)/C7</f>
        <v/>
      </c>
      <c r="K7" s="107">
        <f>H7/D7</f>
        <v/>
      </c>
      <c r="L7" s="102">
        <f>(E7-B7)</f>
        <v/>
      </c>
      <c r="M7" s="102">
        <f>(F7+G7-C7)</f>
        <v/>
      </c>
      <c r="N7" s="102">
        <f>(H7-D7)</f>
        <v/>
      </c>
      <c r="O7" s="102" t="inlineStr">
        <is>
          <t>residential</t>
        </is>
      </c>
      <c r="P7" s="102" t="inlineStr">
        <is>
          <t>add diff to 531HSO</t>
        </is>
      </c>
    </row>
    <row r="8" ht="12.8" customHeight="1" s="82">
      <c r="A8" s="102" t="inlineStr">
        <is>
          <t>ORE</t>
        </is>
      </c>
      <c r="B8" s="103" t="n">
        <v>135473</v>
      </c>
      <c r="C8" s="102" t="n">
        <v>269226</v>
      </c>
      <c r="D8" s="104" t="n">
        <v>2153808</v>
      </c>
      <c r="E8" s="102" t="n">
        <v>137462</v>
      </c>
      <c r="F8" s="102" t="n">
        <v>34585</v>
      </c>
      <c r="G8" s="102" t="n">
        <v>393</v>
      </c>
      <c r="H8" s="102" t="n">
        <v>567472</v>
      </c>
      <c r="I8" s="105">
        <f>E8/B8</f>
        <v/>
      </c>
      <c r="J8" s="106">
        <f>(F8+G8)/C8</f>
        <v/>
      </c>
      <c r="K8" s="107">
        <f>H8/D8</f>
        <v/>
      </c>
      <c r="L8" s="102">
        <f>(E8-B8)</f>
        <v/>
      </c>
      <c r="M8" s="102">
        <f>(F8+G8-C8)</f>
        <v/>
      </c>
      <c r="N8" s="102">
        <f>(H8-D8)</f>
        <v/>
      </c>
      <c r="O8" s="102" t="inlineStr">
        <is>
          <t>residential</t>
        </is>
      </c>
      <c r="P8" s="102" t="inlineStr">
        <is>
          <t>diff = 0.5*((ORE_BEA - ORE_SUT) – (HS_BEA-HS_SUT))</t>
        </is>
      </c>
    </row>
    <row r="9" ht="12.8" customHeight="1" s="82">
      <c r="A9" s="108" t="inlineStr">
        <is>
          <t>GFE</t>
        </is>
      </c>
      <c r="B9" s="109" t="n">
        <v>85583</v>
      </c>
      <c r="C9" s="108" t="n">
        <v>-2569</v>
      </c>
      <c r="D9" s="110" t="n">
        <v>36030</v>
      </c>
      <c r="E9" s="108" t="n">
        <v>68173</v>
      </c>
      <c r="F9" s="108" t="n">
        <v>0</v>
      </c>
      <c r="G9" s="108" t="n">
        <v>-11939</v>
      </c>
      <c r="H9" s="108" t="n">
        <v>18630</v>
      </c>
      <c r="I9" s="111">
        <f>E9/B9</f>
        <v/>
      </c>
      <c r="J9" s="112">
        <f>(F9+G9)/C9</f>
        <v/>
      </c>
      <c r="K9" s="113">
        <f>H9/D9</f>
        <v/>
      </c>
      <c r="L9" s="108">
        <f>(E9-B9)</f>
        <v/>
      </c>
      <c r="M9" s="108">
        <f>(F9+G9-C9)</f>
        <v/>
      </c>
      <c r="N9" s="108">
        <f>(H9-D9)</f>
        <v/>
      </c>
      <c r="O9" s="108" t="inlineStr">
        <is>
          <t>government</t>
        </is>
      </c>
      <c r="P9" s="108" t="inlineStr">
        <is>
          <t>add diff to S00102</t>
        </is>
      </c>
    </row>
    <row r="10" ht="12.8" customHeight="1" s="82">
      <c r="A10" s="108" t="inlineStr">
        <is>
          <t>GFGD</t>
        </is>
      </c>
      <c r="B10" s="109" t="n">
        <v>157200</v>
      </c>
      <c r="C10" s="108" t="n">
        <v>1</v>
      </c>
      <c r="D10" s="110" t="n">
        <v>82327</v>
      </c>
      <c r="E10" s="108" t="n">
        <v>301498</v>
      </c>
      <c r="F10" s="108" t="n">
        <v>0</v>
      </c>
      <c r="G10" s="108" t="n">
        <v>0</v>
      </c>
      <c r="H10" s="108" t="n">
        <v>190944</v>
      </c>
      <c r="I10" s="111">
        <f>E10/B10</f>
        <v/>
      </c>
      <c r="J10" s="112">
        <f>(F10+G10)/C10</f>
        <v/>
      </c>
      <c r="K10" s="113">
        <f>H10/D10</f>
        <v/>
      </c>
      <c r="L10" s="108">
        <f>(E10-B10)</f>
        <v/>
      </c>
      <c r="M10" s="108">
        <f>(F10+G10-C10)</f>
        <v/>
      </c>
      <c r="N10" s="108">
        <f>(H10-D10)</f>
        <v/>
      </c>
      <c r="O10" s="108" t="inlineStr">
        <is>
          <t>government</t>
        </is>
      </c>
      <c r="P10" s="108" t="n"/>
    </row>
    <row r="11" ht="12.8" customHeight="1" s="82">
      <c r="A11" s="108" t="inlineStr">
        <is>
          <t>GFGN</t>
        </is>
      </c>
      <c r="B11" s="109" t="n">
        <v>312258</v>
      </c>
      <c r="C11" s="108" t="n">
        <v>-9371</v>
      </c>
      <c r="D11" s="110" t="n">
        <v>131460</v>
      </c>
      <c r="E11" s="108" t="n">
        <v>223249</v>
      </c>
      <c r="F11" s="108" t="n">
        <v>0</v>
      </c>
      <c r="G11" s="108" t="n">
        <v>0</v>
      </c>
      <c r="H11" s="108" t="n">
        <v>148857</v>
      </c>
      <c r="I11" s="111">
        <f>E11/B11</f>
        <v/>
      </c>
      <c r="J11" s="112">
        <f>(F11+G11)/C11</f>
        <v/>
      </c>
      <c r="K11" s="113">
        <f>H11/D11</f>
        <v/>
      </c>
      <c r="L11" s="108">
        <f>(E11-B11)</f>
        <v/>
      </c>
      <c r="M11" s="108">
        <f>(F11+G11-C11)</f>
        <v/>
      </c>
      <c r="N11" s="108">
        <f>(H11-D11)</f>
        <v/>
      </c>
      <c r="O11" s="108" t="inlineStr">
        <is>
          <t>government</t>
        </is>
      </c>
      <c r="P11" s="108" t="n"/>
    </row>
    <row r="12" ht="12.8" customHeight="1" s="82">
      <c r="A12" s="108" t="inlineStr">
        <is>
          <t>GSLE</t>
        </is>
      </c>
      <c r="B12" s="109" t="n">
        <v>39858</v>
      </c>
      <c r="C12" s="108" t="n">
        <v>-1138</v>
      </c>
      <c r="D12" s="110" t="n">
        <v>8756</v>
      </c>
      <c r="E12" s="108" t="n">
        <v>123019</v>
      </c>
      <c r="F12" s="108" t="n">
        <v>0</v>
      </c>
      <c r="G12" s="108" t="n">
        <v>-47865</v>
      </c>
      <c r="H12" s="108" t="n">
        <v>83487</v>
      </c>
      <c r="I12" s="111">
        <f>E12/B12</f>
        <v/>
      </c>
      <c r="J12" s="112">
        <f>(F12+G12)/C12</f>
        <v/>
      </c>
      <c r="K12" s="113">
        <f>H12/D12</f>
        <v/>
      </c>
      <c r="L12" s="108">
        <f>(E12-B12)</f>
        <v/>
      </c>
      <c r="M12" s="108">
        <f>(F12+G12-C12)</f>
        <v/>
      </c>
      <c r="N12" s="108">
        <f>(H12-D12)</f>
        <v/>
      </c>
      <c r="O12" s="108" t="inlineStr">
        <is>
          <t>government</t>
        </is>
      </c>
      <c r="P12" s="108" t="inlineStr">
        <is>
          <t>add diff to S00203, wages and surplus</t>
        </is>
      </c>
    </row>
    <row r="13" ht="12.8" customHeight="1" s="82">
      <c r="A13" s="108" t="inlineStr">
        <is>
          <t>GSLG</t>
        </is>
      </c>
      <c r="B13" s="109" t="n">
        <v>1636879</v>
      </c>
      <c r="C13" s="108" t="n">
        <v>-46726</v>
      </c>
      <c r="D13" s="110" t="n">
        <v>359574</v>
      </c>
      <c r="E13" s="108" t="n">
        <v>1553722</v>
      </c>
      <c r="F13" s="108" t="n">
        <v>0</v>
      </c>
      <c r="G13" s="108" t="n">
        <v>0</v>
      </c>
      <c r="H13" s="108" t="n">
        <v>284838</v>
      </c>
      <c r="I13" s="111">
        <f>E13/B13</f>
        <v/>
      </c>
      <c r="J13" s="112">
        <f>(F13+G13)/C13</f>
        <v/>
      </c>
      <c r="K13" s="113">
        <f>H13/D13</f>
        <v/>
      </c>
      <c r="L13" s="108">
        <f>(E13-B13)</f>
        <v/>
      </c>
      <c r="M13" s="108">
        <f>(F13+G13-C13)</f>
        <v/>
      </c>
      <c r="N13" s="108">
        <f>(H13-D13)</f>
        <v/>
      </c>
      <c r="O13" s="108" t="inlineStr">
        <is>
          <t>government</t>
        </is>
      </c>
      <c r="P13" s="108" t="n"/>
    </row>
    <row r="14" ht="12.8" customHeight="1" s="82">
      <c r="A14" s="83" t="inlineStr">
        <is>
          <t>111CA</t>
        </is>
      </c>
      <c r="B14" s="92" t="n">
        <v>32836</v>
      </c>
      <c r="C14" s="83" t="n">
        <v>-1278</v>
      </c>
      <c r="D14" s="93" t="n">
        <v>191957</v>
      </c>
      <c r="E14" s="83" t="n">
        <v>32831</v>
      </c>
      <c r="F14" s="83" t="n">
        <v>11957</v>
      </c>
      <c r="G14" s="83" t="n">
        <v>-13234</v>
      </c>
      <c r="H14" s="83" t="n">
        <v>191963</v>
      </c>
      <c r="I14" s="114">
        <f>E14/B14</f>
        <v/>
      </c>
      <c r="J14" s="85">
        <f>(F14+G14)/C14</f>
        <v/>
      </c>
      <c r="K14" s="115">
        <f>H14/D14</f>
        <v/>
      </c>
      <c r="L14" s="83">
        <f>(E14-B14)</f>
        <v/>
      </c>
      <c r="M14" s="83">
        <f>(F14+G14-C14)</f>
        <v/>
      </c>
      <c r="N14" s="83">
        <f>(H14-D14)</f>
        <v/>
      </c>
    </row>
    <row r="15" ht="12.8" customHeight="1" s="82">
      <c r="A15" s="83" t="inlineStr">
        <is>
          <t>113FF</t>
        </is>
      </c>
      <c r="B15" s="92" t="n">
        <v>31353</v>
      </c>
      <c r="C15" s="83" t="n">
        <v>2630</v>
      </c>
      <c r="D15" s="93" t="n">
        <v>13324</v>
      </c>
      <c r="E15" s="83" t="n">
        <v>31335</v>
      </c>
      <c r="F15" s="83" t="n">
        <v>1504</v>
      </c>
      <c r="G15" s="83" t="n">
        <v>1127</v>
      </c>
      <c r="H15" s="83" t="n">
        <v>13339</v>
      </c>
      <c r="I15" s="114">
        <f>E15/B15</f>
        <v/>
      </c>
      <c r="J15" s="85">
        <f>(F15+G15)/C15</f>
        <v/>
      </c>
      <c r="K15" s="115">
        <f>H15/D15</f>
        <v/>
      </c>
      <c r="L15" s="83">
        <f>(E15-B15)</f>
        <v/>
      </c>
      <c r="M15" s="83">
        <f>(F15+G15-C15)</f>
        <v/>
      </c>
      <c r="N15" s="83">
        <f>(H15-D15)</f>
        <v/>
      </c>
    </row>
    <row r="16" ht="12.8" customHeight="1" s="82">
      <c r="A16" s="83" t="inlineStr">
        <is>
          <t>211</t>
        </is>
      </c>
      <c r="B16" s="92" t="n">
        <v>26379</v>
      </c>
      <c r="C16" s="83" t="n">
        <v>52299</v>
      </c>
      <c r="D16" s="93" t="n">
        <v>245847</v>
      </c>
      <c r="E16" s="83" t="n">
        <v>26384</v>
      </c>
      <c r="F16" s="83" t="n">
        <v>27936</v>
      </c>
      <c r="G16" s="83" t="n">
        <v>24362</v>
      </c>
      <c r="H16" s="83" t="n">
        <v>245841</v>
      </c>
      <c r="I16" s="114">
        <f>E16/B16</f>
        <v/>
      </c>
      <c r="J16" s="85">
        <f>(F16+G16)/C16</f>
        <v/>
      </c>
      <c r="K16" s="115">
        <f>H16/D16</f>
        <v/>
      </c>
      <c r="L16" s="83">
        <f>(E16-B16)</f>
        <v/>
      </c>
      <c r="M16" s="83">
        <f>(F16+G16-C16)</f>
        <v/>
      </c>
      <c r="N16" s="83">
        <f>(H16-D16)</f>
        <v/>
      </c>
    </row>
    <row r="17" ht="12.8" customHeight="1" s="82">
      <c r="A17" s="83" t="inlineStr">
        <is>
          <t>212</t>
        </is>
      </c>
      <c r="B17" s="92" t="n">
        <v>20546</v>
      </c>
      <c r="C17" s="83" t="n">
        <v>8915</v>
      </c>
      <c r="D17" s="93" t="n">
        <v>48829</v>
      </c>
      <c r="E17" s="83" t="n">
        <v>20550</v>
      </c>
      <c r="F17" s="83" t="n">
        <v>3373</v>
      </c>
      <c r="G17" s="83" t="n">
        <v>5542</v>
      </c>
      <c r="H17" s="83" t="n">
        <v>48823</v>
      </c>
      <c r="I17" s="114">
        <f>E17/B17</f>
        <v/>
      </c>
      <c r="J17" s="85">
        <f>(F17+G17)/C17</f>
        <v/>
      </c>
      <c r="K17" s="115">
        <f>H17/D17</f>
        <v/>
      </c>
      <c r="L17" s="83">
        <f>(E17-B17)</f>
        <v/>
      </c>
      <c r="M17" s="83">
        <f>(F17+G17-C17)</f>
        <v/>
      </c>
      <c r="N17" s="83">
        <f>(H17-D17)</f>
        <v/>
      </c>
    </row>
    <row r="18" ht="12.8" customHeight="1" s="82">
      <c r="A18" s="83" t="inlineStr">
        <is>
          <t>213</t>
        </is>
      </c>
      <c r="B18" s="92" t="n">
        <v>30955</v>
      </c>
      <c r="C18" s="83" t="n">
        <v>2502</v>
      </c>
      <c r="D18" s="93" t="n">
        <v>21169</v>
      </c>
      <c r="E18" s="83" t="n">
        <v>30977</v>
      </c>
      <c r="F18" s="83" t="n">
        <v>2278</v>
      </c>
      <c r="G18" s="83" t="n">
        <v>223</v>
      </c>
      <c r="H18" s="83" t="n">
        <v>21148</v>
      </c>
      <c r="I18" s="114">
        <f>E18/B18</f>
        <v/>
      </c>
      <c r="J18" s="85">
        <f>(F18+G18)/C18</f>
        <v/>
      </c>
      <c r="K18" s="115">
        <f>H18/D18</f>
        <v/>
      </c>
      <c r="L18" s="83">
        <f>(E18-B18)</f>
        <v/>
      </c>
      <c r="M18" s="83">
        <f>(F18+G18-C18)</f>
        <v/>
      </c>
      <c r="N18" s="83">
        <f>(H18-D18)</f>
        <v/>
      </c>
    </row>
    <row r="19" ht="12.8" customHeight="1" s="82">
      <c r="A19" s="83" t="inlineStr">
        <is>
          <t>22</t>
        </is>
      </c>
      <c r="B19" s="92" t="n">
        <v>95806</v>
      </c>
      <c r="C19" s="83" t="n">
        <v>76082</v>
      </c>
      <c r="D19" s="93" t="n">
        <v>266327</v>
      </c>
      <c r="E19" s="83" t="n">
        <v>95750</v>
      </c>
      <c r="F19" s="83" t="n">
        <v>40166</v>
      </c>
      <c r="G19" s="83" t="n">
        <v>35916</v>
      </c>
      <c r="H19" s="83" t="n">
        <v>266374</v>
      </c>
      <c r="I19" s="114">
        <f>E19/B19</f>
        <v/>
      </c>
      <c r="J19" s="85">
        <f>(F19+G19)/C19</f>
        <v/>
      </c>
      <c r="K19" s="115">
        <f>H19/D19</f>
        <v/>
      </c>
      <c r="L19" s="83">
        <f>(E19-B19)</f>
        <v/>
      </c>
      <c r="M19" s="83">
        <f>(F19+G19-C19)</f>
        <v/>
      </c>
      <c r="N19" s="83">
        <f>(H19-D19)</f>
        <v/>
      </c>
    </row>
    <row r="20" ht="12.8" customHeight="1" s="82">
      <c r="A20" s="83" t="inlineStr">
        <is>
          <t>23</t>
        </is>
      </c>
      <c r="B20" s="92" t="n">
        <v>698125</v>
      </c>
      <c r="C20" s="83" t="n">
        <v>13806</v>
      </c>
      <c r="D20" s="93" t="n">
        <v>378184</v>
      </c>
      <c r="E20" s="83" t="n">
        <v>698135</v>
      </c>
      <c r="F20" s="83" t="n">
        <v>10978</v>
      </c>
      <c r="G20" s="83" t="n">
        <v>2826</v>
      </c>
      <c r="H20" s="83" t="n">
        <v>378169</v>
      </c>
      <c r="I20" s="114">
        <f>E20/B20</f>
        <v/>
      </c>
      <c r="J20" s="85">
        <f>(F20+G20)/C20</f>
        <v/>
      </c>
      <c r="K20" s="115">
        <f>H20/D20</f>
        <v/>
      </c>
      <c r="L20" s="83">
        <f>(E20-B20)</f>
        <v/>
      </c>
      <c r="M20" s="83">
        <f>(F20+G20-C20)</f>
        <v/>
      </c>
      <c r="N20" s="83">
        <f>(H20-D20)</f>
        <v/>
      </c>
    </row>
    <row r="21" ht="12.8" customHeight="1" s="82">
      <c r="A21" s="83" t="inlineStr">
        <is>
          <t>311FT</t>
        </is>
      </c>
      <c r="B21" s="92" t="n">
        <v>148375</v>
      </c>
      <c r="C21" s="83" t="n">
        <v>29210</v>
      </c>
      <c r="D21" s="93" t="n">
        <v>134279</v>
      </c>
      <c r="E21" s="83" t="n">
        <v>148388</v>
      </c>
      <c r="F21" s="83" t="n">
        <v>8252</v>
      </c>
      <c r="G21" s="83" t="n">
        <v>20961</v>
      </c>
      <c r="H21" s="83" t="n">
        <v>134258</v>
      </c>
      <c r="I21" s="114">
        <f>E21/B21</f>
        <v/>
      </c>
      <c r="J21" s="85">
        <f>(F21+G21)/C21</f>
        <v/>
      </c>
      <c r="K21" s="115">
        <f>H21/D21</f>
        <v/>
      </c>
      <c r="L21" s="83">
        <f>(E21-B21)</f>
        <v/>
      </c>
      <c r="M21" s="83">
        <f>(F21+G21-C21)</f>
        <v/>
      </c>
      <c r="N21" s="83">
        <f>(H21-D21)</f>
        <v/>
      </c>
    </row>
    <row r="22" ht="12.8" customHeight="1" s="82">
      <c r="A22" s="83" t="inlineStr">
        <is>
          <t>313TT</t>
        </is>
      </c>
      <c r="B22" s="92" t="n">
        <v>13020</v>
      </c>
      <c r="C22" s="83" t="n">
        <v>710</v>
      </c>
      <c r="D22" s="93" t="n">
        <v>3720</v>
      </c>
      <c r="E22" s="83" t="n">
        <v>13036</v>
      </c>
      <c r="F22" s="83" t="n">
        <v>710</v>
      </c>
      <c r="G22" s="83" t="n">
        <v>0</v>
      </c>
      <c r="H22" s="83" t="n">
        <v>3705</v>
      </c>
      <c r="I22" s="114">
        <f>E22/B22</f>
        <v/>
      </c>
      <c r="J22" s="85">
        <f>(F22+G22)/C22</f>
        <v/>
      </c>
      <c r="K22" s="115">
        <f>H22/D22</f>
        <v/>
      </c>
      <c r="L22" s="83">
        <f>(E22-B22)</f>
        <v/>
      </c>
      <c r="M22" s="83">
        <f>(F22+G22-C22)</f>
        <v/>
      </c>
      <c r="N22" s="83">
        <f>(H22-D22)</f>
        <v/>
      </c>
    </row>
    <row r="23" ht="12.8" customHeight="1" s="82">
      <c r="A23" s="83" t="inlineStr">
        <is>
          <t>315AL</t>
        </is>
      </c>
      <c r="B23" s="92" t="n">
        <v>8084</v>
      </c>
      <c r="C23" s="83" t="n">
        <v>352</v>
      </c>
      <c r="D23" s="93" t="n">
        <v>1945</v>
      </c>
      <c r="E23" s="83" t="n">
        <v>8087</v>
      </c>
      <c r="F23" s="83" t="n">
        <v>334</v>
      </c>
      <c r="G23" s="83" t="n">
        <v>18</v>
      </c>
      <c r="H23" s="83" t="n">
        <v>1941</v>
      </c>
      <c r="I23" s="114">
        <f>E23/B23</f>
        <v/>
      </c>
      <c r="J23" s="85">
        <f>(F23+G23)/C23</f>
        <v/>
      </c>
      <c r="K23" s="115">
        <f>H23/D23</f>
        <v/>
      </c>
      <c r="L23" s="83">
        <f>(E23-B23)</f>
        <v/>
      </c>
      <c r="M23" s="83">
        <f>(F23+G23-C23)</f>
        <v/>
      </c>
      <c r="N23" s="83">
        <f>(H23-D23)</f>
        <v/>
      </c>
    </row>
    <row r="24" ht="12.8" customHeight="1" s="82">
      <c r="A24" s="83" t="inlineStr">
        <is>
          <t>321</t>
        </is>
      </c>
      <c r="B24" s="92" t="n">
        <v>31358</v>
      </c>
      <c r="C24" s="83" t="n">
        <v>990</v>
      </c>
      <c r="D24" s="93" t="n">
        <v>29729</v>
      </c>
      <c r="E24" s="83" t="n">
        <v>31358</v>
      </c>
      <c r="F24" s="83" t="n">
        <v>810</v>
      </c>
      <c r="G24" s="83" t="n">
        <v>180</v>
      </c>
      <c r="H24" s="83" t="n">
        <v>29729</v>
      </c>
      <c r="I24" s="114">
        <f>E24/B24</f>
        <v/>
      </c>
      <c r="J24" s="85">
        <f>(F24+G24)/C24</f>
        <v/>
      </c>
      <c r="K24" s="115">
        <f>H24/D24</f>
        <v/>
      </c>
      <c r="L24" s="83">
        <f>(E24-B24)</f>
        <v/>
      </c>
      <c r="M24" s="83">
        <f>(F24+G24-C24)</f>
        <v/>
      </c>
      <c r="N24" s="83">
        <f>(H24-D24)</f>
        <v/>
      </c>
    </row>
    <row r="25" ht="12.8" customHeight="1" s="82">
      <c r="A25" s="83" t="inlineStr">
        <is>
          <t>322</t>
        </is>
      </c>
      <c r="B25" s="92" t="n">
        <v>34829</v>
      </c>
      <c r="C25" s="83" t="n">
        <v>2227</v>
      </c>
      <c r="D25" s="93" t="n">
        <v>32103</v>
      </c>
      <c r="E25" s="83" t="n">
        <v>34830</v>
      </c>
      <c r="F25" s="83" t="n">
        <v>2066</v>
      </c>
      <c r="G25" s="83" t="n">
        <v>160</v>
      </c>
      <c r="H25" s="83" t="n">
        <v>32103</v>
      </c>
      <c r="I25" s="114">
        <f>E25/B25</f>
        <v/>
      </c>
      <c r="J25" s="85">
        <f>(F25+G25)/C25</f>
        <v/>
      </c>
      <c r="K25" s="115">
        <f>H25/D25</f>
        <v/>
      </c>
      <c r="L25" s="83">
        <f>(E25-B25)</f>
        <v/>
      </c>
      <c r="M25" s="83">
        <f>(F25+G25-C25)</f>
        <v/>
      </c>
      <c r="N25" s="83">
        <f>(H25-D25)</f>
        <v/>
      </c>
    </row>
    <row r="26" ht="12.8" customHeight="1" s="82">
      <c r="A26" s="83" t="inlineStr">
        <is>
          <t>323</t>
        </is>
      </c>
      <c r="B26" s="92" t="n">
        <v>26308</v>
      </c>
      <c r="C26" s="83" t="n">
        <v>937</v>
      </c>
      <c r="D26" s="93" t="n">
        <v>15014</v>
      </c>
      <c r="E26" s="83" t="n">
        <v>26308</v>
      </c>
      <c r="F26" s="83" t="n">
        <v>864</v>
      </c>
      <c r="G26" s="83" t="n">
        <v>72</v>
      </c>
      <c r="H26" s="83" t="n">
        <v>15014</v>
      </c>
      <c r="I26" s="114">
        <f>E26/B26</f>
        <v/>
      </c>
      <c r="J26" s="85">
        <f>(F26+G26)/C26</f>
        <v/>
      </c>
      <c r="K26" s="115">
        <f>H26/D26</f>
        <v/>
      </c>
      <c r="L26" s="83">
        <f>(E26-B26)</f>
        <v/>
      </c>
      <c r="M26" s="83">
        <f>(F26+G26-C26)</f>
        <v/>
      </c>
      <c r="N26" s="83">
        <f>(H26-D26)</f>
        <v/>
      </c>
    </row>
    <row r="27" ht="12.8" customHeight="1" s="82">
      <c r="A27" s="83" t="inlineStr">
        <is>
          <t>324</t>
        </is>
      </c>
      <c r="B27" s="92" t="n">
        <v>20823</v>
      </c>
      <c r="C27" s="83" t="n">
        <v>4859</v>
      </c>
      <c r="D27" s="93" t="n">
        <v>174232</v>
      </c>
      <c r="E27" s="83" t="n">
        <v>20808</v>
      </c>
      <c r="F27" s="83" t="n">
        <v>4324</v>
      </c>
      <c r="G27" s="83" t="n">
        <v>535</v>
      </c>
      <c r="H27" s="83" t="n">
        <v>174251</v>
      </c>
      <c r="I27" s="114">
        <f>E27/B27</f>
        <v/>
      </c>
      <c r="J27" s="85">
        <f>(F27+G27)/C27</f>
        <v/>
      </c>
      <c r="K27" s="115">
        <f>H27/D27</f>
        <v/>
      </c>
      <c r="L27" s="83">
        <f>(E27-B27)</f>
        <v/>
      </c>
      <c r="M27" s="83">
        <f>(F27+G27-C27)</f>
        <v/>
      </c>
      <c r="N27" s="83">
        <f>(H27-D27)</f>
        <v/>
      </c>
    </row>
    <row r="28" ht="12.8" customHeight="1" s="82">
      <c r="A28" s="83" t="inlineStr">
        <is>
          <t>325</t>
        </is>
      </c>
      <c r="B28" s="92" t="n">
        <v>126514</v>
      </c>
      <c r="C28" s="83" t="n">
        <v>21327</v>
      </c>
      <c r="D28" s="93" t="n">
        <v>353549</v>
      </c>
      <c r="E28" s="83" t="n">
        <v>126506</v>
      </c>
      <c r="F28" s="83" t="n">
        <v>17122</v>
      </c>
      <c r="G28" s="83" t="n">
        <v>4204</v>
      </c>
      <c r="H28" s="83" t="n">
        <v>353554</v>
      </c>
      <c r="I28" s="114">
        <f>E28/B28</f>
        <v/>
      </c>
      <c r="J28" s="85">
        <f>(F28+G28)/C28</f>
        <v/>
      </c>
      <c r="K28" s="115">
        <f>H28/D28</f>
        <v/>
      </c>
      <c r="L28" s="83">
        <f>(E28-B28)</f>
        <v/>
      </c>
      <c r="M28" s="83">
        <f>(F28+G28-C28)</f>
        <v/>
      </c>
      <c r="N28" s="83">
        <f>(H28-D28)</f>
        <v/>
      </c>
    </row>
    <row r="29" ht="12.8" customHeight="1" s="82">
      <c r="A29" s="83" t="inlineStr">
        <is>
          <t>326</t>
        </is>
      </c>
      <c r="B29" s="92" t="n">
        <v>58827</v>
      </c>
      <c r="C29" s="83" t="n">
        <v>2430</v>
      </c>
      <c r="D29" s="93" t="n">
        <v>29167</v>
      </c>
      <c r="E29" s="83" t="n">
        <v>58826</v>
      </c>
      <c r="F29" s="83" t="n">
        <v>1948</v>
      </c>
      <c r="G29" s="83" t="n">
        <v>481</v>
      </c>
      <c r="H29" s="83" t="n">
        <v>29166</v>
      </c>
      <c r="I29" s="114">
        <f>E29/B29</f>
        <v/>
      </c>
      <c r="J29" s="85">
        <f>(F29+G29)/C29</f>
        <v/>
      </c>
      <c r="K29" s="115">
        <f>H29/D29</f>
        <v/>
      </c>
      <c r="L29" s="83">
        <f>(E29-B29)</f>
        <v/>
      </c>
      <c r="M29" s="83">
        <f>(F29+G29-C29)</f>
        <v/>
      </c>
      <c r="N29" s="83">
        <f>(H29-D29)</f>
        <v/>
      </c>
    </row>
    <row r="30" ht="12.8" customHeight="1" s="82">
      <c r="A30" s="83" t="inlineStr">
        <is>
          <t>327</t>
        </is>
      </c>
      <c r="B30" s="92" t="n">
        <v>35585</v>
      </c>
      <c r="C30" s="83" t="n">
        <v>1947</v>
      </c>
      <c r="D30" s="93" t="n">
        <v>35533</v>
      </c>
      <c r="E30" s="83" t="n">
        <v>35583</v>
      </c>
      <c r="F30" s="83" t="n">
        <v>1757</v>
      </c>
      <c r="G30" s="83" t="n">
        <v>191</v>
      </c>
      <c r="H30" s="83" t="n">
        <v>35535</v>
      </c>
      <c r="I30" s="114">
        <f>E30/B30</f>
        <v/>
      </c>
      <c r="J30" s="85">
        <f>(F30+G30)/C30</f>
        <v/>
      </c>
      <c r="K30" s="115">
        <f>H30/D30</f>
        <v/>
      </c>
      <c r="L30" s="83">
        <f>(E30-B30)</f>
        <v/>
      </c>
      <c r="M30" s="83">
        <f>(F30+G30-C30)</f>
        <v/>
      </c>
      <c r="N30" s="83">
        <f>(H30-D30)</f>
        <v/>
      </c>
    </row>
    <row r="31" ht="12.8" customHeight="1" s="82">
      <c r="A31" s="83" t="inlineStr">
        <is>
          <t>331</t>
        </is>
      </c>
      <c r="B31" s="92" t="n">
        <v>37119</v>
      </c>
      <c r="C31" s="83" t="n">
        <v>3113</v>
      </c>
      <c r="D31" s="93" t="n">
        <v>51527</v>
      </c>
      <c r="E31" s="83" t="n">
        <v>37114</v>
      </c>
      <c r="F31" s="83" t="n">
        <v>2932</v>
      </c>
      <c r="G31" s="83" t="n">
        <v>180</v>
      </c>
      <c r="H31" s="83" t="n">
        <v>51536</v>
      </c>
      <c r="I31" s="114">
        <f>E31/B31</f>
        <v/>
      </c>
      <c r="J31" s="85">
        <f>(F31+G31)/C31</f>
        <v/>
      </c>
      <c r="K31" s="115">
        <f>H31/D31</f>
        <v/>
      </c>
      <c r="L31" s="83">
        <f>(E31-B31)</f>
        <v/>
      </c>
      <c r="M31" s="83">
        <f>(F31+G31-C31)</f>
        <v/>
      </c>
      <c r="N31" s="83">
        <f>(H31-D31)</f>
        <v/>
      </c>
    </row>
    <row r="32" ht="12.8" customHeight="1" s="82">
      <c r="A32" s="83" t="inlineStr">
        <is>
          <t>332</t>
        </is>
      </c>
      <c r="B32" s="92" t="n">
        <v>116014</v>
      </c>
      <c r="C32" s="83" t="n">
        <v>4247</v>
      </c>
      <c r="D32" s="93" t="n">
        <v>44633</v>
      </c>
      <c r="E32" s="83" t="n">
        <v>116010</v>
      </c>
      <c r="F32" s="83" t="n">
        <v>3518</v>
      </c>
      <c r="G32" s="83" t="n">
        <v>729</v>
      </c>
      <c r="H32" s="83" t="n">
        <v>44635</v>
      </c>
      <c r="I32" s="114">
        <f>E32/B32</f>
        <v/>
      </c>
      <c r="J32" s="85">
        <f>(F32+G32)/C32</f>
        <v/>
      </c>
      <c r="K32" s="115">
        <f>H32/D32</f>
        <v/>
      </c>
      <c r="L32" s="83">
        <f>(E32-B32)</f>
        <v/>
      </c>
      <c r="M32" s="83">
        <f>(F32+G32-C32)</f>
        <v/>
      </c>
      <c r="N32" s="83">
        <f>(H32-D32)</f>
        <v/>
      </c>
    </row>
    <row r="33" ht="12.8" customHeight="1" s="82">
      <c r="A33" s="83" t="inlineStr">
        <is>
          <t>333</t>
        </is>
      </c>
      <c r="B33" s="92" t="n">
        <v>110033</v>
      </c>
      <c r="C33" s="83" t="n">
        <v>4558</v>
      </c>
      <c r="D33" s="93" t="n">
        <v>67517</v>
      </c>
      <c r="E33" s="83" t="n">
        <v>110032</v>
      </c>
      <c r="F33" s="83" t="n">
        <v>4244</v>
      </c>
      <c r="G33" s="83" t="n">
        <v>313</v>
      </c>
      <c r="H33" s="83" t="n">
        <v>67512</v>
      </c>
      <c r="I33" s="114">
        <f>E33/B33</f>
        <v/>
      </c>
      <c r="J33" s="85">
        <f>(F33+G33)/C33</f>
        <v/>
      </c>
      <c r="K33" s="115">
        <f>H33/D33</f>
        <v/>
      </c>
      <c r="L33" s="83">
        <f>(E33-B33)</f>
        <v/>
      </c>
      <c r="M33" s="83">
        <f>(F33+G33-C33)</f>
        <v/>
      </c>
      <c r="N33" s="83">
        <f>(H33-D33)</f>
        <v/>
      </c>
    </row>
    <row r="34" ht="12.8" customHeight="1" s="82">
      <c r="A34" s="83" t="inlineStr">
        <is>
          <t>334</t>
        </is>
      </c>
      <c r="B34" s="92" t="n">
        <v>187172</v>
      </c>
      <c r="C34" s="83" t="n">
        <v>10466</v>
      </c>
      <c r="D34" s="93" t="n">
        <v>104189</v>
      </c>
      <c r="E34" s="83" t="n">
        <v>187145</v>
      </c>
      <c r="F34" s="83" t="n">
        <v>9880</v>
      </c>
      <c r="G34" s="83" t="n">
        <v>584</v>
      </c>
      <c r="H34" s="83" t="n">
        <v>104212</v>
      </c>
      <c r="I34" s="114">
        <f>E34/B34</f>
        <v/>
      </c>
      <c r="J34" s="85">
        <f>(F34+G34)/C34</f>
        <v/>
      </c>
      <c r="K34" s="115">
        <f>H34/D34</f>
        <v/>
      </c>
      <c r="L34" s="83">
        <f>(E34-B34)</f>
        <v/>
      </c>
      <c r="M34" s="83">
        <f>(F34+G34-C34)</f>
        <v/>
      </c>
      <c r="N34" s="83">
        <f>(H34-D34)</f>
        <v/>
      </c>
    </row>
    <row r="35" ht="12.8" customHeight="1" s="82">
      <c r="A35" s="83" t="inlineStr">
        <is>
          <t>335</t>
        </is>
      </c>
      <c r="B35" s="92" t="n">
        <v>42343</v>
      </c>
      <c r="C35" s="83" t="n">
        <v>1193</v>
      </c>
      <c r="D35" s="93" t="n">
        <v>19633</v>
      </c>
      <c r="E35" s="83" t="n">
        <v>42355</v>
      </c>
      <c r="F35" s="83" t="n">
        <v>1376</v>
      </c>
      <c r="G35" s="83" t="n">
        <v>-184</v>
      </c>
      <c r="H35" s="83" t="n">
        <v>19620</v>
      </c>
      <c r="I35" s="114">
        <f>E35/B35</f>
        <v/>
      </c>
      <c r="J35" s="85">
        <f>(F35+G35)/C35</f>
        <v/>
      </c>
      <c r="K35" s="115">
        <f>H35/D35</f>
        <v/>
      </c>
      <c r="L35" s="83">
        <f>(E35-B35)</f>
        <v/>
      </c>
      <c r="M35" s="83">
        <f>(F35+G35-C35)</f>
        <v/>
      </c>
      <c r="N35" s="83">
        <f>(H35-D35)</f>
        <v/>
      </c>
    </row>
    <row r="36" ht="12.8" customHeight="1" s="82">
      <c r="A36" s="83" t="inlineStr">
        <is>
          <t>3361MV</t>
        </is>
      </c>
      <c r="B36" s="92" t="n">
        <v>87898</v>
      </c>
      <c r="C36" s="83" t="n">
        <v>4561</v>
      </c>
      <c r="D36" s="93" t="n">
        <v>63948</v>
      </c>
      <c r="E36" s="83" t="n">
        <v>88035</v>
      </c>
      <c r="F36" s="83" t="n">
        <v>4277</v>
      </c>
      <c r="G36" s="83" t="n">
        <v>286</v>
      </c>
      <c r="H36" s="83" t="n">
        <v>63809</v>
      </c>
      <c r="I36" s="114">
        <f>E36/B36</f>
        <v/>
      </c>
      <c r="J36" s="85">
        <f>(F36+G36)/C36</f>
        <v/>
      </c>
      <c r="K36" s="115">
        <f>H36/D36</f>
        <v/>
      </c>
      <c r="L36" s="83">
        <f>(E36-B36)</f>
        <v/>
      </c>
      <c r="M36" s="83">
        <f>(F36+G36-C36)</f>
        <v/>
      </c>
      <c r="N36" s="83">
        <f>(H36-D36)</f>
        <v/>
      </c>
    </row>
    <row r="37" ht="12.8" customHeight="1" s="82">
      <c r="A37" s="83" t="inlineStr">
        <is>
          <t>3364OT</t>
        </is>
      </c>
      <c r="B37" s="92" t="n">
        <v>90908</v>
      </c>
      <c r="C37" s="83" t="n">
        <v>3668</v>
      </c>
      <c r="D37" s="93" t="n">
        <v>78419</v>
      </c>
      <c r="E37" s="83" t="n">
        <v>90799</v>
      </c>
      <c r="F37" s="83" t="n">
        <v>3506</v>
      </c>
      <c r="G37" s="83" t="n">
        <v>162</v>
      </c>
      <c r="H37" s="83" t="n">
        <v>78523</v>
      </c>
      <c r="I37" s="114">
        <f>E37/B37</f>
        <v/>
      </c>
      <c r="J37" s="85">
        <f>(F37+G37)/C37</f>
        <v/>
      </c>
      <c r="K37" s="115">
        <f>H37/D37</f>
        <v/>
      </c>
      <c r="L37" s="83">
        <f>(E37-B37)</f>
        <v/>
      </c>
      <c r="M37" s="83">
        <f>(F37+G37-C37)</f>
        <v/>
      </c>
      <c r="N37" s="83">
        <f>(H37-D37)</f>
        <v/>
      </c>
    </row>
    <row r="38" ht="12.8" customHeight="1" s="82">
      <c r="A38" s="83" t="inlineStr">
        <is>
          <t>337</t>
        </is>
      </c>
      <c r="B38" s="92" t="n">
        <v>24844</v>
      </c>
      <c r="C38" s="83" t="n">
        <v>520</v>
      </c>
      <c r="D38" s="93" t="n">
        <v>5862</v>
      </c>
      <c r="E38" s="83" t="n">
        <v>24869</v>
      </c>
      <c r="F38" s="83" t="n">
        <v>460</v>
      </c>
      <c r="G38" s="83" t="n">
        <v>60</v>
      </c>
      <c r="H38" s="83" t="n">
        <v>5839</v>
      </c>
      <c r="I38" s="114">
        <f>E38/B38</f>
        <v/>
      </c>
      <c r="J38" s="85">
        <f>(F38+G38)/C38</f>
        <v/>
      </c>
      <c r="K38" s="115">
        <f>H38/D38</f>
        <v/>
      </c>
      <c r="L38" s="83">
        <f>(E38-B38)</f>
        <v/>
      </c>
      <c r="M38" s="83">
        <f>(F38+G38-C38)</f>
        <v/>
      </c>
      <c r="N38" s="83">
        <f>(H38-D38)</f>
        <v/>
      </c>
    </row>
    <row r="39" ht="12.8" customHeight="1" s="82">
      <c r="A39" s="83" t="inlineStr">
        <is>
          <t>339</t>
        </is>
      </c>
      <c r="B39" s="92" t="n">
        <v>65147</v>
      </c>
      <c r="C39" s="83" t="n">
        <v>2239</v>
      </c>
      <c r="D39" s="93" t="n">
        <v>39968</v>
      </c>
      <c r="E39" s="83" t="n">
        <v>65139</v>
      </c>
      <c r="F39" s="83" t="n">
        <v>1934</v>
      </c>
      <c r="G39" s="83" t="n">
        <v>306</v>
      </c>
      <c r="H39" s="83" t="n">
        <v>39976</v>
      </c>
      <c r="I39" s="114">
        <f>E39/B39</f>
        <v/>
      </c>
      <c r="J39" s="85">
        <f>(F39+G39)/C39</f>
        <v/>
      </c>
      <c r="K39" s="115">
        <f>H39/D39</f>
        <v/>
      </c>
      <c r="L39" s="83">
        <f>(E39-B39)</f>
        <v/>
      </c>
      <c r="M39" s="83">
        <f>(F39+G39-C39)</f>
        <v/>
      </c>
      <c r="N39" s="83">
        <f>(H39-D39)</f>
        <v/>
      </c>
    </row>
    <row r="40" ht="12.8" customHeight="1" s="82">
      <c r="A40" s="83" t="inlineStr">
        <is>
          <t>42</t>
        </is>
      </c>
      <c r="B40" s="92" t="n">
        <v>666322</v>
      </c>
      <c r="C40" s="83" t="n">
        <v>325447</v>
      </c>
      <c r="D40" s="93" t="n">
        <v>555062</v>
      </c>
      <c r="E40" s="83" t="n">
        <v>666328</v>
      </c>
      <c r="F40" s="83" t="n">
        <v>15876</v>
      </c>
      <c r="G40" s="83" t="n">
        <v>309569</v>
      </c>
      <c r="H40" s="83" t="n">
        <v>555053</v>
      </c>
      <c r="I40" s="114">
        <f>E40/B40</f>
        <v/>
      </c>
      <c r="J40" s="85">
        <f>(F40+G40)/C40</f>
        <v/>
      </c>
      <c r="K40" s="115">
        <f>H40/D40</f>
        <v/>
      </c>
      <c r="L40" s="83">
        <f>(E40-B40)</f>
        <v/>
      </c>
      <c r="M40" s="83">
        <f>(F40+G40-C40)</f>
        <v/>
      </c>
      <c r="N40" s="83">
        <f>(H40-D40)</f>
        <v/>
      </c>
    </row>
    <row r="41" ht="12.8" customHeight="1" s="82">
      <c r="A41" s="83" t="inlineStr">
        <is>
          <t>481</t>
        </is>
      </c>
      <c r="B41" s="92" t="n">
        <v>67253</v>
      </c>
      <c r="C41" s="83" t="n">
        <v>29381</v>
      </c>
      <c r="D41" s="93" t="n">
        <v>55360</v>
      </c>
      <c r="E41" s="83" t="n">
        <v>67254</v>
      </c>
      <c r="F41" s="83" t="n">
        <v>4141</v>
      </c>
      <c r="G41" s="83" t="n">
        <v>25241</v>
      </c>
      <c r="H41" s="83" t="n">
        <v>55353</v>
      </c>
      <c r="I41" s="114">
        <f>E41/B41</f>
        <v/>
      </c>
      <c r="J41" s="85">
        <f>(F41+G41)/C41</f>
        <v/>
      </c>
      <c r="K41" s="115">
        <f>H41/D41</f>
        <v/>
      </c>
      <c r="L41" s="83">
        <f>(E41-B41)</f>
        <v/>
      </c>
      <c r="M41" s="83">
        <f>(F41+G41-C41)</f>
        <v/>
      </c>
      <c r="N41" s="83">
        <f>(H41-D41)</f>
        <v/>
      </c>
    </row>
    <row r="42" ht="12.8" customHeight="1" s="82">
      <c r="A42" s="83" t="inlineStr">
        <is>
          <t>482</t>
        </is>
      </c>
      <c r="B42" s="92" t="n">
        <v>20701</v>
      </c>
      <c r="C42" s="83" t="n">
        <v>-570</v>
      </c>
      <c r="D42" s="93" t="n">
        <v>31349</v>
      </c>
      <c r="E42" s="83" t="n">
        <v>20661</v>
      </c>
      <c r="F42" s="83" t="n">
        <v>1659</v>
      </c>
      <c r="G42" s="83" t="n">
        <v>-2229</v>
      </c>
      <c r="H42" s="83" t="n">
        <v>31390</v>
      </c>
      <c r="I42" s="114">
        <f>E42/B42</f>
        <v/>
      </c>
      <c r="J42" s="85">
        <f>(F42+G42)/C42</f>
        <v/>
      </c>
      <c r="K42" s="115">
        <f>H42/D42</f>
        <v/>
      </c>
      <c r="L42" s="83">
        <f>(E42-B42)</f>
        <v/>
      </c>
      <c r="M42" s="83">
        <f>(F42+G42-C42)</f>
        <v/>
      </c>
      <c r="N42" s="83">
        <f>(H42-D42)</f>
        <v/>
      </c>
    </row>
    <row r="43" ht="12.8" customHeight="1" s="82">
      <c r="A43" s="83" t="inlineStr">
        <is>
          <t>483</t>
        </is>
      </c>
      <c r="B43" s="92" t="n">
        <v>8343</v>
      </c>
      <c r="C43" s="83" t="n">
        <v>1250</v>
      </c>
      <c r="D43" s="93" t="n">
        <v>11384</v>
      </c>
      <c r="E43" s="83" t="n">
        <v>8340</v>
      </c>
      <c r="F43" s="83" t="n">
        <v>1016</v>
      </c>
      <c r="G43" s="83" t="n">
        <v>234</v>
      </c>
      <c r="H43" s="83" t="n">
        <v>11386</v>
      </c>
      <c r="I43" s="114">
        <f>E43/B43</f>
        <v/>
      </c>
      <c r="J43" s="85">
        <f>(F43+G43)/C43</f>
        <v/>
      </c>
      <c r="K43" s="115">
        <f>H43/D43</f>
        <v/>
      </c>
      <c r="L43" s="83">
        <f>(E43-B43)</f>
        <v/>
      </c>
      <c r="M43" s="83">
        <f>(F43+G43-C43)</f>
        <v/>
      </c>
      <c r="N43" s="83">
        <f>(H43-D43)</f>
        <v/>
      </c>
    </row>
    <row r="44" ht="12.8" customHeight="1" s="82">
      <c r="A44" s="83" t="inlineStr">
        <is>
          <t>484</t>
        </is>
      </c>
      <c r="B44" s="92" t="n">
        <v>130652</v>
      </c>
      <c r="C44" s="83" t="n">
        <v>5637</v>
      </c>
      <c r="D44" s="93" t="n">
        <v>126983</v>
      </c>
      <c r="E44" s="83" t="n">
        <v>130659</v>
      </c>
      <c r="F44" s="83" t="n">
        <v>4969</v>
      </c>
      <c r="G44" s="83" t="n">
        <v>667</v>
      </c>
      <c r="H44" s="83" t="n">
        <v>126973</v>
      </c>
      <c r="I44" s="114">
        <f>E44/B44</f>
        <v/>
      </c>
      <c r="J44" s="85">
        <f>(F44+G44)/C44</f>
        <v/>
      </c>
      <c r="K44" s="115">
        <f>H44/D44</f>
        <v/>
      </c>
      <c r="L44" s="83">
        <f>(E44-B44)</f>
        <v/>
      </c>
      <c r="M44" s="83">
        <f>(F44+G44-C44)</f>
        <v/>
      </c>
      <c r="N44" s="83">
        <f>(H44-D44)</f>
        <v/>
      </c>
    </row>
    <row r="45" ht="12.8" customHeight="1" s="82">
      <c r="A45" s="83" t="inlineStr">
        <is>
          <t>485</t>
        </is>
      </c>
      <c r="B45" s="92" t="n">
        <v>27665</v>
      </c>
      <c r="C45" s="83" t="n">
        <v>2414</v>
      </c>
      <c r="D45" s="93" t="n">
        <v>26880</v>
      </c>
      <c r="E45" s="83" t="n">
        <v>27665</v>
      </c>
      <c r="F45" s="83" t="n">
        <v>1051</v>
      </c>
      <c r="G45" s="83" t="n">
        <v>1363</v>
      </c>
      <c r="H45" s="83" t="n">
        <v>26879</v>
      </c>
      <c r="I45" s="114">
        <f>E45/B45</f>
        <v/>
      </c>
      <c r="J45" s="85">
        <f>(F45+G45)/C45</f>
        <v/>
      </c>
      <c r="K45" s="115">
        <f>H45/D45</f>
        <v/>
      </c>
      <c r="L45" s="83">
        <f>(E45-B45)</f>
        <v/>
      </c>
      <c r="M45" s="83">
        <f>(F45+G45-C45)</f>
        <v/>
      </c>
      <c r="N45" s="83">
        <f>(H45-D45)</f>
        <v/>
      </c>
    </row>
    <row r="46" ht="12.8" customHeight="1" s="82">
      <c r="A46" s="83" t="inlineStr">
        <is>
          <t>486</t>
        </is>
      </c>
      <c r="B46" s="92" t="n">
        <v>9002</v>
      </c>
      <c r="C46" s="83" t="n">
        <v>4322</v>
      </c>
      <c r="D46" s="93" t="n">
        <v>36475</v>
      </c>
      <c r="E46" s="83" t="n">
        <v>8904</v>
      </c>
      <c r="F46" s="83" t="n">
        <v>4233</v>
      </c>
      <c r="G46" s="83" t="n">
        <v>87</v>
      </c>
      <c r="H46" s="83" t="n">
        <v>36578</v>
      </c>
      <c r="I46" s="114">
        <f>E46/B46</f>
        <v/>
      </c>
      <c r="J46" s="85">
        <f>(F46+G46)/C46</f>
        <v/>
      </c>
      <c r="K46" s="115">
        <f>H46/D46</f>
        <v/>
      </c>
      <c r="L46" s="83">
        <f>(E46-B46)</f>
        <v/>
      </c>
      <c r="M46" s="83">
        <f>(F46+G46-C46)</f>
        <v/>
      </c>
      <c r="N46" s="83">
        <f>(H46-D46)</f>
        <v/>
      </c>
    </row>
    <row r="47" ht="12.8" customHeight="1" s="82">
      <c r="A47" s="83" t="inlineStr">
        <is>
          <t>487OS</t>
        </is>
      </c>
      <c r="B47" s="92" t="n">
        <v>136592</v>
      </c>
      <c r="C47" s="83" t="n">
        <v>3269</v>
      </c>
      <c r="D47" s="93" t="n">
        <v>71631</v>
      </c>
      <c r="E47" s="83" t="n">
        <v>136706</v>
      </c>
      <c r="F47" s="83" t="n">
        <v>2832</v>
      </c>
      <c r="G47" s="83" t="n">
        <v>437</v>
      </c>
      <c r="H47" s="83" t="n">
        <v>71520</v>
      </c>
      <c r="I47" s="114">
        <f>E47/B47</f>
        <v/>
      </c>
      <c r="J47" s="85">
        <f>(F47+G47)/C47</f>
        <v/>
      </c>
      <c r="K47" s="115">
        <f>H47/D47</f>
        <v/>
      </c>
      <c r="L47" s="83">
        <f>(E47-B47)</f>
        <v/>
      </c>
      <c r="M47" s="83">
        <f>(F47+G47-C47)</f>
        <v/>
      </c>
      <c r="N47" s="83">
        <f>(H47-D47)</f>
        <v/>
      </c>
    </row>
    <row r="48" ht="12.8" customHeight="1" s="82">
      <c r="A48" s="83" t="inlineStr">
        <is>
          <t>493</t>
        </is>
      </c>
      <c r="B48" s="92" t="n">
        <v>109054</v>
      </c>
      <c r="C48" s="83" t="n">
        <v>1238</v>
      </c>
      <c r="D48" s="93" t="n">
        <v>4247</v>
      </c>
      <c r="E48" s="83" t="n">
        <v>109062</v>
      </c>
      <c r="F48" s="83" t="n">
        <v>999</v>
      </c>
      <c r="G48" s="83" t="n">
        <v>240</v>
      </c>
      <c r="H48" s="83" t="n">
        <v>4242</v>
      </c>
      <c r="I48" s="114">
        <f>E48/B48</f>
        <v/>
      </c>
      <c r="J48" s="85">
        <f>(F48+G48)/C48</f>
        <v/>
      </c>
      <c r="K48" s="115">
        <f>H48/D48</f>
        <v/>
      </c>
      <c r="L48" s="83">
        <f>(E48-B48)</f>
        <v/>
      </c>
      <c r="M48" s="83">
        <f>(F48+G48-C48)</f>
        <v/>
      </c>
      <c r="N48" s="83">
        <f>(H48-D48)</f>
        <v/>
      </c>
    </row>
    <row r="49" ht="12.8" customHeight="1" s="82">
      <c r="A49" s="83" t="inlineStr">
        <is>
          <t>511</t>
        </is>
      </c>
      <c r="B49" s="92" t="n">
        <v>161917</v>
      </c>
      <c r="C49" s="83" t="n">
        <v>7964</v>
      </c>
      <c r="D49" s="93" t="n">
        <v>188319</v>
      </c>
      <c r="E49" s="83" t="n">
        <v>162084</v>
      </c>
      <c r="F49" s="83" t="n">
        <v>6073</v>
      </c>
      <c r="G49" s="83" t="n">
        <v>1890</v>
      </c>
      <c r="H49" s="83" t="n">
        <v>188165</v>
      </c>
      <c r="I49" s="114">
        <f>E49/B49</f>
        <v/>
      </c>
      <c r="J49" s="85">
        <f>(F49+G49)/C49</f>
        <v/>
      </c>
      <c r="K49" s="115">
        <f>H49/D49</f>
        <v/>
      </c>
      <c r="L49" s="83">
        <f>(E49-B49)</f>
        <v/>
      </c>
      <c r="M49" s="83">
        <f>(F49+G49-C49)</f>
        <v/>
      </c>
      <c r="N49" s="83">
        <f>(H49-D49)</f>
        <v/>
      </c>
    </row>
    <row r="50" ht="12.8" customHeight="1" s="82">
      <c r="A50" s="83" t="inlineStr">
        <is>
          <t>512</t>
        </is>
      </c>
      <c r="B50" s="92" t="n">
        <v>46178</v>
      </c>
      <c r="C50" s="83" t="n">
        <v>5166</v>
      </c>
      <c r="D50" s="93" t="n">
        <v>49034</v>
      </c>
      <c r="E50" s="83" t="n">
        <v>46191</v>
      </c>
      <c r="F50" s="83" t="n">
        <v>3692</v>
      </c>
      <c r="G50" s="83" t="n">
        <v>1474</v>
      </c>
      <c r="H50" s="83" t="n">
        <v>49020</v>
      </c>
      <c r="I50" s="114">
        <f>E50/B50</f>
        <v/>
      </c>
      <c r="J50" s="85">
        <f>(F50+G50)/C50</f>
        <v/>
      </c>
      <c r="K50" s="115">
        <f>H50/D50</f>
        <v/>
      </c>
      <c r="L50" s="83">
        <f>(E50-B50)</f>
        <v/>
      </c>
      <c r="M50" s="83">
        <f>(F50+G50-C50)</f>
        <v/>
      </c>
      <c r="N50" s="83">
        <f>(H50-D50)</f>
        <v/>
      </c>
    </row>
    <row r="51" ht="12.8" customHeight="1" s="82">
      <c r="A51" s="83" t="inlineStr">
        <is>
          <t>513</t>
        </is>
      </c>
      <c r="B51" s="92" t="n">
        <v>119610</v>
      </c>
      <c r="C51" s="83" t="n">
        <v>48911</v>
      </c>
      <c r="D51" s="93" t="n">
        <v>343998</v>
      </c>
      <c r="E51" s="83" t="n">
        <v>119343</v>
      </c>
      <c r="F51" s="83" t="n">
        <v>3706</v>
      </c>
      <c r="G51" s="83" t="n">
        <v>45213</v>
      </c>
      <c r="H51" s="83" t="n">
        <v>344234</v>
      </c>
      <c r="I51" s="114">
        <f>E51/B51</f>
        <v/>
      </c>
      <c r="J51" s="85">
        <f>(F51+G51)/C51</f>
        <v/>
      </c>
      <c r="K51" s="115">
        <f>H51/D51</f>
        <v/>
      </c>
      <c r="L51" s="83">
        <f>(E51-B51)</f>
        <v/>
      </c>
      <c r="M51" s="83">
        <f>(F51+G51-C51)</f>
        <v/>
      </c>
      <c r="N51" s="83">
        <f>(H51-D51)</f>
        <v/>
      </c>
    </row>
    <row r="52" ht="12.8" customHeight="1" s="82">
      <c r="A52" s="83" t="inlineStr">
        <is>
          <t>514</t>
        </is>
      </c>
      <c r="B52" s="92" t="n">
        <v>186623</v>
      </c>
      <c r="C52" s="83" t="n">
        <v>7785</v>
      </c>
      <c r="D52" s="93" t="n">
        <v>227267</v>
      </c>
      <c r="E52" s="83" t="n">
        <v>186662</v>
      </c>
      <c r="F52" s="83" t="n">
        <v>4933</v>
      </c>
      <c r="G52" s="83" t="n">
        <v>2853</v>
      </c>
      <c r="H52" s="83" t="n">
        <v>227227</v>
      </c>
      <c r="I52" s="114">
        <f>E52/B52</f>
        <v/>
      </c>
      <c r="J52" s="85">
        <f>(F52+G52)/C52</f>
        <v/>
      </c>
      <c r="K52" s="115">
        <f>H52/D52</f>
        <v/>
      </c>
      <c r="L52" s="83">
        <f>(E52-B52)</f>
        <v/>
      </c>
      <c r="M52" s="83">
        <f>(F52+G52-C52)</f>
        <v/>
      </c>
      <c r="N52" s="83">
        <f>(H52-D52)</f>
        <v/>
      </c>
    </row>
    <row r="53" ht="12.8" customHeight="1" s="82">
      <c r="A53" s="83" t="inlineStr">
        <is>
          <t>521CI</t>
        </is>
      </c>
      <c r="B53" s="92" t="n">
        <v>344235</v>
      </c>
      <c r="C53" s="83" t="n">
        <v>24053</v>
      </c>
      <c r="D53" s="93" t="n">
        <v>488558</v>
      </c>
      <c r="E53" s="83" t="n">
        <v>343776</v>
      </c>
      <c r="F53" s="83" t="n">
        <v>20626</v>
      </c>
      <c r="G53" s="83" t="n">
        <v>3428</v>
      </c>
      <c r="H53" s="83" t="n">
        <v>488916</v>
      </c>
      <c r="I53" s="114">
        <f>E53/B53</f>
        <v/>
      </c>
      <c r="J53" s="85">
        <f>(F53+G53)/C53</f>
        <v/>
      </c>
      <c r="K53" s="115">
        <f>H53/D53</f>
        <v/>
      </c>
      <c r="L53" s="83">
        <f>(E53-B53)</f>
        <v/>
      </c>
      <c r="M53" s="83">
        <f>(F53+G53-C53)</f>
        <v/>
      </c>
      <c r="N53" s="83">
        <f>(H53-D53)</f>
        <v/>
      </c>
    </row>
    <row r="54" ht="12.8" customHeight="1" s="82">
      <c r="A54" s="83" t="inlineStr">
        <is>
          <t>523</t>
        </is>
      </c>
      <c r="B54" s="92" t="n">
        <v>329209</v>
      </c>
      <c r="C54" s="83" t="n">
        <v>7431</v>
      </c>
      <c r="D54" s="93" t="n">
        <v>23783</v>
      </c>
      <c r="E54" s="83" t="n">
        <v>329409</v>
      </c>
      <c r="F54" s="83" t="n">
        <v>5605</v>
      </c>
      <c r="G54" s="83" t="n">
        <v>1822</v>
      </c>
      <c r="H54" s="83" t="n">
        <v>23746</v>
      </c>
      <c r="I54" s="114">
        <f>E54/B54</f>
        <v/>
      </c>
      <c r="J54" s="85">
        <f>(F54+G54)/C54</f>
        <v/>
      </c>
      <c r="K54" s="115">
        <f>H54/D54</f>
        <v/>
      </c>
      <c r="L54" s="83">
        <f>(E54-B54)</f>
        <v/>
      </c>
      <c r="M54" s="83">
        <f>(F54+G54-C54)</f>
        <v/>
      </c>
      <c r="N54" s="83">
        <f>(H54-D54)</f>
        <v/>
      </c>
    </row>
    <row r="55" ht="12.8" customHeight="1" s="82">
      <c r="A55" s="83" t="inlineStr">
        <is>
          <t>524</t>
        </is>
      </c>
      <c r="B55" s="92" t="n">
        <v>348291</v>
      </c>
      <c r="C55" s="83" t="n">
        <v>41275</v>
      </c>
      <c r="D55" s="93" t="n">
        <v>297723</v>
      </c>
      <c r="E55" s="83" t="n">
        <v>348339</v>
      </c>
      <c r="F55" s="83" t="n">
        <v>8295</v>
      </c>
      <c r="G55" s="83" t="n">
        <v>32981</v>
      </c>
      <c r="H55" s="83" t="n">
        <v>297654</v>
      </c>
      <c r="I55" s="114">
        <f>E55/B55</f>
        <v/>
      </c>
      <c r="J55" s="85">
        <f>(F55+G55)/C55</f>
        <v/>
      </c>
      <c r="K55" s="115">
        <f>H55/D55</f>
        <v/>
      </c>
      <c r="L55" s="83">
        <f>(E55-B55)</f>
        <v/>
      </c>
      <c r="M55" s="83">
        <f>(F55+G55-C55)</f>
        <v/>
      </c>
      <c r="N55" s="83">
        <f>(H55-D55)</f>
        <v/>
      </c>
    </row>
    <row r="56" ht="12.8" customHeight="1" s="82">
      <c r="A56" s="83" t="inlineStr">
        <is>
          <t>525</t>
        </is>
      </c>
      <c r="B56" s="92" t="n">
        <v>5366</v>
      </c>
      <c r="C56" s="83" t="n">
        <v>704</v>
      </c>
      <c r="D56" s="93" t="n">
        <v>22273</v>
      </c>
      <c r="E56" s="83" t="n">
        <v>5349</v>
      </c>
      <c r="F56" s="83" t="n">
        <v>630</v>
      </c>
      <c r="G56" s="83" t="n">
        <v>73</v>
      </c>
      <c r="H56" s="83" t="n">
        <v>22288</v>
      </c>
      <c r="I56" s="114">
        <f>E56/B56</f>
        <v/>
      </c>
      <c r="J56" s="85">
        <f>(F56+G56)/C56</f>
        <v/>
      </c>
      <c r="K56" s="115">
        <f>H56/D56</f>
        <v/>
      </c>
      <c r="L56" s="83">
        <f>(E56-B56)</f>
        <v/>
      </c>
      <c r="M56" s="83">
        <f>(F56+G56-C56)</f>
        <v/>
      </c>
      <c r="N56" s="83">
        <f>(H56-D56)</f>
        <v/>
      </c>
    </row>
    <row r="57" ht="12.8" customHeight="1" s="82">
      <c r="A57" s="83" t="inlineStr">
        <is>
          <t>532RL</t>
        </is>
      </c>
      <c r="B57" s="92" t="n">
        <v>45795</v>
      </c>
      <c r="C57" s="83" t="n">
        <v>26894</v>
      </c>
      <c r="D57" s="93" t="n">
        <v>243859</v>
      </c>
      <c r="E57" s="83" t="n">
        <v>45797</v>
      </c>
      <c r="F57" s="83" t="n">
        <v>10329</v>
      </c>
      <c r="G57" s="83" t="n">
        <v>16566</v>
      </c>
      <c r="H57" s="83" t="n">
        <v>243852</v>
      </c>
      <c r="I57" s="114">
        <f>E57/B57</f>
        <v/>
      </c>
      <c r="J57" s="85">
        <f>(F57+G57)/C57</f>
        <v/>
      </c>
      <c r="K57" s="115">
        <f>H57/D57</f>
        <v/>
      </c>
      <c r="L57" s="83">
        <f>(E57-B57)</f>
        <v/>
      </c>
      <c r="M57" s="83">
        <f>(F57+G57-C57)</f>
        <v/>
      </c>
      <c r="N57" s="83">
        <f>(H57-D57)</f>
        <v/>
      </c>
    </row>
    <row r="58" ht="12.8" customHeight="1" s="82">
      <c r="A58" s="83" t="inlineStr">
        <is>
          <t>5411</t>
        </is>
      </c>
      <c r="B58" s="92" t="n">
        <v>169203</v>
      </c>
      <c r="C58" s="83" t="n">
        <v>25991</v>
      </c>
      <c r="D58" s="93" t="n">
        <v>133740</v>
      </c>
      <c r="E58" s="83" t="n">
        <v>169206</v>
      </c>
      <c r="F58" s="83" t="n">
        <v>1521</v>
      </c>
      <c r="G58" s="83" t="n">
        <v>24470</v>
      </c>
      <c r="H58" s="83" t="n">
        <v>133737</v>
      </c>
      <c r="I58" s="114">
        <f>E58/B58</f>
        <v/>
      </c>
      <c r="J58" s="85">
        <f>(F58+G58)/C58</f>
        <v/>
      </c>
      <c r="K58" s="115">
        <f>H58/D58</f>
        <v/>
      </c>
      <c r="L58" s="83">
        <f>(E58-B58)</f>
        <v/>
      </c>
      <c r="M58" s="83">
        <f>(F58+G58-C58)</f>
        <v/>
      </c>
      <c r="N58" s="83">
        <f>(H58-D58)</f>
        <v/>
      </c>
    </row>
    <row r="59" ht="12.8" customHeight="1" s="82">
      <c r="A59" s="83" t="inlineStr">
        <is>
          <t>5412OP</t>
        </is>
      </c>
      <c r="B59" s="92" t="n">
        <v>867521</v>
      </c>
      <c r="C59" s="83" t="n">
        <v>20489</v>
      </c>
      <c r="D59" s="93" t="n">
        <v>338393</v>
      </c>
      <c r="E59" s="83" t="n">
        <v>867526</v>
      </c>
      <c r="F59" s="83" t="n">
        <v>12005</v>
      </c>
      <c r="G59" s="83" t="n">
        <v>8481</v>
      </c>
      <c r="H59" s="83" t="n">
        <v>338385</v>
      </c>
      <c r="I59" s="114">
        <f>E59/B59</f>
        <v/>
      </c>
      <c r="J59" s="85">
        <f>(F59+G59)/C59</f>
        <v/>
      </c>
      <c r="K59" s="115">
        <f>H59/D59</f>
        <v/>
      </c>
      <c r="L59" s="83">
        <f>(E59-B59)</f>
        <v/>
      </c>
      <c r="M59" s="83">
        <f>(F59+G59-C59)</f>
        <v/>
      </c>
      <c r="N59" s="83">
        <f>(H59-D59)</f>
        <v/>
      </c>
    </row>
    <row r="60" ht="12.8" customHeight="1" s="82">
      <c r="A60" s="83" t="inlineStr">
        <is>
          <t>5415</t>
        </is>
      </c>
      <c r="B60" s="92" t="n">
        <v>399108</v>
      </c>
      <c r="C60" s="83" t="n">
        <v>9970</v>
      </c>
      <c r="D60" s="93" t="n">
        <v>48945</v>
      </c>
      <c r="E60" s="83" t="n">
        <v>399109</v>
      </c>
      <c r="F60" s="83" t="n">
        <v>2537</v>
      </c>
      <c r="G60" s="83" t="n">
        <v>7433</v>
      </c>
      <c r="H60" s="83" t="n">
        <v>48944</v>
      </c>
      <c r="I60" s="114">
        <f>E60/B60</f>
        <v/>
      </c>
      <c r="J60" s="85">
        <f>(F60+G60)/C60</f>
        <v/>
      </c>
      <c r="K60" s="115">
        <f>H60/D60</f>
        <v/>
      </c>
      <c r="L60" s="83">
        <f>(E60-B60)</f>
        <v/>
      </c>
      <c r="M60" s="83">
        <f>(F60+G60-C60)</f>
        <v/>
      </c>
      <c r="N60" s="83">
        <f>(H60-D60)</f>
        <v/>
      </c>
    </row>
    <row r="61" ht="12.8" customHeight="1" s="82">
      <c r="A61" s="83" t="inlineStr">
        <is>
          <t>55</t>
        </is>
      </c>
      <c r="B61" s="92" t="n">
        <v>425100</v>
      </c>
      <c r="C61" s="83" t="n">
        <v>11869</v>
      </c>
      <c r="D61" s="93" t="n">
        <v>43434</v>
      </c>
      <c r="E61" s="83" t="n">
        <v>425103</v>
      </c>
      <c r="F61" s="83" t="n">
        <v>9731</v>
      </c>
      <c r="G61" s="83" t="n">
        <v>2138</v>
      </c>
      <c r="H61" s="83" t="n">
        <v>43433</v>
      </c>
      <c r="I61" s="114">
        <f>E61/B61</f>
        <v/>
      </c>
      <c r="J61" s="85">
        <f>(F61+G61)/C61</f>
        <v/>
      </c>
      <c r="K61" s="115">
        <f>H61/D61</f>
        <v/>
      </c>
      <c r="L61" s="83">
        <f>(E61-B61)</f>
        <v/>
      </c>
      <c r="M61" s="83">
        <f>(F61+G61-C61)</f>
        <v/>
      </c>
      <c r="N61" s="83">
        <f>(H61-D61)</f>
        <v/>
      </c>
    </row>
    <row r="62" ht="12.8" customHeight="1" s="82">
      <c r="A62" s="83" t="inlineStr">
        <is>
          <t>561</t>
        </is>
      </c>
      <c r="B62" s="92" t="n">
        <v>572781</v>
      </c>
      <c r="C62" s="83" t="n">
        <v>14139</v>
      </c>
      <c r="D62" s="93" t="n">
        <v>162449</v>
      </c>
      <c r="E62" s="83" t="n">
        <v>572783</v>
      </c>
      <c r="F62" s="83" t="n">
        <v>5077</v>
      </c>
      <c r="G62" s="83" t="n">
        <v>9061</v>
      </c>
      <c r="H62" s="83" t="n">
        <v>162445</v>
      </c>
      <c r="I62" s="114">
        <f>E62/B62</f>
        <v/>
      </c>
      <c r="J62" s="85">
        <f>(F62+G62)/C62</f>
        <v/>
      </c>
      <c r="K62" s="115">
        <f>H62/D62</f>
        <v/>
      </c>
      <c r="L62" s="83">
        <f>(E62-B62)</f>
        <v/>
      </c>
      <c r="M62" s="83">
        <f>(F62+G62-C62)</f>
        <v/>
      </c>
      <c r="N62" s="83">
        <f>(H62-D62)</f>
        <v/>
      </c>
    </row>
    <row r="63" ht="12.8" customHeight="1" s="82">
      <c r="A63" s="83" t="inlineStr">
        <is>
          <t>562</t>
        </is>
      </c>
      <c r="B63" s="92" t="n">
        <v>41119</v>
      </c>
      <c r="C63" s="83" t="n">
        <v>4808</v>
      </c>
      <c r="D63" s="93" t="n">
        <v>25296</v>
      </c>
      <c r="E63" s="83" t="n">
        <v>41119</v>
      </c>
      <c r="F63" s="83" t="n">
        <v>2363</v>
      </c>
      <c r="G63" s="83" t="n">
        <v>2445</v>
      </c>
      <c r="H63" s="83" t="n">
        <v>25296</v>
      </c>
      <c r="I63" s="114">
        <f>E63/B63</f>
        <v/>
      </c>
      <c r="J63" s="85">
        <f>(F63+G63)/C63</f>
        <v/>
      </c>
      <c r="K63" s="115">
        <f>H63/D63</f>
        <v/>
      </c>
      <c r="L63" s="83">
        <f>(E63-B63)</f>
        <v/>
      </c>
      <c r="M63" s="83">
        <f>(F63+G63-C63)</f>
        <v/>
      </c>
      <c r="N63" s="83">
        <f>(H63-D63)</f>
        <v/>
      </c>
    </row>
    <row r="64" ht="12.8" customHeight="1" s="82">
      <c r="A64" s="83" t="inlineStr">
        <is>
          <t>61</t>
        </is>
      </c>
      <c r="B64" s="92" t="n">
        <v>241381</v>
      </c>
      <c r="C64" s="83" t="n">
        <v>11744</v>
      </c>
      <c r="D64" s="93" t="n">
        <v>40325</v>
      </c>
      <c r="E64" s="83" t="n">
        <v>241384</v>
      </c>
      <c r="F64" s="83" t="n">
        <v>10423</v>
      </c>
      <c r="G64" s="83" t="n">
        <v>1321</v>
      </c>
      <c r="H64" s="83" t="n">
        <v>40324</v>
      </c>
      <c r="I64" s="114">
        <f>E64/B64</f>
        <v/>
      </c>
      <c r="J64" s="85">
        <f>(F64+G64)/C64</f>
        <v/>
      </c>
      <c r="K64" s="115">
        <f>H64/D64</f>
        <v/>
      </c>
      <c r="L64" s="83">
        <f>(E64-B64)</f>
        <v/>
      </c>
      <c r="M64" s="83">
        <f>(F64+G64-C64)</f>
        <v/>
      </c>
      <c r="N64" s="83">
        <f>(H64-D64)</f>
        <v/>
      </c>
    </row>
    <row r="65" ht="12.8" customHeight="1" s="82">
      <c r="A65" s="83" t="inlineStr">
        <is>
          <t>621</t>
        </is>
      </c>
      <c r="B65" s="92" t="n">
        <v>719416</v>
      </c>
      <c r="C65" s="83" t="n">
        <v>5264</v>
      </c>
      <c r="D65" s="93" t="n">
        <v>171732</v>
      </c>
      <c r="E65" s="83" t="n">
        <v>719419</v>
      </c>
      <c r="F65" s="83" t="n">
        <v>2878</v>
      </c>
      <c r="G65" s="83" t="n">
        <v>2387</v>
      </c>
      <c r="H65" s="83" t="n">
        <v>171730</v>
      </c>
      <c r="I65" s="114">
        <f>E65/B65</f>
        <v/>
      </c>
      <c r="J65" s="85">
        <f>(F65+G65)/C65</f>
        <v/>
      </c>
      <c r="K65" s="115">
        <f>H65/D65</f>
        <v/>
      </c>
      <c r="L65" s="83">
        <f>(E65-B65)</f>
        <v/>
      </c>
      <c r="M65" s="83">
        <f>(F65+G65-C65)</f>
        <v/>
      </c>
      <c r="N65" s="83">
        <f>(H65-D65)</f>
        <v/>
      </c>
    </row>
    <row r="66" ht="12.8" customHeight="1" s="82">
      <c r="A66" s="83" t="inlineStr">
        <is>
          <t>622</t>
        </is>
      </c>
      <c r="B66" s="92" t="n">
        <v>495496</v>
      </c>
      <c r="C66" s="83" t="n">
        <v>15059</v>
      </c>
      <c r="D66" s="93" t="n">
        <v>89000</v>
      </c>
      <c r="E66" s="83" t="n">
        <v>495498</v>
      </c>
      <c r="F66" s="83" t="n">
        <v>11342</v>
      </c>
      <c r="G66" s="83" t="n">
        <v>3716</v>
      </c>
      <c r="H66" s="83" t="n">
        <v>88998</v>
      </c>
      <c r="I66" s="114">
        <f>E66/B66</f>
        <v/>
      </c>
      <c r="J66" s="85">
        <f>(F66+G66)/C66</f>
        <v/>
      </c>
      <c r="K66" s="115">
        <f>H66/D66</f>
        <v/>
      </c>
      <c r="L66" s="83">
        <f>(E66-B66)</f>
        <v/>
      </c>
      <c r="M66" s="83">
        <f>(F66+G66-C66)</f>
        <v/>
      </c>
      <c r="N66" s="83">
        <f>(H66-D66)</f>
        <v/>
      </c>
    </row>
    <row r="67" ht="12.8" customHeight="1" s="82">
      <c r="A67" s="83" t="inlineStr">
        <is>
          <t>623</t>
        </is>
      </c>
      <c r="B67" s="92" t="n">
        <v>160904</v>
      </c>
      <c r="C67" s="83" t="n">
        <v>7357</v>
      </c>
      <c r="D67" s="93" t="n">
        <v>9714</v>
      </c>
      <c r="E67" s="83" t="n">
        <v>160904</v>
      </c>
      <c r="F67" s="83" t="n">
        <v>3529</v>
      </c>
      <c r="G67" s="83" t="n">
        <v>3828</v>
      </c>
      <c r="H67" s="83" t="n">
        <v>9714</v>
      </c>
      <c r="I67" s="114">
        <f>E67/B67</f>
        <v/>
      </c>
      <c r="J67" s="85">
        <f>(F67+G67)/C67</f>
        <v/>
      </c>
      <c r="K67" s="115">
        <f>H67/D67</f>
        <v/>
      </c>
      <c r="L67" s="83">
        <f>(E67-B67)</f>
        <v/>
      </c>
      <c r="M67" s="83">
        <f>(F67+G67-C67)</f>
        <v/>
      </c>
      <c r="N67" s="83">
        <f>(H67-D67)</f>
        <v/>
      </c>
    </row>
    <row r="68" ht="12.8" customHeight="1" s="82">
      <c r="A68" s="83" t="inlineStr">
        <is>
          <t>624</t>
        </is>
      </c>
      <c r="B68" s="92" t="n">
        <v>166850</v>
      </c>
      <c r="C68" s="83" t="n">
        <v>-5471</v>
      </c>
      <c r="D68" s="93" t="n">
        <v>21033</v>
      </c>
      <c r="E68" s="83" t="n">
        <v>166851</v>
      </c>
      <c r="F68" s="83" t="n">
        <v>-7055</v>
      </c>
      <c r="G68" s="83" t="n">
        <v>1583</v>
      </c>
      <c r="H68" s="83" t="n">
        <v>21032</v>
      </c>
      <c r="I68" s="114">
        <f>E68/B68</f>
        <v/>
      </c>
      <c r="J68" s="85">
        <f>(F68+G68)/C68</f>
        <v/>
      </c>
      <c r="K68" s="115">
        <f>H68/D68</f>
        <v/>
      </c>
      <c r="L68" s="83">
        <f>(E68-B68)</f>
        <v/>
      </c>
      <c r="M68" s="83">
        <f>(F68+G68-C68)</f>
        <v/>
      </c>
      <c r="N68" s="83">
        <f>(H68-D68)</f>
        <v/>
      </c>
    </row>
    <row r="69" ht="12.8" customHeight="1" s="82">
      <c r="A69" s="83" t="inlineStr">
        <is>
          <t>711AS</t>
        </is>
      </c>
      <c r="B69" s="92" t="n">
        <v>75466</v>
      </c>
      <c r="C69" s="83" t="n">
        <v>5577</v>
      </c>
      <c r="D69" s="93" t="n">
        <v>79013</v>
      </c>
      <c r="E69" s="83" t="n">
        <v>75466</v>
      </c>
      <c r="F69" s="83" t="n">
        <v>-99</v>
      </c>
      <c r="G69" s="83" t="n">
        <v>5677</v>
      </c>
      <c r="H69" s="83" t="n">
        <v>79009</v>
      </c>
      <c r="I69" s="114">
        <f>E69/B69</f>
        <v/>
      </c>
      <c r="J69" s="85">
        <f>(F69+G69)/C69</f>
        <v/>
      </c>
      <c r="K69" s="115">
        <f>H69/D69</f>
        <v/>
      </c>
      <c r="L69" s="83">
        <f>(E69-B69)</f>
        <v/>
      </c>
      <c r="M69" s="83">
        <f>(F69+G69-C69)</f>
        <v/>
      </c>
      <c r="N69" s="83">
        <f>(H69-D69)</f>
        <v/>
      </c>
    </row>
    <row r="70" ht="12.8" customHeight="1" s="82">
      <c r="A70" s="83" t="inlineStr">
        <is>
          <t>713</t>
        </is>
      </c>
      <c r="B70" s="92" t="n">
        <v>67624</v>
      </c>
      <c r="C70" s="83" t="n">
        <v>22105</v>
      </c>
      <c r="D70" s="93" t="n">
        <v>21442</v>
      </c>
      <c r="E70" s="83" t="n">
        <v>67625</v>
      </c>
      <c r="F70" s="83" t="n">
        <v>4525</v>
      </c>
      <c r="G70" s="83" t="n">
        <v>17580</v>
      </c>
      <c r="H70" s="83" t="n">
        <v>21442</v>
      </c>
      <c r="I70" s="114">
        <f>E70/B70</f>
        <v/>
      </c>
      <c r="J70" s="85">
        <f>(F70+G70)/C70</f>
        <v/>
      </c>
      <c r="K70" s="115">
        <f>H70/D70</f>
        <v/>
      </c>
      <c r="L70" s="83">
        <f>(E70-B70)</f>
        <v/>
      </c>
      <c r="M70" s="83">
        <f>(F70+G70-C70)</f>
        <v/>
      </c>
      <c r="N70" s="83">
        <f>(H70-D70)</f>
        <v/>
      </c>
    </row>
    <row r="71" ht="12.8" customHeight="1" s="82">
      <c r="A71" s="83" t="inlineStr">
        <is>
          <t>721</t>
        </is>
      </c>
      <c r="B71" s="92" t="n">
        <v>92853</v>
      </c>
      <c r="C71" s="83" t="n">
        <v>35686</v>
      </c>
      <c r="D71" s="93" t="n">
        <v>87293</v>
      </c>
      <c r="E71" s="83" t="n">
        <v>92854</v>
      </c>
      <c r="F71" s="83" t="n">
        <v>7352</v>
      </c>
      <c r="G71" s="83" t="n">
        <v>28334</v>
      </c>
      <c r="H71" s="83" t="n">
        <v>87291</v>
      </c>
      <c r="I71" s="114">
        <f>E71/B71</f>
        <v/>
      </c>
      <c r="J71" s="85">
        <f>(F71+G71)/C71</f>
        <v/>
      </c>
      <c r="K71" s="115">
        <f>H71/D71</f>
        <v/>
      </c>
      <c r="L71" s="83">
        <f>(E71-B71)</f>
        <v/>
      </c>
      <c r="M71" s="83">
        <f>(F71+G71-C71)</f>
        <v/>
      </c>
      <c r="N71" s="83">
        <f>(H71-D71)</f>
        <v/>
      </c>
    </row>
    <row r="72" ht="12.8" customHeight="1" s="82">
      <c r="A72" s="83" t="inlineStr">
        <is>
          <t>722</t>
        </is>
      </c>
      <c r="B72" s="92" t="n">
        <v>402824</v>
      </c>
      <c r="C72" s="83" t="n">
        <v>72704</v>
      </c>
      <c r="D72" s="93" t="n">
        <v>119048</v>
      </c>
      <c r="E72" s="83" t="n">
        <v>402826</v>
      </c>
      <c r="F72" s="83" t="n">
        <v>5134</v>
      </c>
      <c r="G72" s="83" t="n">
        <v>67569</v>
      </c>
      <c r="H72" s="83" t="n">
        <v>119047</v>
      </c>
      <c r="I72" s="114">
        <f>E72/B72</f>
        <v/>
      </c>
      <c r="J72" s="85">
        <f>(F72+G72)/C72</f>
        <v/>
      </c>
      <c r="K72" s="115">
        <f>H72/D72</f>
        <v/>
      </c>
      <c r="L72" s="83">
        <f>(E72-B72)</f>
        <v/>
      </c>
      <c r="M72" s="83">
        <f>(F72+G72-C72)</f>
        <v/>
      </c>
      <c r="N72" s="83">
        <f>(H72-D72)</f>
        <v/>
      </c>
    </row>
    <row r="73" ht="12.8" customHeight="1" s="82">
      <c r="A73" s="83" t="inlineStr">
        <is>
          <t>81</t>
        </is>
      </c>
      <c r="B73" s="92" t="n">
        <v>392942</v>
      </c>
      <c r="C73" s="83" t="n">
        <v>31209</v>
      </c>
      <c r="D73" s="93" t="n">
        <v>120281</v>
      </c>
      <c r="E73" s="83" t="n">
        <v>392948</v>
      </c>
      <c r="F73" s="83" t="n">
        <v>12618</v>
      </c>
      <c r="G73" s="83" t="n">
        <v>18591</v>
      </c>
      <c r="H73" s="83" t="n">
        <v>120275</v>
      </c>
      <c r="I73" s="114">
        <f>E73/B73</f>
        <v/>
      </c>
      <c r="J73" s="85">
        <f>(F73+G73)/C73</f>
        <v/>
      </c>
      <c r="K73" s="115">
        <f>H73/D73</f>
        <v/>
      </c>
      <c r="L73" s="83">
        <f>(E73-B73)</f>
        <v/>
      </c>
      <c r="M73" s="83">
        <f>(F73+G73-C73)</f>
        <v/>
      </c>
      <c r="N73" s="83">
        <f>(H73-D73)</f>
        <v/>
      </c>
    </row>
    <row r="74" ht="12.8" customHeight="1" s="82">
      <c r="A74" s="83" t="inlineStr">
        <is>
          <t>TRADE</t>
        </is>
      </c>
      <c r="B74" s="92" t="n">
        <v>0</v>
      </c>
      <c r="C74" s="83" t="n">
        <v>0</v>
      </c>
      <c r="D74" s="93" t="n">
        <v>0</v>
      </c>
      <c r="E74" s="83" t="n">
        <v>0</v>
      </c>
      <c r="F74" s="83" t="n">
        <v>0</v>
      </c>
      <c r="G74" s="83" t="n"/>
      <c r="H74" s="83" t="n">
        <v>0</v>
      </c>
      <c r="I74" s="114">
        <f>E74/B74</f>
        <v/>
      </c>
      <c r="J74" s="85">
        <f>(F74+G74)/C74</f>
        <v/>
      </c>
      <c r="K74" s="115">
        <f>H74/D74</f>
        <v/>
      </c>
      <c r="L74" s="83">
        <f>(E74-B74)</f>
        <v/>
      </c>
      <c r="M74" s="83">
        <f>(F74+G74-C74)</f>
        <v/>
      </c>
      <c r="N74" s="83">
        <f>(H74-D74)</f>
        <v/>
      </c>
    </row>
    <row r="75" ht="12.8" customHeight="1" s="82">
      <c r="A75" s="83" t="inlineStr">
        <is>
          <t>TRANS</t>
        </is>
      </c>
      <c r="B75" s="92" t="n">
        <v>0</v>
      </c>
      <c r="C75" s="83" t="n">
        <v>0</v>
      </c>
      <c r="D75" s="93" t="n">
        <v>0</v>
      </c>
      <c r="E75" s="83" t="n">
        <v>0</v>
      </c>
      <c r="F75" s="83" t="n">
        <v>0</v>
      </c>
      <c r="G75" s="83" t="n"/>
      <c r="H75" s="83" t="n">
        <v>0</v>
      </c>
      <c r="I75" s="114">
        <f>E75/B75</f>
        <v/>
      </c>
      <c r="J75" s="85">
        <f>(F75+G75)/C75</f>
        <v/>
      </c>
      <c r="K75" s="115">
        <f>H75/D75</f>
        <v/>
      </c>
      <c r="L75" s="83">
        <f>(E75-B75)</f>
        <v/>
      </c>
      <c r="M75" s="83">
        <f>(F75+G75-C75)</f>
        <v/>
      </c>
      <c r="N75" s="83">
        <f>(H75-D75)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2:M404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G14" activeCellId="0" sqref="G14"/>
    </sheetView>
  </sheetViews>
  <sheetFormatPr baseColWidth="8" defaultColWidth="11.53515625" defaultRowHeight="12.8" zeroHeight="0" outlineLevelRow="0"/>
  <cols>
    <col width="11.53" customWidth="1" style="83" min="8" max="8"/>
    <col width="11.53" customWidth="1" style="92" min="9" max="9"/>
    <col width="11.53" customWidth="1" style="93" min="12" max="12"/>
    <col width="11.53" customWidth="1" style="92" min="13" max="13"/>
  </cols>
  <sheetData>
    <row r="2" ht="13.8" customHeight="1" s="82">
      <c r="A2" s="87" t="inlineStr">
        <is>
          <t>offspring_code</t>
        </is>
      </c>
      <c r="B2" s="87" t="inlineStr">
        <is>
          <t>parent_code</t>
        </is>
      </c>
      <c r="C2" s="87" t="inlineStr">
        <is>
          <t>parent_title</t>
        </is>
      </c>
      <c r="D2" s="87" t="inlineStr">
        <is>
          <t>offspring_title</t>
        </is>
      </c>
      <c r="E2" s="84" t="inlineStr">
        <is>
          <t>code</t>
        </is>
      </c>
      <c r="F2" s="84" t="inlineStr">
        <is>
          <t>wages</t>
        </is>
      </c>
      <c r="G2" s="84" t="inlineStr">
        <is>
          <t>nettax</t>
        </is>
      </c>
      <c r="H2" s="84" t="inlineStr">
        <is>
          <t>surplus</t>
        </is>
      </c>
      <c r="I2" s="84" t="inlineStr">
        <is>
          <t>wages</t>
        </is>
      </c>
      <c r="J2" s="84" t="inlineStr">
        <is>
          <t>nettax</t>
        </is>
      </c>
      <c r="K2" s="84" t="inlineStr">
        <is>
          <t>extratax</t>
        </is>
      </c>
      <c r="L2" s="84" t="inlineStr">
        <is>
          <t>surplus</t>
        </is>
      </c>
      <c r="M2" s="92" t="inlineStr">
        <is>
          <t>select</t>
        </is>
      </c>
    </row>
    <row r="3" ht="13.8" customHeight="1" s="82">
      <c r="A3" s="86" t="inlineStr">
        <is>
          <t>441000</t>
        </is>
      </c>
      <c r="B3" s="86" t="inlineStr">
        <is>
          <t>441</t>
        </is>
      </c>
      <c r="C3" s="86" t="inlineStr">
        <is>
          <t>Motor vehicle and parts dealers</t>
        </is>
      </c>
      <c r="D3" s="86" t="inlineStr">
        <is>
          <t>Motor vehicle and parts dealers</t>
        </is>
      </c>
      <c r="E3" s="91" t="inlineStr">
        <is>
          <t>441000</t>
        </is>
      </c>
      <c r="F3" s="86" t="n">
        <v>162073</v>
      </c>
      <c r="G3" s="86" t="n">
        <v>70232</v>
      </c>
      <c r="H3" s="86" t="n">
        <v>109738</v>
      </c>
      <c r="I3" s="97" t="n">
        <v>118071</v>
      </c>
      <c r="J3" s="86" t="n">
        <v>3108</v>
      </c>
      <c r="K3" s="86" t="n">
        <v>45947</v>
      </c>
      <c r="L3" s="98" t="n">
        <v>68657</v>
      </c>
      <c r="M3" s="97" t="inlineStr">
        <is>
          <t>trade</t>
        </is>
      </c>
    </row>
    <row r="4" ht="13.8" customHeight="1" s="82">
      <c r="A4" s="86" t="inlineStr">
        <is>
          <t>445000</t>
        </is>
      </c>
      <c r="B4" s="86" t="inlineStr">
        <is>
          <t>445</t>
        </is>
      </c>
      <c r="C4" s="86" t="inlineStr">
        <is>
          <t>Food and beverage stores</t>
        </is>
      </c>
      <c r="D4" s="86" t="inlineStr">
        <is>
          <t>Food and beverage stores</t>
        </is>
      </c>
      <c r="E4" s="91" t="inlineStr">
        <is>
          <t>445000</t>
        </is>
      </c>
      <c r="F4" s="86" t="n">
        <v>121454</v>
      </c>
      <c r="G4" s="86" t="n">
        <v>52631</v>
      </c>
      <c r="H4" s="86" t="n">
        <v>82235</v>
      </c>
      <c r="I4" s="97" t="n">
        <v>96461</v>
      </c>
      <c r="J4" s="86" t="n">
        <v>3223</v>
      </c>
      <c r="K4" s="86" t="n">
        <v>22253</v>
      </c>
      <c r="L4" s="98" t="n">
        <v>40131</v>
      </c>
      <c r="M4" s="97" t="inlineStr">
        <is>
          <t>trade</t>
        </is>
      </c>
    </row>
    <row r="5" ht="13.8" customHeight="1" s="82">
      <c r="A5" s="86" t="inlineStr">
        <is>
          <t>452000</t>
        </is>
      </c>
      <c r="B5" s="86" t="inlineStr">
        <is>
          <t>452</t>
        </is>
      </c>
      <c r="C5" s="86" t="inlineStr">
        <is>
          <t>General merchandise stores</t>
        </is>
      </c>
      <c r="D5" s="86" t="inlineStr">
        <is>
          <t>General merchandise stores</t>
        </is>
      </c>
      <c r="E5" s="91" t="inlineStr">
        <is>
          <t>452000</t>
        </is>
      </c>
      <c r="F5" s="86" t="n">
        <v>115271</v>
      </c>
      <c r="G5" s="86" t="n">
        <v>49951</v>
      </c>
      <c r="H5" s="86" t="n">
        <v>78049</v>
      </c>
      <c r="I5" s="97" t="n">
        <v>93086</v>
      </c>
      <c r="J5" s="86" t="n">
        <v>2493</v>
      </c>
      <c r="K5" s="86" t="n">
        <v>37990</v>
      </c>
      <c r="L5" s="98" t="n">
        <v>18546</v>
      </c>
      <c r="M5" s="97" t="inlineStr">
        <is>
          <t>trade</t>
        </is>
      </c>
    </row>
    <row r="6" ht="13.8" customHeight="1" s="82">
      <c r="A6" s="86" t="inlineStr">
        <is>
          <t>444000</t>
        </is>
      </c>
      <c r="B6" s="86" t="inlineStr">
        <is>
          <t>4A0</t>
        </is>
      </c>
      <c r="C6" s="86" t="inlineStr">
        <is>
          <t>Other retail</t>
        </is>
      </c>
      <c r="D6" s="86" t="inlineStr">
        <is>
          <t>Building material and garden equipment and supplies dealers</t>
        </is>
      </c>
      <c r="E6" s="91" t="inlineStr">
        <is>
          <t>444000</t>
        </is>
      </c>
      <c r="F6" s="86" t="n">
        <v>69205</v>
      </c>
      <c r="G6" s="86" t="n">
        <v>29989</v>
      </c>
      <c r="H6" s="86" t="n">
        <v>46858</v>
      </c>
      <c r="I6" s="97" t="n">
        <v>52804</v>
      </c>
      <c r="J6" s="86" t="n">
        <v>1921</v>
      </c>
      <c r="K6" s="86" t="n">
        <v>21701</v>
      </c>
      <c r="L6" s="98" t="n">
        <v>27879</v>
      </c>
      <c r="M6" s="97" t="inlineStr">
        <is>
          <t>trade</t>
        </is>
      </c>
    </row>
    <row r="7" ht="13.8" customHeight="1" s="82">
      <c r="A7" s="86" t="inlineStr">
        <is>
          <t>446000</t>
        </is>
      </c>
      <c r="B7" s="86" t="inlineStr">
        <is>
          <t>4A0</t>
        </is>
      </c>
      <c r="C7" s="86" t="inlineStr">
        <is>
          <t>Other retail</t>
        </is>
      </c>
      <c r="D7" s="86" t="inlineStr">
        <is>
          <t>Health and personal care stores</t>
        </is>
      </c>
      <c r="E7" s="91" t="inlineStr">
        <is>
          <t>446000</t>
        </is>
      </c>
      <c r="F7" s="86" t="n">
        <v>55267</v>
      </c>
      <c r="G7" s="86" t="n">
        <v>23949</v>
      </c>
      <c r="H7" s="86" t="n">
        <v>37421</v>
      </c>
      <c r="I7" s="97" t="n">
        <v>50169</v>
      </c>
      <c r="J7" s="86" t="n">
        <v>1479</v>
      </c>
      <c r="K7" s="86" t="n">
        <v>6833</v>
      </c>
      <c r="L7" s="98" t="n">
        <v>13624</v>
      </c>
      <c r="M7" s="97" t="inlineStr">
        <is>
          <t>trade</t>
        </is>
      </c>
    </row>
    <row r="8" ht="13.8" customHeight="1" s="82">
      <c r="A8" s="86" t="inlineStr">
        <is>
          <t>447000</t>
        </is>
      </c>
      <c r="B8" s="86" t="inlineStr">
        <is>
          <t>4A0</t>
        </is>
      </c>
      <c r="C8" s="86" t="inlineStr">
        <is>
          <t>Other retail</t>
        </is>
      </c>
      <c r="D8" s="86" t="inlineStr">
        <is>
          <t>Gasoline stations</t>
        </is>
      </c>
      <c r="E8" s="91" t="inlineStr">
        <is>
          <t>447000</t>
        </is>
      </c>
      <c r="F8" s="86" t="n">
        <v>34505</v>
      </c>
      <c r="G8" s="86" t="n">
        <v>14952</v>
      </c>
      <c r="H8" s="86" t="n">
        <v>23363</v>
      </c>
      <c r="I8" s="97" t="n">
        <v>24942</v>
      </c>
      <c r="J8" s="86" t="n">
        <v>1419</v>
      </c>
      <c r="K8" s="86" t="n">
        <v>12963</v>
      </c>
      <c r="L8" s="98" t="n">
        <v>21627</v>
      </c>
      <c r="M8" s="97" t="inlineStr">
        <is>
          <t>trade</t>
        </is>
      </c>
    </row>
    <row r="9" ht="13.8" customHeight="1" s="82">
      <c r="A9" s="86" t="inlineStr">
        <is>
          <t>448000</t>
        </is>
      </c>
      <c r="B9" s="86" t="inlineStr">
        <is>
          <t>4A0</t>
        </is>
      </c>
      <c r="C9" s="86" t="inlineStr">
        <is>
          <t>Other retail</t>
        </is>
      </c>
      <c r="D9" s="86" t="inlineStr">
        <is>
          <t>Clothing and clothing accessories stores</t>
        </is>
      </c>
      <c r="E9" s="91" t="inlineStr">
        <is>
          <t>448000</t>
        </is>
      </c>
      <c r="F9" s="86" t="n">
        <v>39964</v>
      </c>
      <c r="G9" s="86" t="n">
        <v>17318</v>
      </c>
      <c r="H9" s="86" t="n">
        <v>27059</v>
      </c>
      <c r="I9" s="97" t="n">
        <v>37806</v>
      </c>
      <c r="J9" s="86" t="n">
        <v>1833</v>
      </c>
      <c r="K9" s="86" t="n">
        <v>17160</v>
      </c>
      <c r="L9" s="98" t="n">
        <v>13408</v>
      </c>
      <c r="M9" s="97" t="inlineStr">
        <is>
          <t>trade</t>
        </is>
      </c>
    </row>
    <row r="10" ht="13.8" customHeight="1" s="82">
      <c r="A10" s="86" t="inlineStr">
        <is>
          <t>454000</t>
        </is>
      </c>
      <c r="B10" s="86" t="inlineStr">
        <is>
          <t>4A0</t>
        </is>
      </c>
      <c r="C10" s="86" t="inlineStr">
        <is>
          <t>Other retail</t>
        </is>
      </c>
      <c r="D10" s="86" t="inlineStr">
        <is>
          <t>Nonstore retailers</t>
        </is>
      </c>
      <c r="E10" s="91" t="inlineStr">
        <is>
          <t>454000</t>
        </is>
      </c>
      <c r="F10" s="86" t="n">
        <v>64920</v>
      </c>
      <c r="G10" s="86" t="n">
        <v>28132</v>
      </c>
      <c r="H10" s="86" t="n">
        <v>43957</v>
      </c>
      <c r="I10" s="97" t="n">
        <v>42272</v>
      </c>
      <c r="J10" s="86" t="n">
        <v>3840</v>
      </c>
      <c r="K10" s="86" t="n">
        <v>20524</v>
      </c>
      <c r="L10" s="98" t="n">
        <v>116764</v>
      </c>
      <c r="M10" s="97" t="inlineStr">
        <is>
          <t>trade</t>
        </is>
      </c>
    </row>
    <row r="11" ht="13.8" customHeight="1" s="82">
      <c r="A11" s="86" t="inlineStr">
        <is>
          <t>4B0000</t>
        </is>
      </c>
      <c r="B11" s="86" t="inlineStr">
        <is>
          <t>4A0</t>
        </is>
      </c>
      <c r="C11" s="86" t="inlineStr">
        <is>
          <t>Other retail</t>
        </is>
      </c>
      <c r="D11" s="86" t="inlineStr">
        <is>
          <t>All other retail</t>
        </is>
      </c>
      <c r="E11" s="91" t="inlineStr">
        <is>
          <t>4B0000</t>
        </is>
      </c>
      <c r="F11" s="86" t="n">
        <v>105450</v>
      </c>
      <c r="G11" s="86" t="n">
        <v>45695</v>
      </c>
      <c r="H11" s="86" t="n">
        <v>71399</v>
      </c>
      <c r="I11" s="97" t="n">
        <v>91257</v>
      </c>
      <c r="J11" s="86" t="n">
        <v>2810</v>
      </c>
      <c r="K11" s="86" t="n">
        <v>24926</v>
      </c>
      <c r="L11" s="98" t="n">
        <v>18998</v>
      </c>
      <c r="M11" s="97" t="inlineStr">
        <is>
          <t>trade</t>
        </is>
      </c>
    </row>
    <row r="12" ht="13.8" customHeight="1" s="82">
      <c r="A12" s="116" t="inlineStr">
        <is>
          <t>531HSO</t>
        </is>
      </c>
      <c r="B12" s="116" t="inlineStr">
        <is>
          <t>HS</t>
        </is>
      </c>
      <c r="C12" s="116" t="inlineStr">
        <is>
          <t>Housing</t>
        </is>
      </c>
      <c r="D12" s="116" t="inlineStr">
        <is>
          <t>Owner-occupied housing</t>
        </is>
      </c>
      <c r="E12" s="117" t="inlineStr">
        <is>
          <t>531HSO</t>
        </is>
      </c>
      <c r="F12" s="116" t="n">
        <v>0</v>
      </c>
      <c r="G12" s="116" t="n">
        <v>0</v>
      </c>
      <c r="H12" s="116" t="n">
        <v>0</v>
      </c>
      <c r="I12" s="118" t="n">
        <v>0</v>
      </c>
      <c r="J12" s="116" t="n">
        <v>178599</v>
      </c>
      <c r="K12" s="116" t="n">
        <v>-2441</v>
      </c>
      <c r="L12" s="119" t="n">
        <v>1164524</v>
      </c>
      <c r="M12" s="118" t="inlineStr">
        <is>
          <t>residential</t>
        </is>
      </c>
    </row>
    <row r="13" ht="13.8" customHeight="1" s="82">
      <c r="A13" s="116" t="inlineStr">
        <is>
          <t>531HST</t>
        </is>
      </c>
      <c r="B13" s="116" t="inlineStr">
        <is>
          <t>HS</t>
        </is>
      </c>
      <c r="C13" s="116" t="inlineStr">
        <is>
          <t>Housing</t>
        </is>
      </c>
      <c r="D13" s="116" t="inlineStr">
        <is>
          <t>Tenant-occupied housing</t>
        </is>
      </c>
      <c r="E13" s="117" t="inlineStr">
        <is>
          <t>531HST</t>
        </is>
      </c>
      <c r="F13" s="116" t="n">
        <v>27637</v>
      </c>
      <c r="G13" s="116" t="n">
        <v>54923</v>
      </c>
      <c r="H13" s="116" t="n">
        <v>439384</v>
      </c>
      <c r="I13" s="118" t="n">
        <v>18920</v>
      </c>
      <c r="J13" s="116" t="n">
        <v>75504</v>
      </c>
      <c r="K13" s="116" t="n">
        <v>-16307</v>
      </c>
      <c r="L13" s="119" t="n">
        <v>376515</v>
      </c>
      <c r="M13" s="118" t="inlineStr">
        <is>
          <t>residential</t>
        </is>
      </c>
    </row>
    <row r="14" ht="13.8" customHeight="1" s="82">
      <c r="A14" s="116" t="inlineStr">
        <is>
          <t>531ORE</t>
        </is>
      </c>
      <c r="B14" s="116" t="inlineStr">
        <is>
          <t>ORE</t>
        </is>
      </c>
      <c r="C14" s="116" t="inlineStr">
        <is>
          <t>Other real estate</t>
        </is>
      </c>
      <c r="D14" s="116" t="inlineStr">
        <is>
          <t>Other real estate</t>
        </is>
      </c>
      <c r="E14" s="117" t="inlineStr">
        <is>
          <t>531ORE</t>
        </is>
      </c>
      <c r="F14" s="116" t="n">
        <v>135473</v>
      </c>
      <c r="G14" s="116" t="n">
        <v>269226</v>
      </c>
      <c r="H14" s="116" t="n">
        <v>2153808</v>
      </c>
      <c r="I14" s="118" t="n">
        <v>93508</v>
      </c>
      <c r="J14" s="116" t="n">
        <v>27704</v>
      </c>
      <c r="K14" s="116" t="n">
        <v>-108</v>
      </c>
      <c r="L14" s="119" t="n">
        <v>396339</v>
      </c>
      <c r="M14" s="118" t="inlineStr">
        <is>
          <t>residential</t>
        </is>
      </c>
    </row>
    <row r="15" ht="13.8" customHeight="1" s="82">
      <c r="A15" s="108" t="inlineStr">
        <is>
          <t>491000</t>
        </is>
      </c>
      <c r="B15" s="108" t="inlineStr">
        <is>
          <t>GFE</t>
        </is>
      </c>
      <c r="C15" s="108" t="inlineStr">
        <is>
          <t>Federal government enterprises</t>
        </is>
      </c>
      <c r="D15" s="108" t="inlineStr">
        <is>
          <t>Postal service</t>
        </is>
      </c>
      <c r="E15" s="120" t="inlineStr">
        <is>
          <t>491000</t>
        </is>
      </c>
      <c r="F15" s="108" t="n">
        <v>82566</v>
      </c>
      <c r="G15" s="108" t="n">
        <v>-2478</v>
      </c>
      <c r="H15" s="108" t="n">
        <v>34760</v>
      </c>
      <c r="I15" s="109" t="n">
        <v>54249</v>
      </c>
      <c r="J15" s="108" t="n">
        <v>0</v>
      </c>
      <c r="K15" s="108" t="n">
        <v>0</v>
      </c>
      <c r="L15" s="110" t="n">
        <v>2781</v>
      </c>
      <c r="M15" s="109" t="inlineStr">
        <is>
          <t>government</t>
        </is>
      </c>
    </row>
    <row r="16" ht="13.8" customHeight="1" s="82">
      <c r="A16" s="108" t="inlineStr">
        <is>
          <t>GSLGE</t>
        </is>
      </c>
      <c r="B16" s="108" t="inlineStr">
        <is>
          <t>GSLG</t>
        </is>
      </c>
      <c r="C16" s="108" t="inlineStr">
        <is>
          <t>State and local general government</t>
        </is>
      </c>
      <c r="D16" s="108" t="inlineStr">
        <is>
          <t>State and local government (educational services)</t>
        </is>
      </c>
      <c r="E16" s="120" t="inlineStr">
        <is>
          <t>GSLGE</t>
        </is>
      </c>
      <c r="F16" s="108" t="n">
        <v>849716</v>
      </c>
      <c r="G16" s="108" t="n">
        <v>-24256</v>
      </c>
      <c r="H16" s="108" t="n">
        <v>186657</v>
      </c>
      <c r="I16" s="109" t="n">
        <v>731648</v>
      </c>
      <c r="J16" s="108" t="n">
        <v>0</v>
      </c>
      <c r="K16" s="108" t="n">
        <v>0</v>
      </c>
      <c r="L16" s="110" t="n">
        <v>76537</v>
      </c>
      <c r="M16" s="109" t="inlineStr">
        <is>
          <t>government</t>
        </is>
      </c>
    </row>
    <row r="17" ht="13.8" customHeight="1" s="82">
      <c r="A17" s="108" t="inlineStr">
        <is>
          <t>GSLGH</t>
        </is>
      </c>
      <c r="B17" s="108" t="inlineStr">
        <is>
          <t>GSLG</t>
        </is>
      </c>
      <c r="C17" s="108" t="inlineStr">
        <is>
          <t>State and local general government</t>
        </is>
      </c>
      <c r="D17" s="108" t="inlineStr">
        <is>
          <t>State and local government (hospitals and health services)</t>
        </is>
      </c>
      <c r="E17" s="120" t="inlineStr">
        <is>
          <t>GSLGH</t>
        </is>
      </c>
      <c r="F17" s="108" t="n">
        <v>187958</v>
      </c>
      <c r="G17" s="108" t="n">
        <v>-5365</v>
      </c>
      <c r="H17" s="108" t="n">
        <v>41289</v>
      </c>
      <c r="I17" s="109" t="n">
        <v>139316</v>
      </c>
      <c r="J17" s="108" t="n">
        <v>0</v>
      </c>
      <c r="K17" s="108" t="n">
        <v>0</v>
      </c>
      <c r="L17" s="110" t="n">
        <v>17879</v>
      </c>
      <c r="M17" s="109" t="inlineStr">
        <is>
          <t>government</t>
        </is>
      </c>
    </row>
    <row r="18" ht="13.8" customHeight="1" s="82">
      <c r="A18" s="108" t="inlineStr">
        <is>
          <t>GSLGO</t>
        </is>
      </c>
      <c r="B18" s="108" t="inlineStr">
        <is>
          <t>GSLG</t>
        </is>
      </c>
      <c r="C18" s="108" t="inlineStr">
        <is>
          <t>State and local general government</t>
        </is>
      </c>
      <c r="D18" s="108" t="inlineStr">
        <is>
          <t>State and local government (other services)</t>
        </is>
      </c>
      <c r="E18" s="120" t="inlineStr">
        <is>
          <t>GSLGO</t>
        </is>
      </c>
      <c r="F18" s="108" t="n">
        <v>599205</v>
      </c>
      <c r="G18" s="108" t="n">
        <v>-17105</v>
      </c>
      <c r="H18" s="108" t="n">
        <v>131628</v>
      </c>
      <c r="I18" s="109" t="n">
        <v>467952</v>
      </c>
      <c r="J18" s="108" t="n">
        <v>0</v>
      </c>
      <c r="K18" s="108" t="n">
        <v>0</v>
      </c>
      <c r="L18" s="110" t="n">
        <v>111540</v>
      </c>
      <c r="M18" s="109" t="inlineStr">
        <is>
          <t>government</t>
        </is>
      </c>
    </row>
    <row r="19" ht="13.8" customHeight="1" s="82">
      <c r="A19" s="108" t="inlineStr">
        <is>
          <t>S00101</t>
        </is>
      </c>
      <c r="B19" s="108" t="inlineStr">
        <is>
          <t>GFE</t>
        </is>
      </c>
      <c r="C19" s="108" t="inlineStr">
        <is>
          <t>Federal government enterprises</t>
        </is>
      </c>
      <c r="D19" s="108" t="inlineStr">
        <is>
          <t>Federal electric utilities</t>
        </is>
      </c>
      <c r="E19" s="120" t="inlineStr">
        <is>
          <t>S00101</t>
        </is>
      </c>
      <c r="F19" s="108" t="n">
        <v>3017</v>
      </c>
      <c r="G19" s="108" t="n">
        <v>-91</v>
      </c>
      <c r="H19" s="108" t="n">
        <v>1270</v>
      </c>
      <c r="I19" s="109" t="n">
        <v>1997</v>
      </c>
      <c r="J19" s="108" t="n">
        <v>0</v>
      </c>
      <c r="K19" s="108" t="n">
        <v>0</v>
      </c>
      <c r="L19" s="110" t="n">
        <v>4566</v>
      </c>
      <c r="M19" s="109" t="inlineStr">
        <is>
          <t>government</t>
        </is>
      </c>
    </row>
    <row r="20" ht="13.8" customHeight="1" s="82">
      <c r="A20" s="108" t="inlineStr">
        <is>
          <t>S00102</t>
        </is>
      </c>
      <c r="B20" s="108" t="inlineStr">
        <is>
          <t>GFE</t>
        </is>
      </c>
      <c r="C20" s="108" t="inlineStr">
        <is>
          <t>Federal government enterprises</t>
        </is>
      </c>
      <c r="D20" s="108" t="inlineStr">
        <is>
          <t>Other federal government enterprises</t>
        </is>
      </c>
      <c r="E20" s="120" t="inlineStr">
        <is>
          <t>S00102</t>
        </is>
      </c>
      <c r="F20" s="108" t="n">
        <v>0</v>
      </c>
      <c r="G20" s="108" t="n">
        <v>0</v>
      </c>
      <c r="H20" s="108" t="n">
        <v>0</v>
      </c>
      <c r="I20" s="109" t="n">
        <v>2973</v>
      </c>
      <c r="J20" s="108" t="n">
        <v>0</v>
      </c>
      <c r="K20" s="108" t="n">
        <v>-6339</v>
      </c>
      <c r="L20" s="110" t="n">
        <v>4080</v>
      </c>
      <c r="M20" s="109" t="inlineStr">
        <is>
          <t>government</t>
        </is>
      </c>
    </row>
    <row r="21" ht="13.8" customHeight="1" s="82">
      <c r="A21" s="108" t="inlineStr">
        <is>
          <t>S00201</t>
        </is>
      </c>
      <c r="B21" s="108" t="inlineStr">
        <is>
          <t>GSLE</t>
        </is>
      </c>
      <c r="C21" s="108" t="inlineStr">
        <is>
          <t>State and local government enterprises</t>
        </is>
      </c>
      <c r="D21" s="108" t="inlineStr">
        <is>
          <t>State and local government passenger transit</t>
        </is>
      </c>
      <c r="E21" s="120" t="inlineStr">
        <is>
          <t>S00201</t>
        </is>
      </c>
      <c r="F21" s="108" t="n">
        <v>27466</v>
      </c>
      <c r="G21" s="108" t="n">
        <v>-784</v>
      </c>
      <c r="H21" s="108" t="n">
        <v>6034</v>
      </c>
      <c r="I21" s="109" t="n">
        <v>26850</v>
      </c>
      <c r="J21" s="108" t="n">
        <v>0</v>
      </c>
      <c r="K21" s="108" t="n">
        <v>0</v>
      </c>
      <c r="L21" s="110" t="n">
        <v>-36919</v>
      </c>
      <c r="M21" s="109" t="inlineStr">
        <is>
          <t>government</t>
        </is>
      </c>
    </row>
    <row r="22" ht="13.8" customHeight="1" s="82">
      <c r="A22" s="108" t="inlineStr">
        <is>
          <t>S00202</t>
        </is>
      </c>
      <c r="B22" s="108" t="inlineStr">
        <is>
          <t>GSLE</t>
        </is>
      </c>
      <c r="C22" s="108" t="inlineStr">
        <is>
          <t>State and local government enterprises</t>
        </is>
      </c>
      <c r="D22" s="108" t="inlineStr">
        <is>
          <t>State and local government electric utilities</t>
        </is>
      </c>
      <c r="E22" s="120" t="inlineStr">
        <is>
          <t>S00202</t>
        </is>
      </c>
      <c r="F22" s="108" t="n">
        <v>12392</v>
      </c>
      <c r="G22" s="108" t="n">
        <v>-354</v>
      </c>
      <c r="H22" s="108" t="n">
        <v>2722</v>
      </c>
      <c r="I22" s="109" t="n">
        <v>10203</v>
      </c>
      <c r="J22" s="108" t="n">
        <v>0</v>
      </c>
      <c r="K22" s="108" t="n">
        <v>0</v>
      </c>
      <c r="L22" s="110" t="n">
        <v>19288</v>
      </c>
      <c r="M22" s="109" t="inlineStr">
        <is>
          <t>government</t>
        </is>
      </c>
    </row>
    <row r="23" ht="13.8" customHeight="1" s="82">
      <c r="A23" s="108" t="inlineStr">
        <is>
          <t>S00203</t>
        </is>
      </c>
      <c r="B23" s="108" t="inlineStr">
        <is>
          <t>GSLE</t>
        </is>
      </c>
      <c r="C23" s="108" t="inlineStr">
        <is>
          <t>State and local government enterprises</t>
        </is>
      </c>
      <c r="D23" s="108" t="inlineStr">
        <is>
          <t>Other state and local government enterprises</t>
        </is>
      </c>
      <c r="E23" s="120" t="inlineStr">
        <is>
          <t>S00203</t>
        </is>
      </c>
      <c r="F23" s="108" t="n">
        <v>0</v>
      </c>
      <c r="G23" s="108" t="n">
        <v>0</v>
      </c>
      <c r="H23" s="108" t="n">
        <v>0</v>
      </c>
      <c r="I23" s="109" t="n">
        <v>69979</v>
      </c>
      <c r="J23" s="108" t="n">
        <v>0</v>
      </c>
      <c r="K23" s="108" t="n">
        <v>-18933</v>
      </c>
      <c r="L23" s="110" t="n">
        <v>74058</v>
      </c>
      <c r="M23" s="109" t="inlineStr">
        <is>
          <t>government</t>
        </is>
      </c>
    </row>
    <row r="24" ht="13.8" customHeight="1" s="82">
      <c r="A24" s="108" t="inlineStr">
        <is>
          <t>S00500</t>
        </is>
      </c>
      <c r="B24" s="108" t="inlineStr">
        <is>
          <t>GFGD</t>
        </is>
      </c>
      <c r="C24" s="108" t="inlineStr">
        <is>
          <t>Federal general government (defense)</t>
        </is>
      </c>
      <c r="D24" s="108" t="inlineStr">
        <is>
          <t>Federal general government (defense)</t>
        </is>
      </c>
      <c r="E24" s="120" t="inlineStr">
        <is>
          <t>S00500</t>
        </is>
      </c>
      <c r="F24" s="108" t="n">
        <v>157200</v>
      </c>
      <c r="G24" s="108" t="n">
        <v>1</v>
      </c>
      <c r="H24" s="108" t="n">
        <v>82327</v>
      </c>
      <c r="I24" s="109" t="n">
        <v>246097</v>
      </c>
      <c r="J24" s="108" t="n">
        <v>0</v>
      </c>
      <c r="K24" s="108" t="n">
        <v>0</v>
      </c>
      <c r="L24" s="110" t="n">
        <v>159521</v>
      </c>
      <c r="M24" s="109" t="inlineStr">
        <is>
          <t>government</t>
        </is>
      </c>
    </row>
    <row r="25" ht="13.8" customHeight="1" s="82">
      <c r="A25" s="108" t="inlineStr">
        <is>
          <t>S00600</t>
        </is>
      </c>
      <c r="B25" s="108" t="inlineStr">
        <is>
          <t>GFGN</t>
        </is>
      </c>
      <c r="C25" s="108" t="inlineStr">
        <is>
          <t>Federal general government (nondefense)</t>
        </is>
      </c>
      <c r="D25" s="108" t="inlineStr">
        <is>
          <t>Federal general government (nondefense)</t>
        </is>
      </c>
      <c r="E25" s="120" t="inlineStr">
        <is>
          <t>S00600</t>
        </is>
      </c>
      <c r="F25" s="108" t="n">
        <v>312258</v>
      </c>
      <c r="G25" s="108" t="n">
        <v>-9371</v>
      </c>
      <c r="H25" s="108" t="n">
        <v>131460</v>
      </c>
      <c r="I25" s="109" t="n">
        <v>184220</v>
      </c>
      <c r="J25" s="108" t="n">
        <v>0</v>
      </c>
      <c r="K25" s="108" t="n">
        <v>0</v>
      </c>
      <c r="L25" s="110" t="n">
        <v>112305</v>
      </c>
      <c r="M25" s="109" t="inlineStr">
        <is>
          <t>government</t>
        </is>
      </c>
    </row>
    <row r="26" ht="13.8" customHeight="1" s="82">
      <c r="A26" s="83" t="inlineStr">
        <is>
          <t>1111A0</t>
        </is>
      </c>
      <c r="B26" s="83" t="inlineStr">
        <is>
          <t>111CA</t>
        </is>
      </c>
      <c r="C26" s="83" t="inlineStr">
        <is>
          <t>Farms</t>
        </is>
      </c>
      <c r="D26" s="83" t="inlineStr">
        <is>
          <t>Oilseed farming</t>
        </is>
      </c>
      <c r="E26" s="84" t="inlineStr">
        <is>
          <t>1111A0</t>
        </is>
      </c>
      <c r="F26" s="83" t="n">
        <v>227</v>
      </c>
      <c r="G26" s="83" t="n">
        <v>-9</v>
      </c>
      <c r="H26" s="83" t="n">
        <v>1324</v>
      </c>
      <c r="I26" s="92" t="n">
        <v>1062</v>
      </c>
      <c r="J26" s="83" t="n">
        <v>1112</v>
      </c>
      <c r="K26" s="83" t="n">
        <v>0</v>
      </c>
      <c r="L26" s="93" t="n">
        <v>15495</v>
      </c>
    </row>
    <row r="27" ht="13.8" customHeight="1" s="82">
      <c r="A27" s="83" t="inlineStr">
        <is>
          <t>1111B0</t>
        </is>
      </c>
      <c r="B27" s="83" t="inlineStr">
        <is>
          <t>111CA</t>
        </is>
      </c>
      <c r="C27" s="83" t="inlineStr">
        <is>
          <t>Farms</t>
        </is>
      </c>
      <c r="D27" s="83" t="inlineStr">
        <is>
          <t>Grain farming</t>
        </is>
      </c>
      <c r="E27" s="84" t="inlineStr">
        <is>
          <t>1111B0</t>
        </is>
      </c>
      <c r="F27" s="83" t="n">
        <v>2159</v>
      </c>
      <c r="G27" s="83" t="n">
        <v>-84</v>
      </c>
      <c r="H27" s="83" t="n">
        <v>12623</v>
      </c>
      <c r="I27" s="92" t="n">
        <v>3149</v>
      </c>
      <c r="J27" s="83" t="n">
        <v>1293</v>
      </c>
      <c r="K27" s="83" t="n">
        <v>-9531</v>
      </c>
      <c r="L27" s="93" t="n">
        <v>14896</v>
      </c>
    </row>
    <row r="28" ht="13.8" customHeight="1" s="82">
      <c r="A28" s="83" t="inlineStr">
        <is>
          <t>111200</t>
        </is>
      </c>
      <c r="B28" s="83" t="inlineStr">
        <is>
          <t>111CA</t>
        </is>
      </c>
      <c r="C28" s="83" t="inlineStr">
        <is>
          <t>Farms</t>
        </is>
      </c>
      <c r="D28" s="83" t="inlineStr">
        <is>
          <t>Vegetable and melon farming</t>
        </is>
      </c>
      <c r="E28" s="84" t="inlineStr">
        <is>
          <t>111200</t>
        </is>
      </c>
      <c r="F28" s="83" t="n">
        <v>3411</v>
      </c>
      <c r="G28" s="83" t="n">
        <v>-133</v>
      </c>
      <c r="H28" s="83" t="n">
        <v>19939</v>
      </c>
      <c r="I28" s="92" t="n">
        <v>2497</v>
      </c>
      <c r="J28" s="83" t="n">
        <v>489</v>
      </c>
      <c r="K28" s="83" t="n">
        <v>0</v>
      </c>
      <c r="L28" s="93" t="n">
        <v>5165</v>
      </c>
    </row>
    <row r="29" ht="13.8" customHeight="1" s="82">
      <c r="A29" s="83" t="inlineStr">
        <is>
          <t>111300</t>
        </is>
      </c>
      <c r="B29" s="83" t="inlineStr">
        <is>
          <t>111CA</t>
        </is>
      </c>
      <c r="C29" s="83" t="inlineStr">
        <is>
          <t>Farms</t>
        </is>
      </c>
      <c r="D29" s="83" t="inlineStr">
        <is>
          <t>Fruit and tree nut farming</t>
        </is>
      </c>
      <c r="E29" s="84" t="inlineStr">
        <is>
          <t>111300</t>
        </is>
      </c>
      <c r="F29" s="83" t="n">
        <v>5549</v>
      </c>
      <c r="G29" s="83" t="n">
        <v>-216</v>
      </c>
      <c r="H29" s="83" t="n">
        <v>32440</v>
      </c>
      <c r="I29" s="92" t="n">
        <v>5182</v>
      </c>
      <c r="J29" s="83" t="n">
        <v>826</v>
      </c>
      <c r="K29" s="83" t="n">
        <v>0</v>
      </c>
      <c r="L29" s="93" t="n">
        <v>12227</v>
      </c>
    </row>
    <row r="30" ht="13.8" customHeight="1" s="82">
      <c r="A30" s="83" t="inlineStr">
        <is>
          <t>111400</t>
        </is>
      </c>
      <c r="B30" s="83" t="inlineStr">
        <is>
          <t>111CA</t>
        </is>
      </c>
      <c r="C30" s="83" t="inlineStr">
        <is>
          <t>Farms</t>
        </is>
      </c>
      <c r="D30" s="83" t="inlineStr">
        <is>
          <t>Greenhouse, nursery, and floriculture production</t>
        </is>
      </c>
      <c r="E30" s="84" t="inlineStr">
        <is>
          <t>111400</t>
        </is>
      </c>
      <c r="F30" s="83" t="n">
        <v>7059</v>
      </c>
      <c r="G30" s="83" t="n">
        <v>-275</v>
      </c>
      <c r="H30" s="83" t="n">
        <v>41268</v>
      </c>
      <c r="I30" s="92" t="n">
        <v>5456</v>
      </c>
      <c r="J30" s="83" t="n">
        <v>362</v>
      </c>
      <c r="K30" s="83" t="n">
        <v>0</v>
      </c>
      <c r="L30" s="93" t="n">
        <v>4415</v>
      </c>
    </row>
    <row r="31" ht="13.8" customHeight="1" s="82">
      <c r="A31" s="83" t="inlineStr">
        <is>
          <t>111900</t>
        </is>
      </c>
      <c r="B31" s="83" t="inlineStr">
        <is>
          <t>111CA</t>
        </is>
      </c>
      <c r="C31" s="83" t="inlineStr">
        <is>
          <t>Farms</t>
        </is>
      </c>
      <c r="D31" s="83" t="inlineStr">
        <is>
          <t>Other crop farming</t>
        </is>
      </c>
      <c r="E31" s="84" t="inlineStr">
        <is>
          <t>111900</t>
        </is>
      </c>
      <c r="F31" s="83" t="n">
        <v>2878</v>
      </c>
      <c r="G31" s="83" t="n">
        <v>-112</v>
      </c>
      <c r="H31" s="83" t="n">
        <v>16822</v>
      </c>
      <c r="I31" s="92" t="n">
        <v>4823</v>
      </c>
      <c r="J31" s="83" t="n">
        <v>544</v>
      </c>
      <c r="K31" s="83" t="n">
        <v>-585</v>
      </c>
      <c r="L31" s="93" t="n">
        <v>4298</v>
      </c>
    </row>
    <row r="32" ht="13.8" customHeight="1" s="82">
      <c r="A32" s="83" t="inlineStr">
        <is>
          <t>112120</t>
        </is>
      </c>
      <c r="B32" s="83" t="inlineStr">
        <is>
          <t>111CA</t>
        </is>
      </c>
      <c r="C32" s="83" t="inlineStr">
        <is>
          <t>Farms</t>
        </is>
      </c>
      <c r="D32" s="83" t="inlineStr">
        <is>
          <t>Dairy cattle and milk production</t>
        </is>
      </c>
      <c r="E32" s="84" t="inlineStr">
        <is>
          <t>112120</t>
        </is>
      </c>
      <c r="F32" s="83" t="n">
        <v>4330</v>
      </c>
      <c r="G32" s="83" t="n">
        <v>-168</v>
      </c>
      <c r="H32" s="83" t="n">
        <v>25315</v>
      </c>
      <c r="I32" s="92" t="n">
        <v>2179</v>
      </c>
      <c r="J32" s="83" t="n">
        <v>853</v>
      </c>
      <c r="K32" s="83" t="n">
        <v>0</v>
      </c>
      <c r="L32" s="93" t="n">
        <v>6583</v>
      </c>
    </row>
    <row r="33" ht="13.8" customHeight="1" s="82">
      <c r="A33" s="83" t="inlineStr">
        <is>
          <t>1121A0</t>
        </is>
      </c>
      <c r="B33" s="83" t="inlineStr">
        <is>
          <t>111CA</t>
        </is>
      </c>
      <c r="C33" s="83" t="inlineStr">
        <is>
          <t>Farms</t>
        </is>
      </c>
      <c r="D33" s="83" t="inlineStr">
        <is>
          <t>Beef cattle ranching and farming, including feedlots and dual-purpose ranching and farming</t>
        </is>
      </c>
      <c r="E33" s="84" t="inlineStr">
        <is>
          <t>1121A0</t>
        </is>
      </c>
      <c r="F33" s="83" t="n">
        <v>2318</v>
      </c>
      <c r="G33" s="83" t="n">
        <v>-90</v>
      </c>
      <c r="H33" s="83" t="n">
        <v>13550</v>
      </c>
      <c r="I33" s="92" t="n">
        <v>1231</v>
      </c>
      <c r="J33" s="83" t="n">
        <v>1890</v>
      </c>
      <c r="K33" s="83" t="n">
        <v>0</v>
      </c>
      <c r="L33" s="93" t="n">
        <v>24181</v>
      </c>
    </row>
    <row r="34" ht="13.8" customHeight="1" s="82">
      <c r="A34" s="83" t="inlineStr">
        <is>
          <t>112300</t>
        </is>
      </c>
      <c r="B34" s="83" t="inlineStr">
        <is>
          <t>111CA</t>
        </is>
      </c>
      <c r="C34" s="83" t="inlineStr">
        <is>
          <t>Farms</t>
        </is>
      </c>
      <c r="D34" s="83" t="inlineStr">
        <is>
          <t>Poultry and egg production</t>
        </is>
      </c>
      <c r="E34" s="84" t="inlineStr">
        <is>
          <t>112300</t>
        </is>
      </c>
      <c r="F34" s="83" t="n">
        <v>2157</v>
      </c>
      <c r="G34" s="83" t="n">
        <v>-84</v>
      </c>
      <c r="H34" s="83" t="n">
        <v>12611</v>
      </c>
      <c r="I34" s="92" t="n">
        <v>2521</v>
      </c>
      <c r="J34" s="83" t="n">
        <v>1051</v>
      </c>
      <c r="K34" s="83" t="n">
        <v>0</v>
      </c>
      <c r="L34" s="93" t="n">
        <v>2239</v>
      </c>
    </row>
    <row r="35" ht="13.8" customHeight="1" s="82">
      <c r="A35" s="83" t="inlineStr">
        <is>
          <t>112A00</t>
        </is>
      </c>
      <c r="B35" s="83" t="inlineStr">
        <is>
          <t>111CA</t>
        </is>
      </c>
      <c r="C35" s="83" t="inlineStr">
        <is>
          <t>Farms</t>
        </is>
      </c>
      <c r="D35" s="83" t="inlineStr">
        <is>
          <t>Animal production, except cattle and poultry and eggs</t>
        </is>
      </c>
      <c r="E35" s="84" t="inlineStr">
        <is>
          <t>112A00</t>
        </is>
      </c>
      <c r="F35" s="83" t="n">
        <v>2748</v>
      </c>
      <c r="G35" s="83" t="n">
        <v>-107</v>
      </c>
      <c r="H35" s="83" t="n">
        <v>16065</v>
      </c>
      <c r="I35" s="92" t="n">
        <v>2761</v>
      </c>
      <c r="J35" s="83" t="n">
        <v>985</v>
      </c>
      <c r="K35" s="83" t="n">
        <v>0</v>
      </c>
      <c r="L35" s="93" t="n">
        <v>19081</v>
      </c>
    </row>
    <row r="36" ht="13.8" customHeight="1" s="82">
      <c r="A36" s="83" t="inlineStr">
        <is>
          <t>113000</t>
        </is>
      </c>
      <c r="B36" s="83" t="inlineStr">
        <is>
          <t>113FF</t>
        </is>
      </c>
      <c r="C36" s="83" t="inlineStr">
        <is>
          <t>Forestry, fishing, and related activities</t>
        </is>
      </c>
      <c r="D36" s="83" t="inlineStr">
        <is>
          <t>Forestry and logging</t>
        </is>
      </c>
      <c r="E36" s="84" t="inlineStr">
        <is>
          <t>113000</t>
        </is>
      </c>
      <c r="F36" s="83" t="n">
        <v>3839</v>
      </c>
      <c r="G36" s="83" t="n">
        <v>322</v>
      </c>
      <c r="H36" s="83" t="n">
        <v>1632</v>
      </c>
      <c r="I36" s="92" t="n">
        <v>8288</v>
      </c>
      <c r="J36" s="83" t="n">
        <v>424</v>
      </c>
      <c r="K36" s="83" t="n">
        <v>37</v>
      </c>
      <c r="L36" s="93" t="n">
        <v>1916</v>
      </c>
    </row>
    <row r="37" ht="13.8" customHeight="1" s="82">
      <c r="A37" s="83" t="inlineStr">
        <is>
          <t>114000</t>
        </is>
      </c>
      <c r="B37" s="83" t="inlineStr">
        <is>
          <t>113FF</t>
        </is>
      </c>
      <c r="C37" s="83" t="inlineStr">
        <is>
          <t>Forestry, fishing, and related activities</t>
        </is>
      </c>
      <c r="D37" s="83" t="inlineStr">
        <is>
          <t>Fishing, hunting and trapping</t>
        </is>
      </c>
      <c r="E37" s="84" t="inlineStr">
        <is>
          <t>114000</t>
        </is>
      </c>
      <c r="F37" s="83" t="n">
        <v>1004</v>
      </c>
      <c r="G37" s="83" t="n">
        <v>84</v>
      </c>
      <c r="H37" s="83" t="n">
        <v>427</v>
      </c>
      <c r="I37" s="92" t="n">
        <v>895</v>
      </c>
      <c r="J37" s="83" t="n">
        <v>198</v>
      </c>
      <c r="K37" s="83" t="n">
        <v>449</v>
      </c>
      <c r="L37" s="93" t="n">
        <v>5344</v>
      </c>
    </row>
    <row r="38" ht="13.8" customHeight="1" s="82">
      <c r="A38" s="83" t="inlineStr">
        <is>
          <t>115000</t>
        </is>
      </c>
      <c r="B38" s="83" t="inlineStr">
        <is>
          <t>113FF</t>
        </is>
      </c>
      <c r="C38" s="83" t="inlineStr">
        <is>
          <t>Forestry, fishing, and related activities</t>
        </is>
      </c>
      <c r="D38" s="83" t="inlineStr">
        <is>
          <t>Support activities for agriculture and forestry</t>
        </is>
      </c>
      <c r="E38" s="84" t="inlineStr">
        <is>
          <t>115000</t>
        </is>
      </c>
      <c r="F38" s="83" t="n">
        <v>26510</v>
      </c>
      <c r="G38" s="83" t="n">
        <v>2224</v>
      </c>
      <c r="H38" s="83" t="n">
        <v>11265</v>
      </c>
      <c r="I38" s="92" t="n">
        <v>16148</v>
      </c>
      <c r="J38" s="83" t="n">
        <v>561</v>
      </c>
      <c r="K38" s="83" t="n">
        <v>0</v>
      </c>
      <c r="L38" s="93" t="n">
        <v>3848</v>
      </c>
    </row>
    <row r="39" ht="13.8" customHeight="1" s="82">
      <c r="A39" s="83" t="inlineStr">
        <is>
          <t>211000</t>
        </is>
      </c>
      <c r="B39" s="83" t="inlineStr">
        <is>
          <t>211</t>
        </is>
      </c>
      <c r="C39" s="83" t="inlineStr">
        <is>
          <t>Oil and gas extraction</t>
        </is>
      </c>
      <c r="D39" s="83" t="inlineStr">
        <is>
          <t>Oil and gas extraction</t>
        </is>
      </c>
      <c r="E39" s="84" t="inlineStr">
        <is>
          <t>211000</t>
        </is>
      </c>
      <c r="F39" s="83" t="n">
        <v>26379</v>
      </c>
      <c r="G39" s="83" t="n">
        <v>52299</v>
      </c>
      <c r="H39" s="83" t="n">
        <v>245847</v>
      </c>
      <c r="I39" s="92" t="n">
        <v>29293</v>
      </c>
      <c r="J39" s="83" t="n">
        <v>23283</v>
      </c>
      <c r="K39" s="83" t="n">
        <v>8342</v>
      </c>
      <c r="L39" s="93" t="n">
        <v>100192</v>
      </c>
    </row>
    <row r="40" ht="13.8" customHeight="1" s="82">
      <c r="A40" s="83" t="inlineStr">
        <is>
          <t>212100</t>
        </is>
      </c>
      <c r="B40" s="83" t="inlineStr">
        <is>
          <t>212</t>
        </is>
      </c>
      <c r="C40" s="83" t="inlineStr">
        <is>
          <t>Mining, except oil and gas</t>
        </is>
      </c>
      <c r="D40" s="83" t="inlineStr">
        <is>
          <t>Coal mining</t>
        </is>
      </c>
      <c r="E40" s="84" t="inlineStr">
        <is>
          <t>212100</t>
        </is>
      </c>
      <c r="F40" s="83" t="n">
        <v>5171</v>
      </c>
      <c r="G40" s="83" t="n">
        <v>2244</v>
      </c>
      <c r="H40" s="83" t="n">
        <v>12289</v>
      </c>
      <c r="I40" s="92" t="n">
        <v>5561</v>
      </c>
      <c r="J40" s="83" t="n">
        <v>1044</v>
      </c>
      <c r="K40" s="83" t="n">
        <v>1094</v>
      </c>
      <c r="L40" s="93" t="n">
        <v>11518</v>
      </c>
    </row>
    <row r="41" ht="13.8" customHeight="1" s="82">
      <c r="A41" s="83" t="inlineStr">
        <is>
          <t>212230</t>
        </is>
      </c>
      <c r="B41" s="83" t="inlineStr">
        <is>
          <t>212</t>
        </is>
      </c>
      <c r="C41" s="83" t="inlineStr">
        <is>
          <t>Mining, except oil and gas</t>
        </is>
      </c>
      <c r="D41" s="83" t="inlineStr">
        <is>
          <t>Copper, nickel, lead, and zinc mining</t>
        </is>
      </c>
      <c r="E41" s="84" t="inlineStr">
        <is>
          <t>212230</t>
        </is>
      </c>
      <c r="F41" s="83" t="n">
        <v>2219</v>
      </c>
      <c r="G41" s="83" t="n">
        <v>963</v>
      </c>
      <c r="H41" s="83" t="n">
        <v>5274</v>
      </c>
      <c r="I41" s="92" t="n">
        <v>1562</v>
      </c>
      <c r="J41" s="83" t="n">
        <v>381</v>
      </c>
      <c r="K41" s="83" t="n">
        <v>258</v>
      </c>
      <c r="L41" s="93" t="n">
        <v>4873</v>
      </c>
    </row>
    <row r="42" ht="13.8" customHeight="1" s="82">
      <c r="A42" s="83" t="inlineStr">
        <is>
          <t>2122A0</t>
        </is>
      </c>
      <c r="B42" s="83" t="inlineStr">
        <is>
          <t>212</t>
        </is>
      </c>
      <c r="C42" s="83" t="inlineStr">
        <is>
          <t>Mining, except oil and gas</t>
        </is>
      </c>
      <c r="D42" s="83" t="inlineStr">
        <is>
          <t>Iron, gold, silver, and other metal ore mining</t>
        </is>
      </c>
      <c r="E42" s="84" t="inlineStr">
        <is>
          <t>2122A0</t>
        </is>
      </c>
      <c r="F42" s="83" t="n">
        <v>3479</v>
      </c>
      <c r="G42" s="83" t="n">
        <v>1510</v>
      </c>
      <c r="H42" s="83" t="n">
        <v>8268</v>
      </c>
      <c r="I42" s="92" t="n">
        <v>2866</v>
      </c>
      <c r="J42" s="83" t="n">
        <v>411</v>
      </c>
      <c r="K42" s="83" t="n">
        <v>316</v>
      </c>
      <c r="L42" s="93" t="n">
        <v>3212</v>
      </c>
    </row>
    <row r="43" ht="13.8" customHeight="1" s="82">
      <c r="A43" s="83" t="inlineStr">
        <is>
          <t>212310</t>
        </is>
      </c>
      <c r="B43" s="83" t="inlineStr">
        <is>
          <t>212</t>
        </is>
      </c>
      <c r="C43" s="83" t="inlineStr">
        <is>
          <t>Mining, except oil and gas</t>
        </is>
      </c>
      <c r="D43" s="83" t="inlineStr">
        <is>
          <t>Stone mining and quarrying</t>
        </is>
      </c>
      <c r="E43" s="84" t="inlineStr">
        <is>
          <t>212310</t>
        </is>
      </c>
      <c r="F43" s="83" t="n">
        <v>4018</v>
      </c>
      <c r="G43" s="83" t="n">
        <v>1743</v>
      </c>
      <c r="H43" s="83" t="n">
        <v>9549</v>
      </c>
      <c r="I43" s="92" t="n">
        <v>3221</v>
      </c>
      <c r="J43" s="83" t="n">
        <v>447</v>
      </c>
      <c r="K43" s="83" t="n">
        <v>289</v>
      </c>
      <c r="L43" s="93" t="n">
        <v>5303</v>
      </c>
    </row>
    <row r="44" ht="13.8" customHeight="1" s="82">
      <c r="A44" s="83" t="inlineStr">
        <is>
          <t>2123A0</t>
        </is>
      </c>
      <c r="B44" s="83" t="inlineStr">
        <is>
          <t>212</t>
        </is>
      </c>
      <c r="C44" s="83" t="inlineStr">
        <is>
          <t>Mining, except oil and gas</t>
        </is>
      </c>
      <c r="D44" s="83" t="inlineStr">
        <is>
          <t>Other nonmetallic mineral mining and quarrying</t>
        </is>
      </c>
      <c r="E44" s="84" t="inlineStr">
        <is>
          <t>2123A0</t>
        </is>
      </c>
      <c r="F44" s="83" t="n">
        <v>5659</v>
      </c>
      <c r="G44" s="83" t="n">
        <v>2455</v>
      </c>
      <c r="H44" s="83" t="n">
        <v>13449</v>
      </c>
      <c r="I44" s="92" t="n">
        <v>4414</v>
      </c>
      <c r="J44" s="83" t="n">
        <v>500</v>
      </c>
      <c r="K44" s="83" t="n">
        <v>423</v>
      </c>
      <c r="L44" s="93" t="n">
        <v>4575</v>
      </c>
    </row>
    <row r="45" ht="13.8" customHeight="1" s="82">
      <c r="A45" s="83" t="inlineStr">
        <is>
          <t>213111</t>
        </is>
      </c>
      <c r="B45" s="83" t="inlineStr">
        <is>
          <t>213</t>
        </is>
      </c>
      <c r="C45" s="83" t="inlineStr">
        <is>
          <t>Support activities for mining</t>
        </is>
      </c>
      <c r="D45" s="83" t="inlineStr">
        <is>
          <t>Drilling oil and gas wells</t>
        </is>
      </c>
      <c r="E45" s="84" t="inlineStr">
        <is>
          <t>213111</t>
        </is>
      </c>
      <c r="F45" s="83" t="n">
        <v>5210</v>
      </c>
      <c r="G45" s="83" t="n">
        <v>421</v>
      </c>
      <c r="H45" s="83" t="n">
        <v>3563</v>
      </c>
      <c r="I45" s="92" t="n">
        <v>6659</v>
      </c>
      <c r="J45" s="83" t="n">
        <v>538</v>
      </c>
      <c r="K45" s="83" t="n">
        <v>48</v>
      </c>
      <c r="L45" s="93" t="n">
        <v>5888</v>
      </c>
    </row>
    <row r="46" ht="13.8" customHeight="1" s="82">
      <c r="A46" s="83" t="inlineStr">
        <is>
          <t>21311A</t>
        </is>
      </c>
      <c r="B46" s="83" t="inlineStr">
        <is>
          <t>213</t>
        </is>
      </c>
      <c r="C46" s="83" t="inlineStr">
        <is>
          <t>Support activities for mining</t>
        </is>
      </c>
      <c r="D46" s="83" t="inlineStr">
        <is>
          <t>Other support activities for mining</t>
        </is>
      </c>
      <c r="E46" s="84" t="inlineStr">
        <is>
          <t>21311A</t>
        </is>
      </c>
      <c r="F46" s="83" t="n">
        <v>25745</v>
      </c>
      <c r="G46" s="83" t="n">
        <v>2081</v>
      </c>
      <c r="H46" s="83" t="n">
        <v>17606</v>
      </c>
      <c r="I46" s="92" t="n">
        <v>23306</v>
      </c>
      <c r="J46" s="83" t="n">
        <v>1488</v>
      </c>
      <c r="K46" s="83" t="n">
        <v>166</v>
      </c>
      <c r="L46" s="93" t="n">
        <v>15832</v>
      </c>
    </row>
    <row r="47" ht="13.8" customHeight="1" s="82">
      <c r="A47" s="83" t="inlineStr">
        <is>
          <t>221100</t>
        </is>
      </c>
      <c r="B47" s="83" t="inlineStr">
        <is>
          <t>22</t>
        </is>
      </c>
      <c r="C47" s="83" t="inlineStr">
        <is>
          <t>Utilities</t>
        </is>
      </c>
      <c r="D47" s="83" t="inlineStr">
        <is>
          <t>Electric power generation, transmission, and distribution</t>
        </is>
      </c>
      <c r="E47" s="84" t="inlineStr">
        <is>
          <t>221100</t>
        </is>
      </c>
      <c r="F47" s="83" t="n">
        <v>58850</v>
      </c>
      <c r="G47" s="83" t="n">
        <v>46734</v>
      </c>
      <c r="H47" s="83" t="n">
        <v>163593</v>
      </c>
      <c r="I47" s="92" t="n">
        <v>60608</v>
      </c>
      <c r="J47" s="83" t="n">
        <v>26174</v>
      </c>
      <c r="K47" s="83" t="n">
        <v>23580</v>
      </c>
      <c r="L47" s="93" t="n">
        <v>148096</v>
      </c>
    </row>
    <row r="48" ht="13.8" customHeight="1" s="82">
      <c r="A48" s="83" t="inlineStr">
        <is>
          <t>221200</t>
        </is>
      </c>
      <c r="B48" s="83" t="inlineStr">
        <is>
          <t>22</t>
        </is>
      </c>
      <c r="C48" s="83" t="inlineStr">
        <is>
          <t>Utilities</t>
        </is>
      </c>
      <c r="D48" s="83" t="inlineStr">
        <is>
          <t>Natural gas distribution</t>
        </is>
      </c>
      <c r="E48" s="84" t="inlineStr">
        <is>
          <t>221200</t>
        </is>
      </c>
      <c r="F48" s="83" t="n">
        <v>17574</v>
      </c>
      <c r="G48" s="83" t="n">
        <v>13956</v>
      </c>
      <c r="H48" s="83" t="n">
        <v>48854</v>
      </c>
      <c r="I48" s="92" t="n">
        <v>16820</v>
      </c>
      <c r="J48" s="83" t="n">
        <v>5232</v>
      </c>
      <c r="K48" s="83" t="n">
        <v>5427</v>
      </c>
      <c r="L48" s="93" t="n">
        <v>18036</v>
      </c>
    </row>
    <row r="49" ht="13.8" customHeight="1" s="82">
      <c r="A49" s="83" t="inlineStr">
        <is>
          <t>221300</t>
        </is>
      </c>
      <c r="B49" s="83" t="inlineStr">
        <is>
          <t>22</t>
        </is>
      </c>
      <c r="C49" s="83" t="inlineStr">
        <is>
          <t>Utilities</t>
        </is>
      </c>
      <c r="D49" s="83" t="inlineStr">
        <is>
          <t>Water, sewage and other systems</t>
        </is>
      </c>
      <c r="E49" s="84" t="inlineStr">
        <is>
          <t>221300</t>
        </is>
      </c>
      <c r="F49" s="83" t="n">
        <v>19382</v>
      </c>
      <c r="G49" s="83" t="n">
        <v>15392</v>
      </c>
      <c r="H49" s="83" t="n">
        <v>53880</v>
      </c>
      <c r="I49" s="92" t="n">
        <v>4150</v>
      </c>
      <c r="J49" s="83" t="n">
        <v>1033</v>
      </c>
      <c r="K49" s="83" t="n">
        <v>325</v>
      </c>
      <c r="L49" s="93" t="n">
        <v>4230</v>
      </c>
    </row>
    <row r="50" ht="13.8" customHeight="1" s="82">
      <c r="A50" s="83" t="inlineStr">
        <is>
          <t>230301</t>
        </is>
      </c>
      <c r="B50" s="83" t="inlineStr">
        <is>
          <t>23</t>
        </is>
      </c>
      <c r="C50" s="83" t="inlineStr">
        <is>
          <t>Construction</t>
        </is>
      </c>
      <c r="D50" s="83" t="inlineStr">
        <is>
          <t>Nonresidential maintenance and repair</t>
        </is>
      </c>
      <c r="E50" s="84" t="inlineStr">
        <is>
          <t>230301</t>
        </is>
      </c>
      <c r="F50" s="83" t="n">
        <v>72116</v>
      </c>
      <c r="G50" s="83" t="n">
        <v>1426</v>
      </c>
      <c r="H50" s="83" t="n">
        <v>39066</v>
      </c>
      <c r="I50" s="92" t="n">
        <v>61068</v>
      </c>
      <c r="J50" s="83" t="n">
        <v>1008</v>
      </c>
      <c r="K50" s="83" t="n">
        <v>605</v>
      </c>
      <c r="L50" s="93" t="n">
        <v>39466</v>
      </c>
    </row>
    <row r="51" ht="13.8" customHeight="1" s="82">
      <c r="A51" s="83" t="inlineStr">
        <is>
          <t>230302</t>
        </is>
      </c>
      <c r="B51" s="83" t="inlineStr">
        <is>
          <t>23</t>
        </is>
      </c>
      <c r="C51" s="83" t="inlineStr">
        <is>
          <t>Construction</t>
        </is>
      </c>
      <c r="D51" s="83" t="inlineStr">
        <is>
          <t>Residential maintenance and repair</t>
        </is>
      </c>
      <c r="E51" s="84" t="inlineStr">
        <is>
          <t>230302</t>
        </is>
      </c>
      <c r="F51" s="83" t="n">
        <v>40597</v>
      </c>
      <c r="G51" s="83" t="n">
        <v>803</v>
      </c>
      <c r="H51" s="83" t="n">
        <v>21992</v>
      </c>
      <c r="I51" s="92" t="n">
        <v>27928</v>
      </c>
      <c r="J51" s="83" t="n">
        <v>404</v>
      </c>
      <c r="K51" s="83" t="n">
        <v>290</v>
      </c>
      <c r="L51" s="93" t="n">
        <v>15823</v>
      </c>
    </row>
    <row r="52" ht="13.8" customHeight="1" s="82">
      <c r="A52" s="83" t="inlineStr">
        <is>
          <t>233210</t>
        </is>
      </c>
      <c r="B52" s="83" t="inlineStr">
        <is>
          <t>23</t>
        </is>
      </c>
      <c r="C52" s="83" t="inlineStr">
        <is>
          <t>Construction</t>
        </is>
      </c>
      <c r="D52" s="83" t="inlineStr">
        <is>
          <t>Health care structures</t>
        </is>
      </c>
      <c r="E52" s="84" t="inlineStr">
        <is>
          <t>233210</t>
        </is>
      </c>
      <c r="F52" s="83" t="n">
        <v>39291</v>
      </c>
      <c r="G52" s="83" t="n">
        <v>777</v>
      </c>
      <c r="H52" s="83" t="n">
        <v>21285</v>
      </c>
      <c r="I52" s="92" t="n">
        <v>20279</v>
      </c>
      <c r="J52" s="83" t="n">
        <v>198</v>
      </c>
      <c r="K52" s="83" t="n">
        <v>0</v>
      </c>
      <c r="L52" s="93" t="n">
        <v>8837</v>
      </c>
    </row>
    <row r="53" ht="13.8" customHeight="1" s="82">
      <c r="A53" s="83" t="inlineStr">
        <is>
          <t>233230</t>
        </is>
      </c>
      <c r="B53" s="83" t="inlineStr">
        <is>
          <t>23</t>
        </is>
      </c>
      <c r="C53" s="83" t="inlineStr">
        <is>
          <t>Construction</t>
        </is>
      </c>
      <c r="D53" s="83" t="inlineStr">
        <is>
          <t>Manufacturing structures</t>
        </is>
      </c>
      <c r="E53" s="84" t="inlineStr">
        <is>
          <t>233230</t>
        </is>
      </c>
      <c r="F53" s="83" t="n">
        <v>39901</v>
      </c>
      <c r="G53" s="83" t="n">
        <v>789</v>
      </c>
      <c r="H53" s="83" t="n">
        <v>21615</v>
      </c>
      <c r="I53" s="92" t="n">
        <v>23542</v>
      </c>
      <c r="J53" s="83" t="n">
        <v>293</v>
      </c>
      <c r="K53" s="83" t="n">
        <v>0</v>
      </c>
      <c r="L53" s="93" t="n">
        <v>12468</v>
      </c>
    </row>
    <row r="54" ht="13.8" customHeight="1" s="82">
      <c r="A54" s="83" t="inlineStr">
        <is>
          <t>233240</t>
        </is>
      </c>
      <c r="B54" s="83" t="inlineStr">
        <is>
          <t>23</t>
        </is>
      </c>
      <c r="C54" s="83" t="inlineStr">
        <is>
          <t>Construction</t>
        </is>
      </c>
      <c r="D54" s="83" t="inlineStr">
        <is>
          <t>Power and communication structures</t>
        </is>
      </c>
      <c r="E54" s="84" t="inlineStr">
        <is>
          <t>233240</t>
        </is>
      </c>
      <c r="F54" s="83" t="n">
        <v>23928</v>
      </c>
      <c r="G54" s="83" t="n">
        <v>473</v>
      </c>
      <c r="H54" s="83" t="n">
        <v>12962</v>
      </c>
      <c r="I54" s="92" t="n">
        <v>38811</v>
      </c>
      <c r="J54" s="83" t="n">
        <v>591</v>
      </c>
      <c r="K54" s="83" t="n">
        <v>0</v>
      </c>
      <c r="L54" s="93" t="n">
        <v>30037</v>
      </c>
    </row>
    <row r="55" ht="13.8" customHeight="1" s="82">
      <c r="A55" s="83" t="inlineStr">
        <is>
          <t>233262</t>
        </is>
      </c>
      <c r="B55" s="83" t="inlineStr">
        <is>
          <t>23</t>
        </is>
      </c>
      <c r="C55" s="83" t="inlineStr">
        <is>
          <t>Construction</t>
        </is>
      </c>
      <c r="D55" s="83" t="inlineStr">
        <is>
          <t>Educational and vocational structures</t>
        </is>
      </c>
      <c r="E55" s="84" t="inlineStr">
        <is>
          <t>233262</t>
        </is>
      </c>
      <c r="F55" s="83" t="n">
        <v>70956</v>
      </c>
      <c r="G55" s="83" t="n">
        <v>1403</v>
      </c>
      <c r="H55" s="83" t="n">
        <v>38438</v>
      </c>
      <c r="I55" s="92" t="n">
        <v>34543</v>
      </c>
      <c r="J55" s="83" t="n">
        <v>408</v>
      </c>
      <c r="K55" s="83" t="n">
        <v>0</v>
      </c>
      <c r="L55" s="93" t="n">
        <v>18600</v>
      </c>
    </row>
    <row r="56" ht="13.8" customHeight="1" s="82">
      <c r="A56" s="83" t="inlineStr">
        <is>
          <t>2332A0</t>
        </is>
      </c>
      <c r="B56" s="83" t="inlineStr">
        <is>
          <t>23</t>
        </is>
      </c>
      <c r="C56" s="83" t="inlineStr">
        <is>
          <t>Construction</t>
        </is>
      </c>
      <c r="D56" s="83" t="inlineStr">
        <is>
          <t>Office and commercial structures</t>
        </is>
      </c>
      <c r="E56" s="84" t="inlineStr">
        <is>
          <t>2332A0</t>
        </is>
      </c>
      <c r="F56" s="83" t="n">
        <v>110248</v>
      </c>
      <c r="G56" s="83" t="n">
        <v>2180</v>
      </c>
      <c r="H56" s="83" t="n">
        <v>59723</v>
      </c>
      <c r="I56" s="92" t="n">
        <v>54088</v>
      </c>
      <c r="J56" s="83" t="n">
        <v>679</v>
      </c>
      <c r="K56" s="83" t="n">
        <v>0</v>
      </c>
      <c r="L56" s="93" t="n">
        <v>26452</v>
      </c>
    </row>
    <row r="57" ht="13.8" customHeight="1" s="82">
      <c r="A57" s="83" t="inlineStr">
        <is>
          <t>2332C0</t>
        </is>
      </c>
      <c r="B57" s="83" t="inlineStr">
        <is>
          <t>23</t>
        </is>
      </c>
      <c r="C57" s="83" t="inlineStr">
        <is>
          <t>Construction</t>
        </is>
      </c>
      <c r="D57" s="83" t="inlineStr">
        <is>
          <t>Transportation structures and highways and streets</t>
        </is>
      </c>
      <c r="E57" s="84" t="inlineStr">
        <is>
          <t>2332C0</t>
        </is>
      </c>
      <c r="F57" s="83" t="n">
        <v>47871</v>
      </c>
      <c r="G57" s="83" t="n">
        <v>947</v>
      </c>
      <c r="H57" s="83" t="n">
        <v>25932</v>
      </c>
      <c r="I57" s="92" t="n">
        <v>44513</v>
      </c>
      <c r="J57" s="83" t="n">
        <v>718</v>
      </c>
      <c r="K57" s="83" t="n">
        <v>0</v>
      </c>
      <c r="L57" s="93" t="n">
        <v>26576</v>
      </c>
    </row>
    <row r="58" ht="13.8" customHeight="1" s="82">
      <c r="A58" s="83" t="inlineStr">
        <is>
          <t>2332D0</t>
        </is>
      </c>
      <c r="B58" s="83" t="inlineStr">
        <is>
          <t>23</t>
        </is>
      </c>
      <c r="C58" s="83" t="inlineStr">
        <is>
          <t>Construction</t>
        </is>
      </c>
      <c r="D58" s="83" t="inlineStr">
        <is>
          <t>Other nonresidential structures</t>
        </is>
      </c>
      <c r="E58" s="84" t="inlineStr">
        <is>
          <t>2332D0</t>
        </is>
      </c>
      <c r="F58" s="83" t="n">
        <v>50499</v>
      </c>
      <c r="G58" s="83" t="n">
        <v>999</v>
      </c>
      <c r="H58" s="83" t="n">
        <v>27356</v>
      </c>
      <c r="I58" s="92" t="n">
        <v>42882</v>
      </c>
      <c r="J58" s="83" t="n">
        <v>627</v>
      </c>
      <c r="K58" s="83" t="n">
        <v>0</v>
      </c>
      <c r="L58" s="93" t="n">
        <v>22411</v>
      </c>
    </row>
    <row r="59" ht="13.8" customHeight="1" s="82">
      <c r="A59" s="83" t="inlineStr">
        <is>
          <t>233411</t>
        </is>
      </c>
      <c r="B59" s="83" t="inlineStr">
        <is>
          <t>23</t>
        </is>
      </c>
      <c r="C59" s="83" t="inlineStr">
        <is>
          <t>Construction</t>
        </is>
      </c>
      <c r="D59" s="83" t="inlineStr">
        <is>
          <t>Single-family residential structures</t>
        </is>
      </c>
      <c r="E59" s="84" t="inlineStr">
        <is>
          <t>233411</t>
        </is>
      </c>
      <c r="F59" s="83" t="n">
        <v>116497</v>
      </c>
      <c r="G59" s="83" t="n">
        <v>2304</v>
      </c>
      <c r="H59" s="83" t="n">
        <v>63108</v>
      </c>
      <c r="I59" s="92" t="n">
        <v>94603</v>
      </c>
      <c r="J59" s="83" t="n">
        <v>1308</v>
      </c>
      <c r="K59" s="83" t="n">
        <v>0</v>
      </c>
      <c r="L59" s="93" t="n">
        <v>39980</v>
      </c>
    </row>
    <row r="60" ht="13.8" customHeight="1" s="82">
      <c r="A60" s="83" t="inlineStr">
        <is>
          <t>233412</t>
        </is>
      </c>
      <c r="B60" s="83" t="inlineStr">
        <is>
          <t>23</t>
        </is>
      </c>
      <c r="C60" s="83" t="inlineStr">
        <is>
          <t>Construction</t>
        </is>
      </c>
      <c r="D60" s="83" t="inlineStr">
        <is>
          <t>Multifamily residential structures</t>
        </is>
      </c>
      <c r="E60" s="84" t="inlineStr">
        <is>
          <t>233412</t>
        </is>
      </c>
      <c r="F60" s="83" t="n">
        <v>25326</v>
      </c>
      <c r="G60" s="83" t="n">
        <v>501</v>
      </c>
      <c r="H60" s="83" t="n">
        <v>13719</v>
      </c>
      <c r="I60" s="92" t="n">
        <v>25691</v>
      </c>
      <c r="J60" s="83" t="n">
        <v>541</v>
      </c>
      <c r="K60" s="83" t="n">
        <v>0</v>
      </c>
      <c r="L60" s="93" t="n">
        <v>14739</v>
      </c>
    </row>
    <row r="61" ht="13.8" customHeight="1" s="82">
      <c r="A61" s="83" t="inlineStr">
        <is>
          <t>2334A0</t>
        </is>
      </c>
      <c r="B61" s="83" t="inlineStr">
        <is>
          <t>23</t>
        </is>
      </c>
      <c r="C61" s="83" t="inlineStr">
        <is>
          <t>Construction</t>
        </is>
      </c>
      <c r="D61" s="83" t="inlineStr">
        <is>
          <t>Other residential structures</t>
        </is>
      </c>
      <c r="E61" s="84" t="inlineStr">
        <is>
          <t>2334A0</t>
        </is>
      </c>
      <c r="F61" s="83" t="n">
        <v>60895</v>
      </c>
      <c r="G61" s="83" t="n">
        <v>1204</v>
      </c>
      <c r="H61" s="83" t="n">
        <v>32988</v>
      </c>
      <c r="I61" s="92" t="n">
        <v>52475</v>
      </c>
      <c r="J61" s="83" t="n">
        <v>1484</v>
      </c>
      <c r="K61" s="83" t="n">
        <v>962</v>
      </c>
      <c r="L61" s="93" t="n">
        <v>54293</v>
      </c>
    </row>
    <row r="62" ht="13.8" customHeight="1" s="82">
      <c r="A62" s="83" t="inlineStr">
        <is>
          <t>311111</t>
        </is>
      </c>
      <c r="B62" s="83" t="inlineStr">
        <is>
          <t>311FT</t>
        </is>
      </c>
      <c r="C62" s="83" t="inlineStr">
        <is>
          <t>Food and beverage and tobacco products</t>
        </is>
      </c>
      <c r="D62" s="83" t="inlineStr">
        <is>
          <t>Dog and cat food manufacturing</t>
        </is>
      </c>
      <c r="E62" s="84" t="inlineStr">
        <is>
          <t>311111</t>
        </is>
      </c>
      <c r="F62" s="83" t="n">
        <v>3192</v>
      </c>
      <c r="G62" s="83" t="n">
        <v>628</v>
      </c>
      <c r="H62" s="83" t="n">
        <v>2888</v>
      </c>
      <c r="I62" s="92" t="n">
        <v>2252</v>
      </c>
      <c r="J62" s="83" t="n">
        <v>176</v>
      </c>
      <c r="K62" s="83" t="n">
        <v>41</v>
      </c>
      <c r="L62" s="93" t="n">
        <v>3862</v>
      </c>
    </row>
    <row r="63" ht="13.8" customHeight="1" s="82">
      <c r="A63" s="83" t="inlineStr">
        <is>
          <t>311119</t>
        </is>
      </c>
      <c r="B63" s="83" t="inlineStr">
        <is>
          <t>311FT</t>
        </is>
      </c>
      <c r="C63" s="83" t="inlineStr">
        <is>
          <t>Food and beverage and tobacco products</t>
        </is>
      </c>
      <c r="D63" s="83" t="inlineStr">
        <is>
          <t>Other animal food manufacturing</t>
        </is>
      </c>
      <c r="E63" s="84" t="inlineStr">
        <is>
          <t>311119</t>
        </is>
      </c>
      <c r="F63" s="83" t="n">
        <v>3211</v>
      </c>
      <c r="G63" s="83" t="n">
        <v>632</v>
      </c>
      <c r="H63" s="83" t="n">
        <v>2906</v>
      </c>
      <c r="I63" s="92" t="n">
        <v>2497</v>
      </c>
      <c r="J63" s="83" t="n">
        <v>214</v>
      </c>
      <c r="K63" s="83" t="n">
        <v>167</v>
      </c>
      <c r="L63" s="93" t="n">
        <v>1890</v>
      </c>
    </row>
    <row r="64" ht="13.8" customHeight="1" s="82">
      <c r="A64" s="83" t="inlineStr">
        <is>
          <t>311210</t>
        </is>
      </c>
      <c r="B64" s="83" t="inlineStr">
        <is>
          <t>311FT</t>
        </is>
      </c>
      <c r="C64" s="83" t="inlineStr">
        <is>
          <t>Food and beverage and tobacco products</t>
        </is>
      </c>
      <c r="D64" s="83" t="inlineStr">
        <is>
          <t>Flour milling and malt manufacturing</t>
        </is>
      </c>
      <c r="E64" s="84" t="inlineStr">
        <is>
          <t>311210</t>
        </is>
      </c>
      <c r="F64" s="83" t="n">
        <v>1955</v>
      </c>
      <c r="G64" s="83" t="n">
        <v>385</v>
      </c>
      <c r="H64" s="83" t="n">
        <v>1769</v>
      </c>
      <c r="I64" s="92" t="n">
        <v>1576</v>
      </c>
      <c r="J64" s="83" t="n">
        <v>114</v>
      </c>
      <c r="K64" s="83" t="n">
        <v>36</v>
      </c>
      <c r="L64" s="93" t="n">
        <v>1779</v>
      </c>
    </row>
    <row r="65" ht="13.8" customHeight="1" s="82">
      <c r="A65" s="83" t="inlineStr">
        <is>
          <t>311221</t>
        </is>
      </c>
      <c r="B65" s="83" t="inlineStr">
        <is>
          <t>311FT</t>
        </is>
      </c>
      <c r="C65" s="83" t="inlineStr">
        <is>
          <t>Food and beverage and tobacco products</t>
        </is>
      </c>
      <c r="D65" s="83" t="inlineStr">
        <is>
          <t>Wet corn milling</t>
        </is>
      </c>
      <c r="E65" s="84" t="inlineStr">
        <is>
          <t>311221</t>
        </is>
      </c>
      <c r="F65" s="83" t="n">
        <v>2001</v>
      </c>
      <c r="G65" s="83" t="n">
        <v>394</v>
      </c>
      <c r="H65" s="83" t="n">
        <v>1811</v>
      </c>
      <c r="I65" s="92" t="n">
        <v>1565</v>
      </c>
      <c r="J65" s="83" t="n">
        <v>67</v>
      </c>
      <c r="K65" s="83" t="n">
        <v>10</v>
      </c>
      <c r="L65" s="93" t="n">
        <v>602</v>
      </c>
    </row>
    <row r="66" ht="13.8" customHeight="1" s="82">
      <c r="A66" s="83" t="inlineStr">
        <is>
          <t>311224</t>
        </is>
      </c>
      <c r="B66" s="83" t="inlineStr">
        <is>
          <t>311FT</t>
        </is>
      </c>
      <c r="C66" s="83" t="inlineStr">
        <is>
          <t>Food and beverage and tobacco products</t>
        </is>
      </c>
      <c r="D66" s="83" t="inlineStr">
        <is>
          <t>Soybean and other oilseed processing</t>
        </is>
      </c>
      <c r="E66" s="84" t="inlineStr">
        <is>
          <t>311224</t>
        </is>
      </c>
      <c r="F66" s="83" t="n">
        <v>939</v>
      </c>
      <c r="G66" s="83" t="n">
        <v>185</v>
      </c>
      <c r="H66" s="83" t="n">
        <v>850</v>
      </c>
      <c r="I66" s="92" t="n">
        <v>716</v>
      </c>
      <c r="J66" s="83" t="n">
        <v>239</v>
      </c>
      <c r="K66" s="83" t="n">
        <v>526</v>
      </c>
      <c r="L66" s="93" t="n">
        <v>2402</v>
      </c>
    </row>
    <row r="67" ht="13.8" customHeight="1" s="82">
      <c r="A67" s="83" t="inlineStr">
        <is>
          <t>311225</t>
        </is>
      </c>
      <c r="B67" s="83" t="inlineStr">
        <is>
          <t>311FT</t>
        </is>
      </c>
      <c r="C67" s="83" t="inlineStr">
        <is>
          <t>Food and beverage and tobacco products</t>
        </is>
      </c>
      <c r="D67" s="83" t="inlineStr">
        <is>
          <t>Fats and oils refining and blending</t>
        </is>
      </c>
      <c r="E67" s="84" t="inlineStr">
        <is>
          <t>311225</t>
        </is>
      </c>
      <c r="F67" s="83" t="n">
        <v>685</v>
      </c>
      <c r="G67" s="83" t="n">
        <v>135</v>
      </c>
      <c r="H67" s="83" t="n">
        <v>620</v>
      </c>
      <c r="I67" s="92" t="n">
        <v>538</v>
      </c>
      <c r="J67" s="83" t="n">
        <v>67</v>
      </c>
      <c r="K67" s="83" t="n">
        <v>23</v>
      </c>
      <c r="L67" s="93" t="n">
        <v>803</v>
      </c>
    </row>
    <row r="68" ht="13.8" customHeight="1" s="82">
      <c r="A68" s="83" t="inlineStr">
        <is>
          <t>311230</t>
        </is>
      </c>
      <c r="B68" s="83" t="inlineStr">
        <is>
          <t>311FT</t>
        </is>
      </c>
      <c r="C68" s="83" t="inlineStr">
        <is>
          <t>Food and beverage and tobacco products</t>
        </is>
      </c>
      <c r="D68" s="83" t="inlineStr">
        <is>
          <t>Breakfast cereal manufacturing</t>
        </is>
      </c>
      <c r="E68" s="84" t="inlineStr">
        <is>
          <t>311230</t>
        </is>
      </c>
      <c r="F68" s="83" t="n">
        <v>1310</v>
      </c>
      <c r="G68" s="83" t="n">
        <v>258</v>
      </c>
      <c r="H68" s="83" t="n">
        <v>1186</v>
      </c>
      <c r="I68" s="92" t="n">
        <v>1262</v>
      </c>
      <c r="J68" s="83" t="n">
        <v>72</v>
      </c>
      <c r="K68" s="83" t="n">
        <v>2</v>
      </c>
      <c r="L68" s="93" t="n">
        <v>1657</v>
      </c>
    </row>
    <row r="69" ht="13.8" customHeight="1" s="82">
      <c r="A69" s="83" t="inlineStr">
        <is>
          <t>311300</t>
        </is>
      </c>
      <c r="B69" s="83" t="inlineStr">
        <is>
          <t>311FT</t>
        </is>
      </c>
      <c r="C69" s="83" t="inlineStr">
        <is>
          <t>Food and beverage and tobacco products</t>
        </is>
      </c>
      <c r="D69" s="83" t="inlineStr">
        <is>
          <t>Sugar and confectionery product manufacturing</t>
        </is>
      </c>
      <c r="E69" s="84" t="inlineStr">
        <is>
          <t>311300</t>
        </is>
      </c>
      <c r="F69" s="83" t="n">
        <v>6022</v>
      </c>
      <c r="G69" s="83" t="n">
        <v>1186</v>
      </c>
      <c r="H69" s="83" t="n">
        <v>5450</v>
      </c>
      <c r="I69" s="92" t="n">
        <v>4924</v>
      </c>
      <c r="J69" s="83" t="n">
        <v>251</v>
      </c>
      <c r="K69" s="83" t="n">
        <v>49</v>
      </c>
      <c r="L69" s="93" t="n">
        <v>4606</v>
      </c>
    </row>
    <row r="70" ht="13.8" customHeight="1" s="82">
      <c r="A70" s="83" t="inlineStr">
        <is>
          <t>311410</t>
        </is>
      </c>
      <c r="B70" s="83" t="inlineStr">
        <is>
          <t>311FT</t>
        </is>
      </c>
      <c r="C70" s="83" t="inlineStr">
        <is>
          <t>Food and beverage and tobacco products</t>
        </is>
      </c>
      <c r="D70" s="83" t="inlineStr">
        <is>
          <t>Frozen food manufacturing</t>
        </is>
      </c>
      <c r="E70" s="84" t="inlineStr">
        <is>
          <t>311410</t>
        </is>
      </c>
      <c r="F70" s="83" t="n">
        <v>6874</v>
      </c>
      <c r="G70" s="83" t="n">
        <v>1353</v>
      </c>
      <c r="H70" s="83" t="n">
        <v>6221</v>
      </c>
      <c r="I70" s="92" t="n">
        <v>5260</v>
      </c>
      <c r="J70" s="83" t="n">
        <v>225</v>
      </c>
      <c r="K70" s="83" t="n">
        <v>3</v>
      </c>
      <c r="L70" s="93" t="n">
        <v>3799</v>
      </c>
    </row>
    <row r="71" ht="13.8" customHeight="1" s="82">
      <c r="A71" s="83" t="inlineStr">
        <is>
          <t>311420</t>
        </is>
      </c>
      <c r="B71" s="83" t="inlineStr">
        <is>
          <t>311FT</t>
        </is>
      </c>
      <c r="C71" s="83" t="inlineStr">
        <is>
          <t>Food and beverage and tobacco products</t>
        </is>
      </c>
      <c r="D71" s="83" t="inlineStr">
        <is>
          <t>Fruit and vegetable canning, pickling, and drying</t>
        </is>
      </c>
      <c r="E71" s="84" t="inlineStr">
        <is>
          <t>311420</t>
        </is>
      </c>
      <c r="F71" s="83" t="n">
        <v>6713</v>
      </c>
      <c r="G71" s="83" t="n">
        <v>1322</v>
      </c>
      <c r="H71" s="83" t="n">
        <v>6075</v>
      </c>
      <c r="I71" s="92" t="n">
        <v>4977</v>
      </c>
      <c r="J71" s="83" t="n">
        <v>247</v>
      </c>
      <c r="K71" s="83" t="n">
        <v>12</v>
      </c>
      <c r="L71" s="93" t="n">
        <v>2779</v>
      </c>
    </row>
    <row r="72" ht="13.8" customHeight="1" s="82">
      <c r="A72" s="83" t="inlineStr">
        <is>
          <t>311513</t>
        </is>
      </c>
      <c r="B72" s="83" t="inlineStr">
        <is>
          <t>311FT</t>
        </is>
      </c>
      <c r="C72" s="83" t="inlineStr">
        <is>
          <t>Food and beverage and tobacco products</t>
        </is>
      </c>
      <c r="D72" s="83" t="inlineStr">
        <is>
          <t>Cheese manufacturing</t>
        </is>
      </c>
      <c r="E72" s="84" t="inlineStr">
        <is>
          <t>311513</t>
        </is>
      </c>
      <c r="F72" s="83" t="n">
        <v>4858</v>
      </c>
      <c r="G72" s="83" t="n">
        <v>956</v>
      </c>
      <c r="H72" s="83" t="n">
        <v>4397</v>
      </c>
      <c r="I72" s="92" t="n">
        <v>3433</v>
      </c>
      <c r="J72" s="83" t="n">
        <v>330</v>
      </c>
      <c r="K72" s="83" t="n">
        <v>94</v>
      </c>
      <c r="L72" s="93" t="n">
        <v>4238</v>
      </c>
    </row>
    <row r="73" ht="13.8" customHeight="1" s="82">
      <c r="A73" s="83" t="inlineStr">
        <is>
          <t>311514</t>
        </is>
      </c>
      <c r="B73" s="83" t="inlineStr">
        <is>
          <t>311FT</t>
        </is>
      </c>
      <c r="C73" s="83" t="inlineStr">
        <is>
          <t>Food and beverage and tobacco products</t>
        </is>
      </c>
      <c r="D73" s="83" t="inlineStr">
        <is>
          <t>Dry, condensed, and evaporated dairy product manufacturing</t>
        </is>
      </c>
      <c r="E73" s="84" t="inlineStr">
        <is>
          <t>311514</t>
        </is>
      </c>
      <c r="F73" s="83" t="n">
        <v>1961</v>
      </c>
      <c r="G73" s="83" t="n">
        <v>386</v>
      </c>
      <c r="H73" s="83" t="n">
        <v>1775</v>
      </c>
      <c r="I73" s="92" t="n">
        <v>2428</v>
      </c>
      <c r="J73" s="83" t="n">
        <v>176</v>
      </c>
      <c r="K73" s="83" t="n">
        <v>7</v>
      </c>
      <c r="L73" s="93" t="n">
        <v>4642</v>
      </c>
    </row>
    <row r="74" ht="13.8" customHeight="1" s="82">
      <c r="A74" s="83" t="inlineStr">
        <is>
          <t>31151A</t>
        </is>
      </c>
      <c r="B74" s="83" t="inlineStr">
        <is>
          <t>311FT</t>
        </is>
      </c>
      <c r="C74" s="83" t="inlineStr">
        <is>
          <t>Food and beverage and tobacco products</t>
        </is>
      </c>
      <c r="D74" s="83" t="inlineStr">
        <is>
          <t>Fluid milk and butter manufacturing</t>
        </is>
      </c>
      <c r="E74" s="84" t="inlineStr">
        <is>
          <t>31151A</t>
        </is>
      </c>
      <c r="F74" s="83" t="n">
        <v>5080</v>
      </c>
      <c r="G74" s="83" t="n">
        <v>1000</v>
      </c>
      <c r="H74" s="83" t="n">
        <v>4597</v>
      </c>
      <c r="I74" s="92" t="n">
        <v>4483</v>
      </c>
      <c r="J74" s="83" t="n">
        <v>303</v>
      </c>
      <c r="K74" s="83" t="n">
        <v>145</v>
      </c>
      <c r="L74" s="93" t="n">
        <v>3688</v>
      </c>
    </row>
    <row r="75" ht="13.8" customHeight="1" s="82">
      <c r="A75" s="83" t="inlineStr">
        <is>
          <t>311520</t>
        </is>
      </c>
      <c r="B75" s="83" t="inlineStr">
        <is>
          <t>311FT</t>
        </is>
      </c>
      <c r="C75" s="83" t="inlineStr">
        <is>
          <t>Food and beverage and tobacco products</t>
        </is>
      </c>
      <c r="D75" s="83" t="inlineStr">
        <is>
          <t>Ice cream and frozen dessert manufacturing</t>
        </is>
      </c>
      <c r="E75" s="84" t="inlineStr">
        <is>
          <t>311520</t>
        </is>
      </c>
      <c r="F75" s="83" t="n">
        <v>1722</v>
      </c>
      <c r="G75" s="83" t="n">
        <v>339</v>
      </c>
      <c r="H75" s="83" t="n">
        <v>1558</v>
      </c>
      <c r="I75" s="92" t="n">
        <v>1312</v>
      </c>
      <c r="J75" s="83" t="n">
        <v>53</v>
      </c>
      <c r="K75" s="83" t="n">
        <v>18</v>
      </c>
      <c r="L75" s="93" t="n">
        <v>609</v>
      </c>
    </row>
    <row r="76" ht="13.8" customHeight="1" s="82">
      <c r="A76" s="83" t="inlineStr">
        <is>
          <t>311615</t>
        </is>
      </c>
      <c r="B76" s="83" t="inlineStr">
        <is>
          <t>311FT</t>
        </is>
      </c>
      <c r="C76" s="83" t="inlineStr">
        <is>
          <t>Food and beverage and tobacco products</t>
        </is>
      </c>
      <c r="D76" s="83" t="inlineStr">
        <is>
          <t>Poultry processing</t>
        </is>
      </c>
      <c r="E76" s="84" t="inlineStr">
        <is>
          <t>311615</t>
        </is>
      </c>
      <c r="F76" s="83" t="n">
        <v>13642</v>
      </c>
      <c r="G76" s="83" t="n">
        <v>2686</v>
      </c>
      <c r="H76" s="83" t="n">
        <v>12346</v>
      </c>
      <c r="I76" s="92" t="n">
        <v>9788</v>
      </c>
      <c r="J76" s="83" t="n">
        <v>483</v>
      </c>
      <c r="K76" s="83" t="n">
        <v>6</v>
      </c>
      <c r="L76" s="93" t="n">
        <v>7504</v>
      </c>
    </row>
    <row r="77" ht="13.8" customHeight="1" s="82">
      <c r="A77" s="83" t="inlineStr">
        <is>
          <t>31161A</t>
        </is>
      </c>
      <c r="B77" s="83" t="inlineStr">
        <is>
          <t>311FT</t>
        </is>
      </c>
      <c r="C77" s="83" t="inlineStr">
        <is>
          <t>Food and beverage and tobacco products</t>
        </is>
      </c>
      <c r="D77" s="83" t="inlineStr">
        <is>
          <t>Animal (except poultry) slaughtering, rendering, and processing</t>
        </is>
      </c>
      <c r="E77" s="84" t="inlineStr">
        <is>
          <t>31161A</t>
        </is>
      </c>
      <c r="F77" s="83" t="n">
        <v>22569</v>
      </c>
      <c r="G77" s="83" t="n">
        <v>4443</v>
      </c>
      <c r="H77" s="83" t="n">
        <v>20425</v>
      </c>
      <c r="I77" s="92" t="n">
        <v>15290</v>
      </c>
      <c r="J77" s="83" t="n">
        <v>1002</v>
      </c>
      <c r="K77" s="83" t="n">
        <v>66</v>
      </c>
      <c r="L77" s="93" t="n">
        <v>8436</v>
      </c>
    </row>
    <row r="78" ht="13.8" customHeight="1" s="82">
      <c r="A78" s="83" t="inlineStr">
        <is>
          <t>311700</t>
        </is>
      </c>
      <c r="B78" s="83" t="inlineStr">
        <is>
          <t>311FT</t>
        </is>
      </c>
      <c r="C78" s="83" t="inlineStr">
        <is>
          <t>Food and beverage and tobacco products</t>
        </is>
      </c>
      <c r="D78" s="83" t="inlineStr">
        <is>
          <t>Seafood product preparation and packaging</t>
        </is>
      </c>
      <c r="E78" s="84" t="inlineStr">
        <is>
          <t>311700</t>
        </is>
      </c>
      <c r="F78" s="83" t="n">
        <v>2550</v>
      </c>
      <c r="G78" s="83" t="n">
        <v>502</v>
      </c>
      <c r="H78" s="83" t="n">
        <v>2307</v>
      </c>
      <c r="I78" s="92" t="n">
        <v>2049</v>
      </c>
      <c r="J78" s="83" t="n">
        <v>86</v>
      </c>
      <c r="K78" s="83" t="n">
        <v>19</v>
      </c>
      <c r="L78" s="93" t="n">
        <v>917</v>
      </c>
    </row>
    <row r="79" ht="13.8" customHeight="1" s="82">
      <c r="A79" s="83" t="inlineStr">
        <is>
          <t>311810</t>
        </is>
      </c>
      <c r="B79" s="83" t="inlineStr">
        <is>
          <t>311FT</t>
        </is>
      </c>
      <c r="C79" s="83" t="inlineStr">
        <is>
          <t>Food and beverage and tobacco products</t>
        </is>
      </c>
      <c r="D79" s="83" t="inlineStr">
        <is>
          <t>Bread and bakery product manufacturing</t>
        </is>
      </c>
      <c r="E79" s="84" t="inlineStr">
        <is>
          <t>311810</t>
        </is>
      </c>
      <c r="F79" s="83" t="n">
        <v>13833</v>
      </c>
      <c r="G79" s="83" t="n">
        <v>2724</v>
      </c>
      <c r="H79" s="83" t="n">
        <v>12519</v>
      </c>
      <c r="I79" s="92" t="n">
        <v>10867</v>
      </c>
      <c r="J79" s="83" t="n">
        <v>326</v>
      </c>
      <c r="K79" s="83" t="n">
        <v>90</v>
      </c>
      <c r="L79" s="93" t="n">
        <v>3742</v>
      </c>
    </row>
    <row r="80" ht="13.8" customHeight="1" s="82">
      <c r="A80" s="83" t="inlineStr">
        <is>
          <t>3118A0</t>
        </is>
      </c>
      <c r="B80" s="83" t="inlineStr">
        <is>
          <t>311FT</t>
        </is>
      </c>
      <c r="C80" s="83" t="inlineStr">
        <is>
          <t>Food and beverage and tobacco products</t>
        </is>
      </c>
      <c r="D80" s="83" t="inlineStr">
        <is>
          <t>Cookie, cracker, pasta, and tortilla manufacturing</t>
        </is>
      </c>
      <c r="E80" s="84" t="inlineStr">
        <is>
          <t>3118A0</t>
        </is>
      </c>
      <c r="F80" s="83" t="n">
        <v>5472</v>
      </c>
      <c r="G80" s="83" t="n">
        <v>1077</v>
      </c>
      <c r="H80" s="83" t="n">
        <v>4952</v>
      </c>
      <c r="I80" s="92" t="n">
        <v>4624</v>
      </c>
      <c r="J80" s="83" t="n">
        <v>189</v>
      </c>
      <c r="K80" s="83" t="n">
        <v>192</v>
      </c>
      <c r="L80" s="93" t="n">
        <v>3600</v>
      </c>
    </row>
    <row r="81" ht="13.8" customHeight="1" s="82">
      <c r="A81" s="83" t="inlineStr">
        <is>
          <t>311910</t>
        </is>
      </c>
      <c r="B81" s="83" t="inlineStr">
        <is>
          <t>311FT</t>
        </is>
      </c>
      <c r="C81" s="83" t="inlineStr">
        <is>
          <t>Food and beverage and tobacco products</t>
        </is>
      </c>
      <c r="D81" s="83" t="inlineStr">
        <is>
          <t>Snack food manufacturing</t>
        </is>
      </c>
      <c r="E81" s="84" t="inlineStr">
        <is>
          <t>311910</t>
        </is>
      </c>
      <c r="F81" s="83" t="n">
        <v>4629</v>
      </c>
      <c r="G81" s="83" t="n">
        <v>911</v>
      </c>
      <c r="H81" s="83" t="n">
        <v>4190</v>
      </c>
      <c r="I81" s="92" t="n">
        <v>3548</v>
      </c>
      <c r="J81" s="83" t="n">
        <v>298</v>
      </c>
      <c r="K81" s="83" t="n">
        <v>214</v>
      </c>
      <c r="L81" s="93" t="n">
        <v>9025</v>
      </c>
    </row>
    <row r="82" ht="13.8" customHeight="1" s="82">
      <c r="A82" s="83" t="inlineStr">
        <is>
          <t>311920</t>
        </is>
      </c>
      <c r="B82" s="83" t="inlineStr">
        <is>
          <t>311FT</t>
        </is>
      </c>
      <c r="C82" s="83" t="inlineStr">
        <is>
          <t>Food and beverage and tobacco products</t>
        </is>
      </c>
      <c r="D82" s="83" t="inlineStr">
        <is>
          <t>Coffee and tea manufacturing</t>
        </is>
      </c>
      <c r="E82" s="84" t="inlineStr">
        <is>
          <t>311920</t>
        </is>
      </c>
      <c r="F82" s="83" t="n">
        <v>1999</v>
      </c>
      <c r="G82" s="83" t="n">
        <v>394</v>
      </c>
      <c r="H82" s="83" t="n">
        <v>1809</v>
      </c>
      <c r="I82" s="92" t="n">
        <v>1465</v>
      </c>
      <c r="J82" s="83" t="n">
        <v>88</v>
      </c>
      <c r="K82" s="83" t="n">
        <v>29</v>
      </c>
      <c r="L82" s="93" t="n">
        <v>1793</v>
      </c>
    </row>
    <row r="83" ht="13.8" customHeight="1" s="82">
      <c r="A83" s="83" t="inlineStr">
        <is>
          <t>311930</t>
        </is>
      </c>
      <c r="B83" s="83" t="inlineStr">
        <is>
          <t>311FT</t>
        </is>
      </c>
      <c r="C83" s="83" t="inlineStr">
        <is>
          <t>Food and beverage and tobacco products</t>
        </is>
      </c>
      <c r="D83" s="83" t="inlineStr">
        <is>
          <t>Flavoring syrup and concentrate manufacturing</t>
        </is>
      </c>
      <c r="E83" s="84" t="inlineStr">
        <is>
          <t>311930</t>
        </is>
      </c>
      <c r="F83" s="83" t="n">
        <v>1011</v>
      </c>
      <c r="G83" s="83" t="n">
        <v>199</v>
      </c>
      <c r="H83" s="83" t="n">
        <v>915</v>
      </c>
      <c r="I83" s="92" t="n">
        <v>2398</v>
      </c>
      <c r="J83" s="83" t="n">
        <v>83</v>
      </c>
      <c r="K83" s="83" t="n">
        <v>8</v>
      </c>
      <c r="L83" s="93" t="n">
        <v>3401</v>
      </c>
    </row>
    <row r="84" ht="13.8" customHeight="1" s="82">
      <c r="A84" s="83" t="inlineStr">
        <is>
          <t>311940</t>
        </is>
      </c>
      <c r="B84" s="83" t="inlineStr">
        <is>
          <t>311FT</t>
        </is>
      </c>
      <c r="C84" s="83" t="inlineStr">
        <is>
          <t>Food and beverage and tobacco products</t>
        </is>
      </c>
      <c r="D84" s="83" t="inlineStr">
        <is>
          <t>Seasoning and dressing manufacturing</t>
        </is>
      </c>
      <c r="E84" s="84" t="inlineStr">
        <is>
          <t>311940</t>
        </is>
      </c>
      <c r="F84" s="83" t="n">
        <v>4386</v>
      </c>
      <c r="G84" s="83" t="n">
        <v>863</v>
      </c>
      <c r="H84" s="83" t="n">
        <v>3969</v>
      </c>
      <c r="I84" s="92" t="n">
        <v>3198</v>
      </c>
      <c r="J84" s="83" t="n">
        <v>155</v>
      </c>
      <c r="K84" s="83" t="n">
        <v>40</v>
      </c>
      <c r="L84" s="93" t="n">
        <v>3400</v>
      </c>
    </row>
    <row r="85" ht="13.8" customHeight="1" s="82">
      <c r="A85" s="83" t="inlineStr">
        <is>
          <t>311990</t>
        </is>
      </c>
      <c r="B85" s="83" t="inlineStr">
        <is>
          <t>311FT</t>
        </is>
      </c>
      <c r="C85" s="83" t="inlineStr">
        <is>
          <t>Food and beverage and tobacco products</t>
        </is>
      </c>
      <c r="D85" s="83" t="inlineStr">
        <is>
          <t>All other food manufacturing</t>
        </is>
      </c>
      <c r="E85" s="84" t="inlineStr">
        <is>
          <t>311990</t>
        </is>
      </c>
      <c r="F85" s="83" t="n">
        <v>7147</v>
      </c>
      <c r="G85" s="83" t="n">
        <v>1407</v>
      </c>
      <c r="H85" s="83" t="n">
        <v>6468</v>
      </c>
      <c r="I85" s="92" t="n">
        <v>4562</v>
      </c>
      <c r="J85" s="83" t="n">
        <v>209</v>
      </c>
      <c r="K85" s="83" t="n">
        <v>23</v>
      </c>
      <c r="L85" s="93" t="n">
        <v>2254</v>
      </c>
    </row>
    <row r="86" ht="13.8" customHeight="1" s="82">
      <c r="A86" s="83" t="inlineStr">
        <is>
          <t>312110</t>
        </is>
      </c>
      <c r="B86" s="83" t="inlineStr">
        <is>
          <t>311FT</t>
        </is>
      </c>
      <c r="C86" s="83" t="inlineStr">
        <is>
          <t>Food and beverage and tobacco products</t>
        </is>
      </c>
      <c r="D86" s="83" t="inlineStr">
        <is>
          <t>Soft drink and ice manufacturing</t>
        </is>
      </c>
      <c r="E86" s="84" t="inlineStr">
        <is>
          <t>312110</t>
        </is>
      </c>
      <c r="F86" s="83" t="n">
        <v>9174</v>
      </c>
      <c r="G86" s="83" t="n">
        <v>1806</v>
      </c>
      <c r="H86" s="83" t="n">
        <v>8303</v>
      </c>
      <c r="I86" s="92" t="n">
        <v>7570</v>
      </c>
      <c r="J86" s="83" t="n">
        <v>297</v>
      </c>
      <c r="K86" s="83" t="n">
        <v>174</v>
      </c>
      <c r="L86" s="93" t="n">
        <v>5427</v>
      </c>
    </row>
    <row r="87" ht="13.8" customHeight="1" s="82">
      <c r="A87" s="83" t="inlineStr">
        <is>
          <t>312120</t>
        </is>
      </c>
      <c r="B87" s="83" t="inlineStr">
        <is>
          <t>311FT</t>
        </is>
      </c>
      <c r="C87" s="83" t="inlineStr">
        <is>
          <t>Food and beverage and tobacco products</t>
        </is>
      </c>
      <c r="D87" s="83" t="inlineStr">
        <is>
          <t>Breweries</t>
        </is>
      </c>
      <c r="E87" s="84" t="inlineStr">
        <is>
          <t>312120</t>
        </is>
      </c>
      <c r="F87" s="83" t="n">
        <v>6582</v>
      </c>
      <c r="G87" s="83" t="n">
        <v>1296</v>
      </c>
      <c r="H87" s="83" t="n">
        <v>5957</v>
      </c>
      <c r="I87" s="92" t="n">
        <v>4290</v>
      </c>
      <c r="J87" s="83" t="n">
        <v>219</v>
      </c>
      <c r="K87" s="83" t="n">
        <v>2913</v>
      </c>
      <c r="L87" s="93" t="n">
        <v>7523</v>
      </c>
    </row>
    <row r="88" ht="13.8" customHeight="1" s="82">
      <c r="A88" s="83" t="inlineStr">
        <is>
          <t>312130</t>
        </is>
      </c>
      <c r="B88" s="83" t="inlineStr">
        <is>
          <t>311FT</t>
        </is>
      </c>
      <c r="C88" s="83" t="inlineStr">
        <is>
          <t>Food and beverage and tobacco products</t>
        </is>
      </c>
      <c r="D88" s="83" t="inlineStr">
        <is>
          <t>Wineries</t>
        </is>
      </c>
      <c r="E88" s="84" t="inlineStr">
        <is>
          <t>312130</t>
        </is>
      </c>
      <c r="F88" s="83" t="n">
        <v>5366</v>
      </c>
      <c r="G88" s="83" t="n">
        <v>1056</v>
      </c>
      <c r="H88" s="83" t="n">
        <v>4856</v>
      </c>
      <c r="I88" s="92" t="n">
        <v>3727</v>
      </c>
      <c r="J88" s="83" t="n">
        <v>158</v>
      </c>
      <c r="K88" s="83" t="n">
        <v>890</v>
      </c>
      <c r="L88" s="93" t="n">
        <v>4507</v>
      </c>
    </row>
    <row r="89" ht="13.8" customHeight="1" s="82">
      <c r="A89" s="83" t="inlineStr">
        <is>
          <t>312140</t>
        </is>
      </c>
      <c r="B89" s="83" t="inlineStr">
        <is>
          <t>311FT</t>
        </is>
      </c>
      <c r="C89" s="83" t="inlineStr">
        <is>
          <t>Food and beverage and tobacco products</t>
        </is>
      </c>
      <c r="D89" s="83" t="inlineStr">
        <is>
          <t>Distilleries</t>
        </is>
      </c>
      <c r="E89" s="84" t="inlineStr">
        <is>
          <t>312140</t>
        </is>
      </c>
      <c r="F89" s="83" t="n">
        <v>2191</v>
      </c>
      <c r="G89" s="83" t="n">
        <v>431</v>
      </c>
      <c r="H89" s="83" t="n">
        <v>1983</v>
      </c>
      <c r="I89" s="92" t="n">
        <v>1208</v>
      </c>
      <c r="J89" s="83" t="n">
        <v>145</v>
      </c>
      <c r="K89" s="83" t="n">
        <v>4121</v>
      </c>
      <c r="L89" s="93" t="n">
        <v>3398</v>
      </c>
    </row>
    <row r="90" ht="13.8" customHeight="1" s="82">
      <c r="A90" s="83" t="inlineStr">
        <is>
          <t>312200</t>
        </is>
      </c>
      <c r="B90" s="83" t="inlineStr">
        <is>
          <t>311FT</t>
        </is>
      </c>
      <c r="C90" s="83" t="inlineStr">
        <is>
          <t>Food and beverage and tobacco products</t>
        </is>
      </c>
      <c r="D90" s="83" t="inlineStr">
        <is>
          <t>Tobacco manufacturing</t>
        </is>
      </c>
      <c r="E90" s="84" t="inlineStr">
        <is>
          <t>312200</t>
        </is>
      </c>
      <c r="F90" s="83" t="n">
        <v>1301</v>
      </c>
      <c r="G90" s="83" t="n">
        <v>256</v>
      </c>
      <c r="H90" s="83" t="n">
        <v>1177</v>
      </c>
      <c r="I90" s="92" t="n">
        <v>1673</v>
      </c>
      <c r="J90" s="83" t="n">
        <v>512</v>
      </c>
      <c r="K90" s="83" t="n">
        <v>13345</v>
      </c>
      <c r="L90" s="93" t="n">
        <v>29452</v>
      </c>
    </row>
    <row r="91" ht="13.8" customHeight="1" s="82">
      <c r="A91" s="83" t="inlineStr">
        <is>
          <t>313100</t>
        </is>
      </c>
      <c r="B91" s="83" t="inlineStr">
        <is>
          <t>313TT</t>
        </is>
      </c>
      <c r="C91" s="83" t="inlineStr">
        <is>
          <t>Textile mills and textile product mills</t>
        </is>
      </c>
      <c r="D91" s="83" t="inlineStr">
        <is>
          <t>Fiber, yarn, and thread mills</t>
        </is>
      </c>
      <c r="E91" s="84" t="inlineStr">
        <is>
          <t>313100</t>
        </is>
      </c>
      <c r="F91" s="83" t="n">
        <v>1391</v>
      </c>
      <c r="G91" s="83" t="n">
        <v>76</v>
      </c>
      <c r="H91" s="83" t="n">
        <v>397</v>
      </c>
      <c r="I91" s="92" t="n">
        <v>1394</v>
      </c>
      <c r="J91" s="83" t="n">
        <v>87</v>
      </c>
      <c r="K91" s="83" t="n">
        <v>0</v>
      </c>
      <c r="L91" s="93" t="n">
        <v>150</v>
      </c>
    </row>
    <row r="92" ht="13.8" customHeight="1" s="82">
      <c r="A92" s="83" t="inlineStr">
        <is>
          <t>313200</t>
        </is>
      </c>
      <c r="B92" s="83" t="inlineStr">
        <is>
          <t>313TT</t>
        </is>
      </c>
      <c r="C92" s="83" t="inlineStr">
        <is>
          <t>Textile mills and textile product mills</t>
        </is>
      </c>
      <c r="D92" s="83" t="inlineStr">
        <is>
          <t>Fabric mills</t>
        </is>
      </c>
      <c r="E92" s="84" t="inlineStr">
        <is>
          <t>313200</t>
        </is>
      </c>
      <c r="F92" s="83" t="n">
        <v>3169</v>
      </c>
      <c r="G92" s="83" t="n">
        <v>173</v>
      </c>
      <c r="H92" s="83" t="n">
        <v>906</v>
      </c>
      <c r="I92" s="92" t="n">
        <v>3137</v>
      </c>
      <c r="J92" s="83" t="n">
        <v>163</v>
      </c>
      <c r="K92" s="83" t="n">
        <v>2</v>
      </c>
      <c r="L92" s="93" t="n">
        <v>1092</v>
      </c>
    </row>
    <row r="93" ht="13.8" customHeight="1" s="82">
      <c r="A93" s="83" t="inlineStr">
        <is>
          <t>313300</t>
        </is>
      </c>
      <c r="B93" s="83" t="inlineStr">
        <is>
          <t>313TT</t>
        </is>
      </c>
      <c r="C93" s="83" t="inlineStr">
        <is>
          <t>Textile mills and textile product mills</t>
        </is>
      </c>
      <c r="D93" s="83" t="inlineStr">
        <is>
          <t>Textile and fabric finishing and fabric coating mills</t>
        </is>
      </c>
      <c r="E93" s="84" t="inlineStr">
        <is>
          <t>313300</t>
        </is>
      </c>
      <c r="F93" s="83" t="n">
        <v>1907</v>
      </c>
      <c r="G93" s="83" t="n">
        <v>104</v>
      </c>
      <c r="H93" s="83" t="n">
        <v>545</v>
      </c>
      <c r="I93" s="92" t="n">
        <v>1823</v>
      </c>
      <c r="J93" s="83" t="n">
        <v>81</v>
      </c>
      <c r="K93" s="83" t="n">
        <v>2</v>
      </c>
      <c r="L93" s="93" t="n">
        <v>307</v>
      </c>
    </row>
    <row r="94" ht="13.8" customHeight="1" s="82">
      <c r="A94" s="83" t="inlineStr">
        <is>
          <t>314110</t>
        </is>
      </c>
      <c r="B94" s="83" t="inlineStr">
        <is>
          <t>313TT</t>
        </is>
      </c>
      <c r="C94" s="83" t="inlineStr">
        <is>
          <t>Textile mills and textile product mills</t>
        </is>
      </c>
      <c r="D94" s="83" t="inlineStr">
        <is>
          <t>Carpet and rug mills</t>
        </is>
      </c>
      <c r="E94" s="84" t="inlineStr">
        <is>
          <t>314110</t>
        </is>
      </c>
      <c r="F94" s="83" t="n">
        <v>1933</v>
      </c>
      <c r="G94" s="83" t="n">
        <v>105</v>
      </c>
      <c r="H94" s="83" t="n">
        <v>552</v>
      </c>
      <c r="I94" s="92" t="n">
        <v>1884</v>
      </c>
      <c r="J94" s="83" t="n">
        <v>116</v>
      </c>
      <c r="K94" s="83" t="n">
        <v>6</v>
      </c>
      <c r="L94" s="93" t="n">
        <v>1567</v>
      </c>
    </row>
    <row r="95" ht="13.8" customHeight="1" s="82">
      <c r="A95" s="83" t="inlineStr">
        <is>
          <t>314120</t>
        </is>
      </c>
      <c r="B95" s="83" t="inlineStr">
        <is>
          <t>313TT</t>
        </is>
      </c>
      <c r="C95" s="83" t="inlineStr">
        <is>
          <t>Textile mills and textile product mills</t>
        </is>
      </c>
      <c r="D95" s="83" t="inlineStr">
        <is>
          <t>Curtain and linen mills</t>
        </is>
      </c>
      <c r="E95" s="84" t="inlineStr">
        <is>
          <t>314120</t>
        </is>
      </c>
      <c r="F95" s="83" t="n">
        <v>904</v>
      </c>
      <c r="G95" s="83" t="n">
        <v>49</v>
      </c>
      <c r="H95" s="83" t="n">
        <v>258</v>
      </c>
      <c r="I95" s="92" t="n">
        <v>941</v>
      </c>
      <c r="J95" s="83" t="n">
        <v>41</v>
      </c>
      <c r="K95" s="83" t="n">
        <v>2</v>
      </c>
      <c r="L95" s="93" t="n">
        <v>299</v>
      </c>
    </row>
    <row r="96" ht="13.8" customHeight="1" s="82">
      <c r="A96" s="83" t="inlineStr">
        <is>
          <t>314900</t>
        </is>
      </c>
      <c r="B96" s="83" t="inlineStr">
        <is>
          <t>313TT</t>
        </is>
      </c>
      <c r="C96" s="83" t="inlineStr">
        <is>
          <t>Textile mills and textile product mills</t>
        </is>
      </c>
      <c r="D96" s="83" t="inlineStr">
        <is>
          <t>Other textile product mills</t>
        </is>
      </c>
      <c r="E96" s="84" t="inlineStr">
        <is>
          <t>314900</t>
        </is>
      </c>
      <c r="F96" s="83" t="n">
        <v>3716</v>
      </c>
      <c r="G96" s="83" t="n">
        <v>203</v>
      </c>
      <c r="H96" s="83" t="n">
        <v>1062</v>
      </c>
      <c r="I96" s="92" t="n">
        <v>3122</v>
      </c>
      <c r="J96" s="83" t="n">
        <v>107</v>
      </c>
      <c r="K96" s="83" t="n">
        <v>-23</v>
      </c>
      <c r="L96" s="93" t="n">
        <v>987</v>
      </c>
    </row>
    <row r="97" ht="13.8" customHeight="1" s="82">
      <c r="A97" s="83" t="inlineStr">
        <is>
          <t>315000</t>
        </is>
      </c>
      <c r="B97" s="83" t="inlineStr">
        <is>
          <t>315AL</t>
        </is>
      </c>
      <c r="C97" s="83" t="inlineStr">
        <is>
          <t>Apparel and leather and allied products</t>
        </is>
      </c>
      <c r="D97" s="83" t="inlineStr">
        <is>
          <t>Apparel manufacturing</t>
        </is>
      </c>
      <c r="E97" s="84" t="inlineStr">
        <is>
          <t>315000</t>
        </is>
      </c>
      <c r="F97" s="83" t="n">
        <v>6273</v>
      </c>
      <c r="G97" s="83" t="n">
        <v>273</v>
      </c>
      <c r="H97" s="83" t="n">
        <v>1509</v>
      </c>
      <c r="I97" s="92" t="n">
        <v>6329</v>
      </c>
      <c r="J97" s="83" t="n">
        <v>191</v>
      </c>
      <c r="K97" s="83" t="n">
        <v>10</v>
      </c>
      <c r="L97" s="93" t="n">
        <v>680</v>
      </c>
    </row>
    <row r="98" ht="13.8" customHeight="1" s="82">
      <c r="A98" s="83" t="inlineStr">
        <is>
          <t>316000</t>
        </is>
      </c>
      <c r="B98" s="83" t="inlineStr">
        <is>
          <t>315AL</t>
        </is>
      </c>
      <c r="C98" s="83" t="inlineStr">
        <is>
          <t>Apparel and leather and allied products</t>
        </is>
      </c>
      <c r="D98" s="83" t="inlineStr">
        <is>
          <t>Leather and allied product manufacturing</t>
        </is>
      </c>
      <c r="E98" s="84" t="inlineStr">
        <is>
          <t>316000</t>
        </is>
      </c>
      <c r="F98" s="83" t="n">
        <v>1811</v>
      </c>
      <c r="G98" s="83" t="n">
        <v>79</v>
      </c>
      <c r="H98" s="83" t="n">
        <v>436</v>
      </c>
      <c r="I98" s="92" t="n">
        <v>1556</v>
      </c>
      <c r="J98" s="83" t="n">
        <v>90</v>
      </c>
      <c r="K98" s="83" t="n">
        <v>5</v>
      </c>
      <c r="L98" s="93" t="n">
        <v>588</v>
      </c>
    </row>
    <row r="99" ht="13.8" customHeight="1" s="82">
      <c r="A99" s="83" t="inlineStr">
        <is>
          <t>321100</t>
        </is>
      </c>
      <c r="B99" s="83" t="inlineStr">
        <is>
          <t>321</t>
        </is>
      </c>
      <c r="C99" s="83" t="inlineStr">
        <is>
          <t>Wood products</t>
        </is>
      </c>
      <c r="D99" s="83" t="inlineStr">
        <is>
          <t>Sawmills and wood preservation</t>
        </is>
      </c>
      <c r="E99" s="84" t="inlineStr">
        <is>
          <t>321100</t>
        </is>
      </c>
      <c r="F99" s="83" t="n">
        <v>7036</v>
      </c>
      <c r="G99" s="83" t="n">
        <v>222</v>
      </c>
      <c r="H99" s="83" t="n">
        <v>6671</v>
      </c>
      <c r="I99" s="92" t="n">
        <v>5479</v>
      </c>
      <c r="J99" s="83" t="n">
        <v>197</v>
      </c>
      <c r="K99" s="83" t="n">
        <v>47</v>
      </c>
      <c r="L99" s="93" t="n">
        <v>3580</v>
      </c>
    </row>
    <row r="100" ht="13.8" customHeight="1" s="82">
      <c r="A100" s="83" t="inlineStr">
        <is>
          <t>321200</t>
        </is>
      </c>
      <c r="B100" s="83" t="inlineStr">
        <is>
          <t>321</t>
        </is>
      </c>
      <c r="C100" s="83" t="inlineStr">
        <is>
          <t>Wood products</t>
        </is>
      </c>
      <c r="D100" s="83" t="inlineStr">
        <is>
          <t>Veneer, plywood, and engineered wood product manufacturing</t>
        </is>
      </c>
      <c r="E100" s="84" t="inlineStr">
        <is>
          <t>321200</t>
        </is>
      </c>
      <c r="F100" s="83" t="n">
        <v>6865</v>
      </c>
      <c r="G100" s="83" t="n">
        <v>217</v>
      </c>
      <c r="H100" s="83" t="n">
        <v>6508</v>
      </c>
      <c r="I100" s="92" t="n">
        <v>4885</v>
      </c>
      <c r="J100" s="83" t="n">
        <v>147</v>
      </c>
      <c r="K100" s="83" t="n">
        <v>24</v>
      </c>
      <c r="L100" s="93" t="n">
        <v>3722</v>
      </c>
    </row>
    <row r="101" ht="13.8" customHeight="1" s="82">
      <c r="A101" s="83" t="inlineStr">
        <is>
          <t>321910</t>
        </is>
      </c>
      <c r="B101" s="83" t="inlineStr">
        <is>
          <t>321</t>
        </is>
      </c>
      <c r="C101" s="83" t="inlineStr">
        <is>
          <t>Wood products</t>
        </is>
      </c>
      <c r="D101" s="83" t="inlineStr">
        <is>
          <t>Millwork</t>
        </is>
      </c>
      <c r="E101" s="84" t="inlineStr">
        <is>
          <t>321910</t>
        </is>
      </c>
      <c r="F101" s="83" t="n">
        <v>7721</v>
      </c>
      <c r="G101" s="83" t="n">
        <v>244</v>
      </c>
      <c r="H101" s="83" t="n">
        <v>7320</v>
      </c>
      <c r="I101" s="92" t="n">
        <v>5811</v>
      </c>
      <c r="J101" s="83" t="n">
        <v>158</v>
      </c>
      <c r="K101" s="83" t="n">
        <v>38</v>
      </c>
      <c r="L101" s="93" t="n">
        <v>3266</v>
      </c>
    </row>
    <row r="102" ht="13.8" customHeight="1" s="82">
      <c r="A102" s="83" t="inlineStr">
        <is>
          <t>3219A0</t>
        </is>
      </c>
      <c r="B102" s="83" t="inlineStr">
        <is>
          <t>321</t>
        </is>
      </c>
      <c r="C102" s="83" t="inlineStr">
        <is>
          <t>Wood products</t>
        </is>
      </c>
      <c r="D102" s="83" t="inlineStr">
        <is>
          <t>All other wood product manufacturing</t>
        </is>
      </c>
      <c r="E102" s="84" t="inlineStr">
        <is>
          <t>3219A0</t>
        </is>
      </c>
      <c r="F102" s="83" t="n">
        <v>9736</v>
      </c>
      <c r="G102" s="83" t="n">
        <v>307</v>
      </c>
      <c r="H102" s="83" t="n">
        <v>9230</v>
      </c>
      <c r="I102" s="92" t="n">
        <v>6087</v>
      </c>
      <c r="J102" s="83" t="n">
        <v>148</v>
      </c>
      <c r="K102" s="83" t="n">
        <v>11</v>
      </c>
      <c r="L102" s="93" t="n">
        <v>2088</v>
      </c>
    </row>
    <row r="103" ht="13.8" customHeight="1" s="82">
      <c r="A103" s="83" t="inlineStr">
        <is>
          <t>322110</t>
        </is>
      </c>
      <c r="B103" s="83" t="inlineStr">
        <is>
          <t>322</t>
        </is>
      </c>
      <c r="C103" s="83" t="inlineStr">
        <is>
          <t>Paper products</t>
        </is>
      </c>
      <c r="D103" s="83" t="inlineStr">
        <is>
          <t>Pulp mills</t>
        </is>
      </c>
      <c r="E103" s="84" t="inlineStr">
        <is>
          <t>322110</t>
        </is>
      </c>
      <c r="F103" s="83" t="n">
        <v>601</v>
      </c>
      <c r="G103" s="83" t="n">
        <v>38</v>
      </c>
      <c r="H103" s="83" t="n">
        <v>554</v>
      </c>
      <c r="I103" s="92" t="n">
        <v>546</v>
      </c>
      <c r="J103" s="83" t="n">
        <v>64</v>
      </c>
      <c r="K103" s="83" t="n">
        <v>0</v>
      </c>
      <c r="L103" s="93" t="n">
        <v>1387</v>
      </c>
    </row>
    <row r="104" ht="13.8" customHeight="1" s="82">
      <c r="A104" s="83" t="inlineStr">
        <is>
          <t>322120</t>
        </is>
      </c>
      <c r="B104" s="83" t="inlineStr">
        <is>
          <t>322</t>
        </is>
      </c>
      <c r="C104" s="83" t="inlineStr">
        <is>
          <t>Paper products</t>
        </is>
      </c>
      <c r="D104" s="83" t="inlineStr">
        <is>
          <t>Paper mills</t>
        </is>
      </c>
      <c r="E104" s="84" t="inlineStr">
        <is>
          <t>322120</t>
        </is>
      </c>
      <c r="F104" s="83" t="n">
        <v>5689</v>
      </c>
      <c r="G104" s="83" t="n">
        <v>364</v>
      </c>
      <c r="H104" s="83" t="n">
        <v>5244</v>
      </c>
      <c r="I104" s="92" t="n">
        <v>6588</v>
      </c>
      <c r="J104" s="83" t="n">
        <v>342</v>
      </c>
      <c r="K104" s="83" t="n">
        <v>1</v>
      </c>
      <c r="L104" s="93" t="n">
        <v>5773</v>
      </c>
    </row>
    <row r="105" ht="13.8" customHeight="1" s="82">
      <c r="A105" s="83" t="inlineStr">
        <is>
          <t>322130</t>
        </is>
      </c>
      <c r="B105" s="83" t="inlineStr">
        <is>
          <t>322</t>
        </is>
      </c>
      <c r="C105" s="83" t="inlineStr">
        <is>
          <t>Paper products</t>
        </is>
      </c>
      <c r="D105" s="83" t="inlineStr">
        <is>
          <t>Paperboard mills</t>
        </is>
      </c>
      <c r="E105" s="84" t="inlineStr">
        <is>
          <t>322130</t>
        </is>
      </c>
      <c r="F105" s="83" t="n">
        <v>3898</v>
      </c>
      <c r="G105" s="83" t="n">
        <v>249</v>
      </c>
      <c r="H105" s="83" t="n">
        <v>3593</v>
      </c>
      <c r="I105" s="92" t="n">
        <v>3313</v>
      </c>
      <c r="J105" s="83" t="n">
        <v>305</v>
      </c>
      <c r="K105" s="83" t="n">
        <v>2</v>
      </c>
      <c r="L105" s="93" t="n">
        <v>7194</v>
      </c>
    </row>
    <row r="106" ht="13.8" customHeight="1" s="82">
      <c r="A106" s="83" t="inlineStr">
        <is>
          <t>322210</t>
        </is>
      </c>
      <c r="B106" s="83" t="inlineStr">
        <is>
          <t>322</t>
        </is>
      </c>
      <c r="C106" s="83" t="inlineStr">
        <is>
          <t>Paper products</t>
        </is>
      </c>
      <c r="D106" s="83" t="inlineStr">
        <is>
          <t>Paperboard container manufacturing</t>
        </is>
      </c>
      <c r="E106" s="84" t="inlineStr">
        <is>
          <t>322210</t>
        </is>
      </c>
      <c r="F106" s="83" t="n">
        <v>14359</v>
      </c>
      <c r="G106" s="83" t="n">
        <v>918</v>
      </c>
      <c r="H106" s="83" t="n">
        <v>13234</v>
      </c>
      <c r="I106" s="92" t="n">
        <v>11028</v>
      </c>
      <c r="J106" s="83" t="n">
        <v>602</v>
      </c>
      <c r="K106" s="83" t="n">
        <v>90</v>
      </c>
      <c r="L106" s="93" t="n">
        <v>4946</v>
      </c>
    </row>
    <row r="107" ht="13.8" customHeight="1" s="82">
      <c r="A107" s="83" t="inlineStr">
        <is>
          <t>322220</t>
        </is>
      </c>
      <c r="B107" s="83" t="inlineStr">
        <is>
          <t>322</t>
        </is>
      </c>
      <c r="C107" s="83" t="inlineStr">
        <is>
          <t>Paper products</t>
        </is>
      </c>
      <c r="D107" s="83" t="inlineStr">
        <is>
          <t>Paper bag and coated and treated paper manufacturing</t>
        </is>
      </c>
      <c r="E107" s="84" t="inlineStr">
        <is>
          <t>322220</t>
        </is>
      </c>
      <c r="F107" s="83" t="n">
        <v>4884</v>
      </c>
      <c r="G107" s="83" t="n">
        <v>312</v>
      </c>
      <c r="H107" s="83" t="n">
        <v>4502</v>
      </c>
      <c r="I107" s="92" t="n">
        <v>4281</v>
      </c>
      <c r="J107" s="83" t="n">
        <v>194</v>
      </c>
      <c r="K107" s="83" t="n">
        <v>9</v>
      </c>
      <c r="L107" s="93" t="n">
        <v>2385</v>
      </c>
    </row>
    <row r="108" ht="13.8" customHeight="1" s="82">
      <c r="A108" s="83" t="inlineStr">
        <is>
          <t>322230</t>
        </is>
      </c>
      <c r="B108" s="83" t="inlineStr">
        <is>
          <t>322</t>
        </is>
      </c>
      <c r="C108" s="83" t="inlineStr">
        <is>
          <t>Paper products</t>
        </is>
      </c>
      <c r="D108" s="83" t="inlineStr">
        <is>
          <t>Stationery product manufacturing</t>
        </is>
      </c>
      <c r="E108" s="84" t="inlineStr">
        <is>
          <t>322230</t>
        </is>
      </c>
      <c r="F108" s="83" t="n">
        <v>1153</v>
      </c>
      <c r="G108" s="83" t="n">
        <v>74</v>
      </c>
      <c r="H108" s="83" t="n">
        <v>1063</v>
      </c>
      <c r="I108" s="92" t="n">
        <v>1063</v>
      </c>
      <c r="J108" s="83" t="n">
        <v>52</v>
      </c>
      <c r="K108" s="83" t="n">
        <v>5</v>
      </c>
      <c r="L108" s="93" t="n">
        <v>225</v>
      </c>
    </row>
    <row r="109" ht="13.8" customHeight="1" s="82">
      <c r="A109" s="83" t="inlineStr">
        <is>
          <t>322291</t>
        </is>
      </c>
      <c r="B109" s="83" t="inlineStr">
        <is>
          <t>322</t>
        </is>
      </c>
      <c r="C109" s="83" t="inlineStr">
        <is>
          <t>Paper products</t>
        </is>
      </c>
      <c r="D109" s="83" t="inlineStr">
        <is>
          <t>Sanitary paper product manufacturing</t>
        </is>
      </c>
      <c r="E109" s="84" t="inlineStr">
        <is>
          <t>322291</t>
        </is>
      </c>
      <c r="F109" s="83" t="n">
        <v>2826</v>
      </c>
      <c r="G109" s="83" t="n">
        <v>181</v>
      </c>
      <c r="H109" s="83" t="n">
        <v>2605</v>
      </c>
      <c r="I109" s="92" t="n">
        <v>2476</v>
      </c>
      <c r="J109" s="83" t="n">
        <v>102</v>
      </c>
      <c r="K109" s="83" t="n">
        <v>9</v>
      </c>
      <c r="L109" s="93" t="n">
        <v>1220</v>
      </c>
    </row>
    <row r="110" ht="13.8" customHeight="1" s="82">
      <c r="A110" s="83" t="inlineStr">
        <is>
          <t>322299</t>
        </is>
      </c>
      <c r="B110" s="83" t="inlineStr">
        <is>
          <t>322</t>
        </is>
      </c>
      <c r="C110" s="83" t="inlineStr">
        <is>
          <t>Paper products</t>
        </is>
      </c>
      <c r="D110" s="83" t="inlineStr">
        <is>
          <t>All other converted paper product manufacturing</t>
        </is>
      </c>
      <c r="E110" s="84" t="inlineStr">
        <is>
          <t>322299</t>
        </is>
      </c>
      <c r="F110" s="83" t="n">
        <v>1419</v>
      </c>
      <c r="G110" s="83" t="n">
        <v>91</v>
      </c>
      <c r="H110" s="83" t="n">
        <v>1308</v>
      </c>
      <c r="I110" s="92" t="n">
        <v>1091</v>
      </c>
      <c r="J110" s="83" t="n">
        <v>42</v>
      </c>
      <c r="K110" s="83" t="n">
        <v>2</v>
      </c>
      <c r="L110" s="93" t="n">
        <v>558</v>
      </c>
    </row>
    <row r="111" ht="13.8" customHeight="1" s="82">
      <c r="A111" s="83" t="inlineStr">
        <is>
          <t>323110</t>
        </is>
      </c>
      <c r="B111" s="83" t="inlineStr">
        <is>
          <t>323</t>
        </is>
      </c>
      <c r="C111" s="83" t="inlineStr">
        <is>
          <t>Printing and related support activities</t>
        </is>
      </c>
      <c r="D111" s="83" t="inlineStr">
        <is>
          <t>Printing</t>
        </is>
      </c>
      <c r="E111" s="84" t="inlineStr">
        <is>
          <t>323110</t>
        </is>
      </c>
      <c r="F111" s="83" t="n">
        <v>25103</v>
      </c>
      <c r="G111" s="83" t="n">
        <v>894</v>
      </c>
      <c r="H111" s="83" t="n">
        <v>14326</v>
      </c>
      <c r="I111" s="92" t="n">
        <v>24702</v>
      </c>
      <c r="J111" s="83" t="n">
        <v>693</v>
      </c>
      <c r="K111" s="83" t="n">
        <v>55</v>
      </c>
      <c r="L111" s="93" t="n">
        <v>13301</v>
      </c>
    </row>
    <row r="112" ht="13.8" customHeight="1" s="82">
      <c r="A112" s="83" t="inlineStr">
        <is>
          <t>323120</t>
        </is>
      </c>
      <c r="B112" s="83" t="inlineStr">
        <is>
          <t>323</t>
        </is>
      </c>
      <c r="C112" s="83" t="inlineStr">
        <is>
          <t>Printing and related support activities</t>
        </is>
      </c>
      <c r="D112" s="83" t="inlineStr">
        <is>
          <t>Support activities for printing</t>
        </is>
      </c>
      <c r="E112" s="84" t="inlineStr">
        <is>
          <t>323120</t>
        </is>
      </c>
      <c r="F112" s="83" t="n">
        <v>1205</v>
      </c>
      <c r="G112" s="83" t="n">
        <v>43</v>
      </c>
      <c r="H112" s="83" t="n">
        <v>688</v>
      </c>
      <c r="I112" s="92" t="n">
        <v>1531</v>
      </c>
      <c r="J112" s="83" t="n">
        <v>28</v>
      </c>
      <c r="K112" s="83" t="n">
        <v>1</v>
      </c>
      <c r="L112" s="93" t="n">
        <v>298</v>
      </c>
    </row>
    <row r="113" ht="13.8" customHeight="1" s="82">
      <c r="A113" s="83" t="inlineStr">
        <is>
          <t>324110</t>
        </is>
      </c>
      <c r="B113" s="83" t="inlineStr">
        <is>
          <t>324</t>
        </is>
      </c>
      <c r="C113" s="83" t="inlineStr">
        <is>
          <t>Petroleum and coal products</t>
        </is>
      </c>
      <c r="D113" s="83" t="inlineStr">
        <is>
          <t>Petroleum refineries</t>
        </is>
      </c>
      <c r="E113" s="84" t="inlineStr">
        <is>
          <t>324110</t>
        </is>
      </c>
      <c r="F113" s="83" t="n">
        <v>14723</v>
      </c>
      <c r="G113" s="83" t="n">
        <v>3436</v>
      </c>
      <c r="H113" s="83" t="n">
        <v>123191</v>
      </c>
      <c r="I113" s="92" t="n">
        <v>14705</v>
      </c>
      <c r="J113" s="83" t="n">
        <v>3189</v>
      </c>
      <c r="K113" s="83" t="n">
        <v>397</v>
      </c>
      <c r="L113" s="93" t="n">
        <v>78929</v>
      </c>
    </row>
    <row r="114" ht="13.8" customHeight="1" s="82">
      <c r="A114" s="83" t="inlineStr">
        <is>
          <t>324121</t>
        </is>
      </c>
      <c r="B114" s="83" t="inlineStr">
        <is>
          <t>324</t>
        </is>
      </c>
      <c r="C114" s="83" t="inlineStr">
        <is>
          <t>Petroleum and coal products</t>
        </is>
      </c>
      <c r="D114" s="83" t="inlineStr">
        <is>
          <t>Asphalt paving mixture and block manufacturing</t>
        </is>
      </c>
      <c r="E114" s="84" t="inlineStr">
        <is>
          <t>324121</t>
        </is>
      </c>
      <c r="F114" s="83" t="n">
        <v>2108</v>
      </c>
      <c r="G114" s="83" t="n">
        <v>492</v>
      </c>
      <c r="H114" s="83" t="n">
        <v>17642</v>
      </c>
      <c r="I114" s="92" t="n">
        <v>1601</v>
      </c>
      <c r="J114" s="83" t="n">
        <v>104</v>
      </c>
      <c r="K114" s="83" t="n">
        <v>26</v>
      </c>
      <c r="L114" s="93" t="n">
        <v>1194</v>
      </c>
    </row>
    <row r="115" ht="13.8" customHeight="1" s="82">
      <c r="A115" s="83" t="inlineStr">
        <is>
          <t>324122</t>
        </is>
      </c>
      <c r="B115" s="83" t="inlineStr">
        <is>
          <t>324</t>
        </is>
      </c>
      <c r="C115" s="83" t="inlineStr">
        <is>
          <t>Petroleum and coal products</t>
        </is>
      </c>
      <c r="D115" s="83" t="inlineStr">
        <is>
          <t>Asphalt shingle and coating materials manufacturing</t>
        </is>
      </c>
      <c r="E115" s="84" t="inlineStr">
        <is>
          <t>324122</t>
        </is>
      </c>
      <c r="F115" s="83" t="n">
        <v>1878</v>
      </c>
      <c r="G115" s="83" t="n">
        <v>438</v>
      </c>
      <c r="H115" s="83" t="n">
        <v>15714</v>
      </c>
      <c r="I115" s="92" t="n">
        <v>1314</v>
      </c>
      <c r="J115" s="83" t="n">
        <v>85</v>
      </c>
      <c r="K115" s="83" t="n">
        <v>51</v>
      </c>
      <c r="L115" s="93" t="n">
        <v>2541</v>
      </c>
    </row>
    <row r="116" ht="13.8" customHeight="1" s="82">
      <c r="A116" s="83" t="inlineStr">
        <is>
          <t>324190</t>
        </is>
      </c>
      <c r="B116" s="83" t="inlineStr">
        <is>
          <t>324</t>
        </is>
      </c>
      <c r="C116" s="83" t="inlineStr">
        <is>
          <t>Petroleum and coal products</t>
        </is>
      </c>
      <c r="D116" s="83" t="inlineStr">
        <is>
          <t>Other petroleum and coal products manufacturing</t>
        </is>
      </c>
      <c r="E116" s="84" t="inlineStr">
        <is>
          <t>324190</t>
        </is>
      </c>
      <c r="F116" s="83" t="n">
        <v>2114</v>
      </c>
      <c r="G116" s="83" t="n">
        <v>493</v>
      </c>
      <c r="H116" s="83" t="n">
        <v>17685</v>
      </c>
      <c r="I116" s="92" t="n">
        <v>1810</v>
      </c>
      <c r="J116" s="83" t="n">
        <v>140</v>
      </c>
      <c r="K116" s="83" t="n">
        <v>4</v>
      </c>
      <c r="L116" s="93" t="n">
        <v>4567</v>
      </c>
    </row>
    <row r="117" ht="13.8" customHeight="1" s="82">
      <c r="A117" s="83" t="inlineStr">
        <is>
          <t>325110</t>
        </is>
      </c>
      <c r="B117" s="83" t="inlineStr">
        <is>
          <t>325</t>
        </is>
      </c>
      <c r="C117" s="83" t="inlineStr">
        <is>
          <t>Chemical products</t>
        </is>
      </c>
      <c r="D117" s="83" t="inlineStr">
        <is>
          <t>Petrochemical manufacturing</t>
        </is>
      </c>
      <c r="E117" s="84" t="inlineStr">
        <is>
          <t>325110</t>
        </is>
      </c>
      <c r="F117" s="83" t="n">
        <v>5046</v>
      </c>
      <c r="G117" s="83" t="n">
        <v>851</v>
      </c>
      <c r="H117" s="83" t="n">
        <v>14101</v>
      </c>
      <c r="I117" s="92" t="n">
        <v>4508</v>
      </c>
      <c r="J117" s="83" t="n">
        <v>903</v>
      </c>
      <c r="K117" s="83" t="n">
        <v>29</v>
      </c>
      <c r="L117" s="93" t="n">
        <v>17305</v>
      </c>
    </row>
    <row r="118" ht="13.8" customHeight="1" s="82">
      <c r="A118" s="83" t="inlineStr">
        <is>
          <t>325120</t>
        </is>
      </c>
      <c r="B118" s="83" t="inlineStr">
        <is>
          <t>325</t>
        </is>
      </c>
      <c r="C118" s="83" t="inlineStr">
        <is>
          <t>Chemical products</t>
        </is>
      </c>
      <c r="D118" s="83" t="inlineStr">
        <is>
          <t>Industrial gas manufacturing</t>
        </is>
      </c>
      <c r="E118" s="84" t="inlineStr">
        <is>
          <t>325120</t>
        </is>
      </c>
      <c r="F118" s="83" t="n">
        <v>3117</v>
      </c>
      <c r="G118" s="83" t="n">
        <v>525</v>
      </c>
      <c r="H118" s="83" t="n">
        <v>8711</v>
      </c>
      <c r="I118" s="92" t="n">
        <v>2454</v>
      </c>
      <c r="J118" s="83" t="n">
        <v>191</v>
      </c>
      <c r="K118" s="83" t="n">
        <v>5</v>
      </c>
      <c r="L118" s="93" t="n">
        <v>873</v>
      </c>
    </row>
    <row r="119" ht="13.8" customHeight="1" s="82">
      <c r="A119" s="83" t="inlineStr">
        <is>
          <t>325130</t>
        </is>
      </c>
      <c r="B119" s="83" t="inlineStr">
        <is>
          <t>325</t>
        </is>
      </c>
      <c r="C119" s="83" t="inlineStr">
        <is>
          <t>Chemical products</t>
        </is>
      </c>
      <c r="D119" s="83" t="inlineStr">
        <is>
          <t>Synthetic dye and pigment manufacturing</t>
        </is>
      </c>
      <c r="E119" s="84" t="inlineStr">
        <is>
          <t>325130</t>
        </is>
      </c>
      <c r="F119" s="83" t="n">
        <v>1303</v>
      </c>
      <c r="G119" s="83" t="n">
        <v>220</v>
      </c>
      <c r="H119" s="83" t="n">
        <v>3640</v>
      </c>
      <c r="I119" s="92" t="n">
        <v>1359</v>
      </c>
      <c r="J119" s="83" t="n">
        <v>121</v>
      </c>
      <c r="K119" s="83" t="n">
        <v>12</v>
      </c>
      <c r="L119" s="93" t="n">
        <v>1058</v>
      </c>
    </row>
    <row r="120" ht="13.8" customHeight="1" s="82">
      <c r="A120" s="83" t="inlineStr">
        <is>
          <t>325180</t>
        </is>
      </c>
      <c r="B120" s="83" t="inlineStr">
        <is>
          <t>325</t>
        </is>
      </c>
      <c r="C120" s="83" t="inlineStr">
        <is>
          <t>Chemical products</t>
        </is>
      </c>
      <c r="D120" s="83" t="inlineStr">
        <is>
          <t>Other basic inorganic chemical manufacturing</t>
        </is>
      </c>
      <c r="E120" s="84" t="inlineStr">
        <is>
          <t>325180</t>
        </is>
      </c>
      <c r="F120" s="83" t="n">
        <v>5850</v>
      </c>
      <c r="G120" s="83" t="n">
        <v>986</v>
      </c>
      <c r="H120" s="83" t="n">
        <v>16349</v>
      </c>
      <c r="I120" s="92" t="n">
        <v>4986</v>
      </c>
      <c r="J120" s="83" t="n">
        <v>560</v>
      </c>
      <c r="K120" s="83" t="n">
        <v>20</v>
      </c>
      <c r="L120" s="93" t="n">
        <v>8826</v>
      </c>
    </row>
    <row r="121" ht="13.8" customHeight="1" s="82">
      <c r="A121" s="83" t="inlineStr">
        <is>
          <t>325190</t>
        </is>
      </c>
      <c r="B121" s="83" t="inlineStr">
        <is>
          <t>325</t>
        </is>
      </c>
      <c r="C121" s="83" t="inlineStr">
        <is>
          <t>Chemical products</t>
        </is>
      </c>
      <c r="D121" s="83" t="inlineStr">
        <is>
          <t>Other basic organic chemical manufacturing</t>
        </is>
      </c>
      <c r="E121" s="84" t="inlineStr">
        <is>
          <t>325190</t>
        </is>
      </c>
      <c r="F121" s="83" t="n">
        <v>7589</v>
      </c>
      <c r="G121" s="83" t="n">
        <v>1279</v>
      </c>
      <c r="H121" s="83" t="n">
        <v>21209</v>
      </c>
      <c r="I121" s="92" t="n">
        <v>6309</v>
      </c>
      <c r="J121" s="83" t="n">
        <v>2040</v>
      </c>
      <c r="K121" s="83" t="n">
        <v>88</v>
      </c>
      <c r="L121" s="93" t="n">
        <v>22500</v>
      </c>
    </row>
    <row r="122" ht="13.8" customHeight="1" s="82">
      <c r="A122" s="83" t="inlineStr">
        <is>
          <t>325211</t>
        </is>
      </c>
      <c r="B122" s="83" t="inlineStr">
        <is>
          <t>325</t>
        </is>
      </c>
      <c r="C122" s="83" t="inlineStr">
        <is>
          <t>Chemical products</t>
        </is>
      </c>
      <c r="D122" s="83" t="inlineStr">
        <is>
          <t>Plastics material and resin manufacturing</t>
        </is>
      </c>
      <c r="E122" s="84" t="inlineStr">
        <is>
          <t>325211</t>
        </is>
      </c>
      <c r="F122" s="83" t="n">
        <v>8735</v>
      </c>
      <c r="G122" s="83" t="n">
        <v>1473</v>
      </c>
      <c r="H122" s="83" t="n">
        <v>24411</v>
      </c>
      <c r="I122" s="92" t="n">
        <v>7285</v>
      </c>
      <c r="J122" s="83" t="n">
        <v>1508</v>
      </c>
      <c r="K122" s="83" t="n">
        <v>71</v>
      </c>
      <c r="L122" s="93" t="n">
        <v>13728</v>
      </c>
    </row>
    <row r="123" ht="13.8" customHeight="1" s="82">
      <c r="A123" s="83" t="inlineStr">
        <is>
          <t>3252A0</t>
        </is>
      </c>
      <c r="B123" s="83" t="inlineStr">
        <is>
          <t>325</t>
        </is>
      </c>
      <c r="C123" s="83" t="inlineStr">
        <is>
          <t>Chemical products</t>
        </is>
      </c>
      <c r="D123" s="83" t="inlineStr">
        <is>
          <t>Synthetic rubber and artificial and synthetic fibers and filaments manufacturing</t>
        </is>
      </c>
      <c r="E123" s="84" t="inlineStr">
        <is>
          <t>3252A0</t>
        </is>
      </c>
      <c r="F123" s="83" t="n">
        <v>4511</v>
      </c>
      <c r="G123" s="83" t="n">
        <v>760</v>
      </c>
      <c r="H123" s="83" t="n">
        <v>12607</v>
      </c>
      <c r="I123" s="92" t="n">
        <v>3752</v>
      </c>
      <c r="J123" s="83" t="n">
        <v>260</v>
      </c>
      <c r="K123" s="83" t="n">
        <v>21</v>
      </c>
      <c r="L123" s="93" t="n">
        <v>1119</v>
      </c>
    </row>
    <row r="124" ht="13.8" customHeight="1" s="82">
      <c r="A124" s="83" t="inlineStr">
        <is>
          <t>325310</t>
        </is>
      </c>
      <c r="B124" s="83" t="inlineStr">
        <is>
          <t>325</t>
        </is>
      </c>
      <c r="C124" s="83" t="inlineStr">
        <is>
          <t>Chemical products</t>
        </is>
      </c>
      <c r="D124" s="83" t="inlineStr">
        <is>
          <t>Fertilizer manufacturing</t>
        </is>
      </c>
      <c r="E124" s="84" t="inlineStr">
        <is>
          <t>325310</t>
        </is>
      </c>
      <c r="F124" s="83" t="n">
        <v>3008</v>
      </c>
      <c r="G124" s="83" t="n">
        <v>507</v>
      </c>
      <c r="H124" s="83" t="n">
        <v>8407</v>
      </c>
      <c r="I124" s="92" t="n">
        <v>2291</v>
      </c>
      <c r="J124" s="83" t="n">
        <v>303</v>
      </c>
      <c r="K124" s="83" t="n">
        <v>18</v>
      </c>
      <c r="L124" s="93" t="n">
        <v>4861</v>
      </c>
    </row>
    <row r="125" ht="13.8" customHeight="1" s="82">
      <c r="A125" s="83" t="inlineStr">
        <is>
          <t>325320</t>
        </is>
      </c>
      <c r="B125" s="83" t="inlineStr">
        <is>
          <t>325</t>
        </is>
      </c>
      <c r="C125" s="83" t="inlineStr">
        <is>
          <t>Chemical products</t>
        </is>
      </c>
      <c r="D125" s="83" t="inlineStr">
        <is>
          <t>Pesticide and other agricultural chemical manufacturing</t>
        </is>
      </c>
      <c r="E125" s="84" t="inlineStr">
        <is>
          <t>325320</t>
        </is>
      </c>
      <c r="F125" s="83" t="n">
        <v>1878</v>
      </c>
      <c r="G125" s="83" t="n">
        <v>317</v>
      </c>
      <c r="H125" s="83" t="n">
        <v>5247</v>
      </c>
      <c r="I125" s="92" t="n">
        <v>1607</v>
      </c>
      <c r="J125" s="83" t="n">
        <v>256</v>
      </c>
      <c r="K125" s="83" t="n">
        <v>6</v>
      </c>
      <c r="L125" s="93" t="n">
        <v>3989</v>
      </c>
    </row>
    <row r="126" ht="13.8" customHeight="1" s="82">
      <c r="A126" s="83" t="inlineStr">
        <is>
          <t>325411</t>
        </is>
      </c>
      <c r="B126" s="83" t="inlineStr">
        <is>
          <t>325</t>
        </is>
      </c>
      <c r="C126" s="83" t="inlineStr">
        <is>
          <t>Chemical products</t>
        </is>
      </c>
      <c r="D126" s="83" t="inlineStr">
        <is>
          <t>Medicinal and botanical manufacturing</t>
        </is>
      </c>
      <c r="E126" s="84" t="inlineStr">
        <is>
          <t>325411</t>
        </is>
      </c>
      <c r="F126" s="83" t="n">
        <v>6288</v>
      </c>
      <c r="G126" s="83" t="n">
        <v>1060</v>
      </c>
      <c r="H126" s="83" t="n">
        <v>17572</v>
      </c>
      <c r="I126" s="92" t="n">
        <v>3941</v>
      </c>
      <c r="J126" s="83" t="n">
        <v>251</v>
      </c>
      <c r="K126" s="83" t="n">
        <v>0</v>
      </c>
      <c r="L126" s="93" t="n">
        <v>3231</v>
      </c>
    </row>
    <row r="127" ht="13.8" customHeight="1" s="82">
      <c r="A127" s="83" t="inlineStr">
        <is>
          <t>325412</t>
        </is>
      </c>
      <c r="B127" s="83" t="inlineStr">
        <is>
          <t>325</t>
        </is>
      </c>
      <c r="C127" s="83" t="inlineStr">
        <is>
          <t>Chemical products</t>
        </is>
      </c>
      <c r="D127" s="83" t="inlineStr">
        <is>
          <t>Pharmaceutical preparation manufacturing</t>
        </is>
      </c>
      <c r="E127" s="84" t="inlineStr">
        <is>
          <t>325412</t>
        </is>
      </c>
      <c r="F127" s="83" t="n">
        <v>39426</v>
      </c>
      <c r="G127" s="83" t="n">
        <v>6646</v>
      </c>
      <c r="H127" s="83" t="n">
        <v>110179</v>
      </c>
      <c r="I127" s="92" t="n">
        <v>31768</v>
      </c>
      <c r="J127" s="83" t="n">
        <v>3213</v>
      </c>
      <c r="K127" s="83" t="n">
        <v>4151</v>
      </c>
      <c r="L127" s="93" t="n">
        <v>75346</v>
      </c>
    </row>
    <row r="128" ht="13.8" customHeight="1" s="82">
      <c r="A128" s="83" t="inlineStr">
        <is>
          <t>325413</t>
        </is>
      </c>
      <c r="B128" s="83" t="inlineStr">
        <is>
          <t>325</t>
        </is>
      </c>
      <c r="C128" s="83" t="inlineStr">
        <is>
          <t>Chemical products</t>
        </is>
      </c>
      <c r="D128" s="83" t="inlineStr">
        <is>
          <t>In-vitro diagnostic substance manufacturing</t>
        </is>
      </c>
      <c r="E128" s="84" t="inlineStr">
        <is>
          <t>325413</t>
        </is>
      </c>
      <c r="F128" s="83" t="n">
        <v>4829</v>
      </c>
      <c r="G128" s="83" t="n">
        <v>814</v>
      </c>
      <c r="H128" s="83" t="n">
        <v>13495</v>
      </c>
      <c r="I128" s="92" t="n">
        <v>3391</v>
      </c>
      <c r="J128" s="83" t="n">
        <v>312</v>
      </c>
      <c r="K128" s="83" t="n">
        <v>1</v>
      </c>
      <c r="L128" s="93" t="n">
        <v>5736</v>
      </c>
    </row>
    <row r="129" ht="13.8" customHeight="1" s="82">
      <c r="A129" s="83" t="inlineStr">
        <is>
          <t>325414</t>
        </is>
      </c>
      <c r="B129" s="83" t="inlineStr">
        <is>
          <t>325</t>
        </is>
      </c>
      <c r="C129" s="83" t="inlineStr">
        <is>
          <t>Chemical products</t>
        </is>
      </c>
      <c r="D129" s="83" t="inlineStr">
        <is>
          <t>Biological product (except diagnostic) manufacturing</t>
        </is>
      </c>
      <c r="E129" s="84" t="inlineStr">
        <is>
          <t>325414</t>
        </is>
      </c>
      <c r="F129" s="83" t="n">
        <v>6711</v>
      </c>
      <c r="G129" s="83" t="n">
        <v>1131</v>
      </c>
      <c r="H129" s="83" t="n">
        <v>18754</v>
      </c>
      <c r="I129" s="92" t="n">
        <v>4648</v>
      </c>
      <c r="J129" s="83" t="n">
        <v>617</v>
      </c>
      <c r="K129" s="83" t="n">
        <v>202</v>
      </c>
      <c r="L129" s="93" t="n">
        <v>16555</v>
      </c>
    </row>
    <row r="130" ht="13.8" customHeight="1" s="82">
      <c r="A130" s="83" t="inlineStr">
        <is>
          <t>325510</t>
        </is>
      </c>
      <c r="B130" s="83" t="inlineStr">
        <is>
          <t>325</t>
        </is>
      </c>
      <c r="C130" s="83" t="inlineStr">
        <is>
          <t>Chemical products</t>
        </is>
      </c>
      <c r="D130" s="83" t="inlineStr">
        <is>
          <t>Paint and coating manufacturing</t>
        </is>
      </c>
      <c r="E130" s="84" t="inlineStr">
        <is>
          <t>325510</t>
        </is>
      </c>
      <c r="F130" s="83" t="n">
        <v>4608</v>
      </c>
      <c r="G130" s="83" t="n">
        <v>777</v>
      </c>
      <c r="H130" s="83" t="n">
        <v>12876</v>
      </c>
      <c r="I130" s="92" t="n">
        <v>3705</v>
      </c>
      <c r="J130" s="83" t="n">
        <v>478</v>
      </c>
      <c r="K130" s="83" t="n">
        <v>49</v>
      </c>
      <c r="L130" s="93" t="n">
        <v>6356</v>
      </c>
    </row>
    <row r="131" ht="13.8" customHeight="1" s="82">
      <c r="A131" s="83" t="inlineStr">
        <is>
          <t>325520</t>
        </is>
      </c>
      <c r="B131" s="83" t="inlineStr">
        <is>
          <t>325</t>
        </is>
      </c>
      <c r="C131" s="83" t="inlineStr">
        <is>
          <t>Chemical products</t>
        </is>
      </c>
      <c r="D131" s="83" t="inlineStr">
        <is>
          <t>Adhesive manufacturing</t>
        </is>
      </c>
      <c r="E131" s="84" t="inlineStr">
        <is>
          <t>325520</t>
        </is>
      </c>
      <c r="F131" s="83" t="n">
        <v>2697</v>
      </c>
      <c r="G131" s="83" t="n">
        <v>455</v>
      </c>
      <c r="H131" s="83" t="n">
        <v>7538</v>
      </c>
      <c r="I131" s="92" t="n">
        <v>2209</v>
      </c>
      <c r="J131" s="83" t="n">
        <v>259</v>
      </c>
      <c r="K131" s="83" t="n">
        <v>7</v>
      </c>
      <c r="L131" s="93" t="n">
        <v>3635</v>
      </c>
    </row>
    <row r="132" ht="13.8" customHeight="1" s="82">
      <c r="A132" s="83" t="inlineStr">
        <is>
          <t>325610</t>
        </is>
      </c>
      <c r="B132" s="83" t="inlineStr">
        <is>
          <t>325</t>
        </is>
      </c>
      <c r="C132" s="83" t="inlineStr">
        <is>
          <t>Chemical products</t>
        </is>
      </c>
      <c r="D132" s="83" t="inlineStr">
        <is>
          <t>Soap and cleaning compound manufacturing</t>
        </is>
      </c>
      <c r="E132" s="84" t="inlineStr">
        <is>
          <t>325610</t>
        </is>
      </c>
      <c r="F132" s="83" t="n">
        <v>6699</v>
      </c>
      <c r="G132" s="83" t="n">
        <v>1129</v>
      </c>
      <c r="H132" s="83" t="n">
        <v>18720</v>
      </c>
      <c r="I132" s="92" t="n">
        <v>5616</v>
      </c>
      <c r="J132" s="83" t="n">
        <v>708</v>
      </c>
      <c r="K132" s="83" t="n">
        <v>88</v>
      </c>
      <c r="L132" s="93" t="n">
        <v>13663</v>
      </c>
    </row>
    <row r="133" ht="13.8" customHeight="1" s="82">
      <c r="A133" s="83" t="inlineStr">
        <is>
          <t>325620</t>
        </is>
      </c>
      <c r="B133" s="83" t="inlineStr">
        <is>
          <t>325</t>
        </is>
      </c>
      <c r="C133" s="83" t="inlineStr">
        <is>
          <t>Chemical products</t>
        </is>
      </c>
      <c r="D133" s="83" t="inlineStr">
        <is>
          <t>Toilet preparation manufacturing</t>
        </is>
      </c>
      <c r="E133" s="84" t="inlineStr">
        <is>
          <t>325620</t>
        </is>
      </c>
      <c r="F133" s="83" t="n">
        <v>5338</v>
      </c>
      <c r="G133" s="83" t="n">
        <v>900</v>
      </c>
      <c r="H133" s="83" t="n">
        <v>14916</v>
      </c>
      <c r="I133" s="92" t="n">
        <v>4343</v>
      </c>
      <c r="J133" s="83" t="n">
        <v>792</v>
      </c>
      <c r="K133" s="83" t="n">
        <v>255</v>
      </c>
      <c r="L133" s="93" t="n">
        <v>17723</v>
      </c>
    </row>
    <row r="134" ht="13.8" customHeight="1" s="82">
      <c r="A134" s="83" t="inlineStr">
        <is>
          <t>325910</t>
        </is>
      </c>
      <c r="B134" s="83" t="inlineStr">
        <is>
          <t>325</t>
        </is>
      </c>
      <c r="C134" s="83" t="inlineStr">
        <is>
          <t>Chemical products</t>
        </is>
      </c>
      <c r="D134" s="83" t="inlineStr">
        <is>
          <t>Printing ink manufacturing</t>
        </is>
      </c>
      <c r="E134" s="84" t="inlineStr">
        <is>
          <t>325910</t>
        </is>
      </c>
      <c r="F134" s="83" t="n">
        <v>747</v>
      </c>
      <c r="G134" s="83" t="n">
        <v>126</v>
      </c>
      <c r="H134" s="83" t="n">
        <v>2086</v>
      </c>
      <c r="I134" s="92" t="n">
        <v>753</v>
      </c>
      <c r="J134" s="83" t="n">
        <v>71</v>
      </c>
      <c r="K134" s="83" t="n">
        <v>10</v>
      </c>
      <c r="L134" s="93" t="n">
        <v>514</v>
      </c>
    </row>
    <row r="135" ht="13.8" customHeight="1" s="82">
      <c r="A135" s="83" t="inlineStr">
        <is>
          <t>3259A0</t>
        </is>
      </c>
      <c r="B135" s="83" t="inlineStr">
        <is>
          <t>325</t>
        </is>
      </c>
      <c r="C135" s="83" t="inlineStr">
        <is>
          <t>Chemical products</t>
        </is>
      </c>
      <c r="D135" s="83" t="inlineStr">
        <is>
          <t>All other chemical product and preparation manufacturing</t>
        </is>
      </c>
      <c r="E135" s="84" t="inlineStr">
        <is>
          <t>3259A0</t>
        </is>
      </c>
      <c r="F135" s="83" t="n">
        <v>8134</v>
      </c>
      <c r="G135" s="83" t="n">
        <v>1371</v>
      </c>
      <c r="H135" s="83" t="n">
        <v>22731</v>
      </c>
      <c r="I135" s="92" t="n">
        <v>6756</v>
      </c>
      <c r="J135" s="83" t="n">
        <v>746</v>
      </c>
      <c r="K135" s="83" t="n">
        <v>76</v>
      </c>
      <c r="L135" s="93" t="n">
        <v>7688</v>
      </c>
    </row>
    <row r="136" ht="13.8" customHeight="1" s="82">
      <c r="A136" s="83" t="inlineStr">
        <is>
          <t>326110</t>
        </is>
      </c>
      <c r="B136" s="83" t="inlineStr">
        <is>
          <t>326</t>
        </is>
      </c>
      <c r="C136" s="83" t="inlineStr">
        <is>
          <t>Plastics and rubber products</t>
        </is>
      </c>
      <c r="D136" s="83" t="inlineStr">
        <is>
          <t>Plastics packaging materials and unlaminated film and sheet manufacturing</t>
        </is>
      </c>
      <c r="E136" s="84" t="inlineStr">
        <is>
          <t>326110</t>
        </is>
      </c>
      <c r="F136" s="83" t="n">
        <v>8370</v>
      </c>
      <c r="G136" s="83" t="n">
        <v>346</v>
      </c>
      <c r="H136" s="83" t="n">
        <v>4150</v>
      </c>
      <c r="I136" s="92" t="n">
        <v>6831</v>
      </c>
      <c r="J136" s="83" t="n">
        <v>254</v>
      </c>
      <c r="K136" s="83" t="n">
        <v>38</v>
      </c>
      <c r="L136" s="93" t="n">
        <v>4390</v>
      </c>
    </row>
    <row r="137" ht="13.8" customHeight="1" s="82">
      <c r="A137" s="83" t="inlineStr">
        <is>
          <t>326120</t>
        </is>
      </c>
      <c r="B137" s="83" t="inlineStr">
        <is>
          <t>326</t>
        </is>
      </c>
      <c r="C137" s="83" t="inlineStr">
        <is>
          <t>Plastics and rubber products</t>
        </is>
      </c>
      <c r="D137" s="83" t="inlineStr">
        <is>
          <t>Plastics pipe, pipe fitting, and unlaminated profile shape manufacturing</t>
        </is>
      </c>
      <c r="E137" s="84" t="inlineStr">
        <is>
          <t>326120</t>
        </is>
      </c>
      <c r="F137" s="83" t="n">
        <v>4521</v>
      </c>
      <c r="G137" s="83" t="n">
        <v>187</v>
      </c>
      <c r="H137" s="83" t="n">
        <v>2242</v>
      </c>
      <c r="I137" s="92" t="n">
        <v>3541</v>
      </c>
      <c r="J137" s="83" t="n">
        <v>127</v>
      </c>
      <c r="K137" s="83" t="n">
        <v>12</v>
      </c>
      <c r="L137" s="93" t="n">
        <v>2931</v>
      </c>
    </row>
    <row r="138" ht="13.8" customHeight="1" s="82">
      <c r="A138" s="83" t="inlineStr">
        <is>
          <t>326130</t>
        </is>
      </c>
      <c r="B138" s="83" t="inlineStr">
        <is>
          <t>326</t>
        </is>
      </c>
      <c r="C138" s="83" t="inlineStr">
        <is>
          <t>Plastics and rubber products</t>
        </is>
      </c>
      <c r="D138" s="83" t="inlineStr">
        <is>
          <t>Laminated plastics plate, sheet (except packaging), and shape manufacturing</t>
        </is>
      </c>
      <c r="E138" s="84" t="inlineStr">
        <is>
          <t>326130</t>
        </is>
      </c>
      <c r="F138" s="83" t="n">
        <v>1646</v>
      </c>
      <c r="G138" s="83" t="n">
        <v>68</v>
      </c>
      <c r="H138" s="83" t="n">
        <v>816</v>
      </c>
      <c r="I138" s="92" t="n">
        <v>1372</v>
      </c>
      <c r="J138" s="83" t="n">
        <v>29</v>
      </c>
      <c r="K138" s="83" t="n">
        <v>1</v>
      </c>
      <c r="L138" s="93" t="n">
        <v>452</v>
      </c>
    </row>
    <row r="139" ht="13.8" customHeight="1" s="82">
      <c r="A139" s="83" t="inlineStr">
        <is>
          <t>326140</t>
        </is>
      </c>
      <c r="B139" s="83" t="inlineStr">
        <is>
          <t>326</t>
        </is>
      </c>
      <c r="C139" s="83" t="inlineStr">
        <is>
          <t>Plastics and rubber products</t>
        </is>
      </c>
      <c r="D139" s="83" t="inlineStr">
        <is>
          <t>Polystyrene foam product manufacturing</t>
        </is>
      </c>
      <c r="E139" s="84" t="inlineStr">
        <is>
          <t>326140</t>
        </is>
      </c>
      <c r="F139" s="83" t="n">
        <v>2353</v>
      </c>
      <c r="G139" s="83" t="n">
        <v>97</v>
      </c>
      <c r="H139" s="83" t="n">
        <v>1166</v>
      </c>
      <c r="I139" s="92" t="n">
        <v>1959</v>
      </c>
      <c r="J139" s="83" t="n">
        <v>63</v>
      </c>
      <c r="K139" s="83" t="n">
        <v>0</v>
      </c>
      <c r="L139" s="93" t="n">
        <v>691</v>
      </c>
    </row>
    <row r="140" ht="13.8" customHeight="1" s="82">
      <c r="A140" s="83" t="inlineStr">
        <is>
          <t>326150</t>
        </is>
      </c>
      <c r="B140" s="83" t="inlineStr">
        <is>
          <t>326</t>
        </is>
      </c>
      <c r="C140" s="83" t="inlineStr">
        <is>
          <t>Plastics and rubber products</t>
        </is>
      </c>
      <c r="D140" s="83" t="inlineStr">
        <is>
          <t>Urethane and other foam product (except polystyrene) manufacturing</t>
        </is>
      </c>
      <c r="E140" s="84" t="inlineStr">
        <is>
          <t>326150</t>
        </is>
      </c>
      <c r="F140" s="83" t="n">
        <v>2716</v>
      </c>
      <c r="G140" s="83" t="n">
        <v>112</v>
      </c>
      <c r="H140" s="83" t="n">
        <v>1347</v>
      </c>
      <c r="I140" s="92" t="n">
        <v>2214</v>
      </c>
      <c r="J140" s="83" t="n">
        <v>70</v>
      </c>
      <c r="K140" s="83" t="n">
        <v>5</v>
      </c>
      <c r="L140" s="93" t="n">
        <v>1015</v>
      </c>
    </row>
    <row r="141" ht="13.8" customHeight="1" s="82">
      <c r="A141" s="83" t="inlineStr">
        <is>
          <t>326160</t>
        </is>
      </c>
      <c r="B141" s="83" t="inlineStr">
        <is>
          <t>326</t>
        </is>
      </c>
      <c r="C141" s="83" t="inlineStr">
        <is>
          <t>Plastics and rubber products</t>
        </is>
      </c>
      <c r="D141" s="83" t="inlineStr">
        <is>
          <t>Plastics bottle manufacturing</t>
        </is>
      </c>
      <c r="E141" s="84" t="inlineStr">
        <is>
          <t>326160</t>
        </is>
      </c>
      <c r="F141" s="83" t="n">
        <v>2830</v>
      </c>
      <c r="G141" s="83" t="n">
        <v>117</v>
      </c>
      <c r="H141" s="83" t="n">
        <v>1403</v>
      </c>
      <c r="I141" s="92" t="n">
        <v>2279</v>
      </c>
      <c r="J141" s="83" t="n">
        <v>71</v>
      </c>
      <c r="K141" s="83" t="n">
        <v>0</v>
      </c>
      <c r="L141" s="93" t="n">
        <v>980</v>
      </c>
    </row>
    <row r="142" ht="13.8" customHeight="1" s="82">
      <c r="A142" s="83" t="inlineStr">
        <is>
          <t>326190</t>
        </is>
      </c>
      <c r="B142" s="83" t="inlineStr">
        <is>
          <t>326</t>
        </is>
      </c>
      <c r="C142" s="83" t="inlineStr">
        <is>
          <t>Plastics and rubber products</t>
        </is>
      </c>
      <c r="D142" s="83" t="inlineStr">
        <is>
          <t>Other plastics product manufacturing</t>
        </is>
      </c>
      <c r="E142" s="84" t="inlineStr">
        <is>
          <t>326190</t>
        </is>
      </c>
      <c r="F142" s="83" t="n">
        <v>25334</v>
      </c>
      <c r="G142" s="83" t="n">
        <v>1046</v>
      </c>
      <c r="H142" s="83" t="n">
        <v>12560</v>
      </c>
      <c r="I142" s="92" t="n">
        <v>19074</v>
      </c>
      <c r="J142" s="83" t="n">
        <v>669</v>
      </c>
      <c r="K142" s="83" t="n">
        <v>29</v>
      </c>
      <c r="L142" s="93" t="n">
        <v>12796</v>
      </c>
    </row>
    <row r="143" ht="13.8" customHeight="1" s="82">
      <c r="A143" s="83" t="inlineStr">
        <is>
          <t>326210</t>
        </is>
      </c>
      <c r="B143" s="83" t="inlineStr">
        <is>
          <t>326</t>
        </is>
      </c>
      <c r="C143" s="83" t="inlineStr">
        <is>
          <t>Plastics and rubber products</t>
        </is>
      </c>
      <c r="D143" s="83" t="inlineStr">
        <is>
          <t>Tire manufacturing</t>
        </is>
      </c>
      <c r="E143" s="84" t="inlineStr">
        <is>
          <t>326210</t>
        </is>
      </c>
      <c r="F143" s="83" t="n">
        <v>5122</v>
      </c>
      <c r="G143" s="83" t="n">
        <v>212</v>
      </c>
      <c r="H143" s="83" t="n">
        <v>2540</v>
      </c>
      <c r="I143" s="92" t="n">
        <v>4568</v>
      </c>
      <c r="J143" s="83" t="n">
        <v>125</v>
      </c>
      <c r="K143" s="83" t="n">
        <v>309</v>
      </c>
      <c r="L143" s="93" t="n">
        <v>2024</v>
      </c>
    </row>
    <row r="144" ht="13.8" customHeight="1" s="82">
      <c r="A144" s="83" t="inlineStr">
        <is>
          <t>326220</t>
        </is>
      </c>
      <c r="B144" s="83" t="inlineStr">
        <is>
          <t>326</t>
        </is>
      </c>
      <c r="C144" s="83" t="inlineStr">
        <is>
          <t>Plastics and rubber products</t>
        </is>
      </c>
      <c r="D144" s="83" t="inlineStr">
        <is>
          <t>Rubber and plastics hoses and belting manufacturing</t>
        </is>
      </c>
      <c r="E144" s="84" t="inlineStr">
        <is>
          <t>326220</t>
        </is>
      </c>
      <c r="F144" s="83" t="n">
        <v>1866</v>
      </c>
      <c r="G144" s="83" t="n">
        <v>77</v>
      </c>
      <c r="H144" s="83" t="n">
        <v>925</v>
      </c>
      <c r="I144" s="92" t="n">
        <v>1635</v>
      </c>
      <c r="J144" s="83" t="n">
        <v>33</v>
      </c>
      <c r="K144" s="83" t="n">
        <v>4</v>
      </c>
      <c r="L144" s="93" t="n">
        <v>437</v>
      </c>
    </row>
    <row r="145" ht="13.8" customHeight="1" s="82">
      <c r="A145" s="83" t="inlineStr">
        <is>
          <t>326290</t>
        </is>
      </c>
      <c r="B145" s="83" t="inlineStr">
        <is>
          <t>326</t>
        </is>
      </c>
      <c r="C145" s="83" t="inlineStr">
        <is>
          <t>Plastics and rubber products</t>
        </is>
      </c>
      <c r="D145" s="83" t="inlineStr">
        <is>
          <t>Other rubber product manufacturing</t>
        </is>
      </c>
      <c r="E145" s="84" t="inlineStr">
        <is>
          <t>326290</t>
        </is>
      </c>
      <c r="F145" s="83" t="n">
        <v>4069</v>
      </c>
      <c r="G145" s="83" t="n">
        <v>168</v>
      </c>
      <c r="H145" s="83" t="n">
        <v>2018</v>
      </c>
      <c r="I145" s="92" t="n">
        <v>3682</v>
      </c>
      <c r="J145" s="83" t="n">
        <v>123</v>
      </c>
      <c r="K145" s="83" t="n">
        <v>18</v>
      </c>
      <c r="L145" s="93" t="n">
        <v>2352</v>
      </c>
    </row>
    <row r="146" ht="13.8" customHeight="1" s="82">
      <c r="A146" s="83" t="inlineStr">
        <is>
          <t>327100</t>
        </is>
      </c>
      <c r="B146" s="83" t="inlineStr">
        <is>
          <t>327</t>
        </is>
      </c>
      <c r="C146" s="83" t="inlineStr">
        <is>
          <t>Nonmetallic mineral products</t>
        </is>
      </c>
      <c r="D146" s="83" t="inlineStr">
        <is>
          <t>Clay product and refractory manufacturing</t>
        </is>
      </c>
      <c r="E146" s="84" t="inlineStr">
        <is>
          <t>327100</t>
        </is>
      </c>
      <c r="F146" s="83" t="n">
        <v>2855</v>
      </c>
      <c r="G146" s="83" t="n">
        <v>156</v>
      </c>
      <c r="H146" s="83" t="n">
        <v>2851</v>
      </c>
      <c r="I146" s="92" t="n">
        <v>2719</v>
      </c>
      <c r="J146" s="83" t="n">
        <v>91</v>
      </c>
      <c r="K146" s="83" t="n">
        <v>14</v>
      </c>
      <c r="L146" s="93" t="n">
        <v>1196</v>
      </c>
    </row>
    <row r="147" ht="13.8" customHeight="1" s="82">
      <c r="A147" s="83" t="inlineStr">
        <is>
          <t>327200</t>
        </is>
      </c>
      <c r="B147" s="83" t="inlineStr">
        <is>
          <t>327</t>
        </is>
      </c>
      <c r="C147" s="83" t="inlineStr">
        <is>
          <t>Nonmetallic mineral products</t>
        </is>
      </c>
      <c r="D147" s="83" t="inlineStr">
        <is>
          <t>Glass and glass product manufacturing</t>
        </is>
      </c>
      <c r="E147" s="84" t="inlineStr">
        <is>
          <t>327200</t>
        </is>
      </c>
      <c r="F147" s="83" t="n">
        <v>6855</v>
      </c>
      <c r="G147" s="83" t="n">
        <v>375</v>
      </c>
      <c r="H147" s="83" t="n">
        <v>6845</v>
      </c>
      <c r="I147" s="92" t="n">
        <v>6235</v>
      </c>
      <c r="J147" s="83" t="n">
        <v>292</v>
      </c>
      <c r="K147" s="83" t="n">
        <v>5</v>
      </c>
      <c r="L147" s="93" t="n">
        <v>5437</v>
      </c>
    </row>
    <row r="148" ht="13.8" customHeight="1" s="82">
      <c r="A148" s="83" t="inlineStr">
        <is>
          <t>327310</t>
        </is>
      </c>
      <c r="B148" s="83" t="inlineStr">
        <is>
          <t>327</t>
        </is>
      </c>
      <c r="C148" s="83" t="inlineStr">
        <is>
          <t>Nonmetallic mineral products</t>
        </is>
      </c>
      <c r="D148" s="83" t="inlineStr">
        <is>
          <t>Cement manufacturing</t>
        </is>
      </c>
      <c r="E148" s="84" t="inlineStr">
        <is>
          <t>327310</t>
        </is>
      </c>
      <c r="F148" s="83" t="n">
        <v>1560</v>
      </c>
      <c r="G148" s="83" t="n">
        <v>85</v>
      </c>
      <c r="H148" s="83" t="n">
        <v>1557</v>
      </c>
      <c r="I148" s="92" t="n">
        <v>1426</v>
      </c>
      <c r="J148" s="83" t="n">
        <v>94</v>
      </c>
      <c r="K148" s="83" t="n">
        <v>7</v>
      </c>
      <c r="L148" s="93" t="n">
        <v>3038</v>
      </c>
    </row>
    <row r="149" ht="13.8" customHeight="1" s="82">
      <c r="A149" s="83" t="inlineStr">
        <is>
          <t>327320</t>
        </is>
      </c>
      <c r="B149" s="83" t="inlineStr">
        <is>
          <t>327</t>
        </is>
      </c>
      <c r="C149" s="83" t="inlineStr">
        <is>
          <t>Nonmetallic mineral products</t>
        </is>
      </c>
      <c r="D149" s="83" t="inlineStr">
        <is>
          <t>Ready-mix concrete manufacturing</t>
        </is>
      </c>
      <c r="E149" s="84" t="inlineStr">
        <is>
          <t>327320</t>
        </is>
      </c>
      <c r="F149" s="83" t="n">
        <v>9078</v>
      </c>
      <c r="G149" s="83" t="n">
        <v>497</v>
      </c>
      <c r="H149" s="83" t="n">
        <v>9066</v>
      </c>
      <c r="I149" s="92" t="n">
        <v>7003</v>
      </c>
      <c r="J149" s="83" t="n">
        <v>356</v>
      </c>
      <c r="K149" s="83" t="n">
        <v>30</v>
      </c>
      <c r="L149" s="93" t="n">
        <v>4092</v>
      </c>
    </row>
    <row r="150" ht="13.8" customHeight="1" s="82">
      <c r="A150" s="83" t="inlineStr">
        <is>
          <t>327330</t>
        </is>
      </c>
      <c r="B150" s="83" t="inlineStr">
        <is>
          <t>327</t>
        </is>
      </c>
      <c r="C150" s="83" t="inlineStr">
        <is>
          <t>Nonmetallic mineral products</t>
        </is>
      </c>
      <c r="D150" s="83" t="inlineStr">
        <is>
          <t>Concrete pipe, brick, and block manufacturing</t>
        </is>
      </c>
      <c r="E150" s="84" t="inlineStr">
        <is>
          <t>327330</t>
        </is>
      </c>
      <c r="F150" s="83" t="n">
        <v>2488</v>
      </c>
      <c r="G150" s="83" t="n">
        <v>136</v>
      </c>
      <c r="H150" s="83" t="n">
        <v>2484</v>
      </c>
      <c r="I150" s="92" t="n">
        <v>1876</v>
      </c>
      <c r="J150" s="83" t="n">
        <v>73</v>
      </c>
      <c r="K150" s="83" t="n">
        <v>27</v>
      </c>
      <c r="L150" s="93" t="n">
        <v>1311</v>
      </c>
    </row>
    <row r="151" ht="13.8" customHeight="1" s="82">
      <c r="A151" s="83" t="inlineStr">
        <is>
          <t>327390</t>
        </is>
      </c>
      <c r="B151" s="83" t="inlineStr">
        <is>
          <t>327</t>
        </is>
      </c>
      <c r="C151" s="83" t="inlineStr">
        <is>
          <t>Nonmetallic mineral products</t>
        </is>
      </c>
      <c r="D151" s="83" t="inlineStr">
        <is>
          <t>Other concrete product manufacturing</t>
        </is>
      </c>
      <c r="E151" s="84" t="inlineStr">
        <is>
          <t>327390</t>
        </is>
      </c>
      <c r="F151" s="83" t="n">
        <v>4600</v>
      </c>
      <c r="G151" s="83" t="n">
        <v>252</v>
      </c>
      <c r="H151" s="83" t="n">
        <v>4594</v>
      </c>
      <c r="I151" s="92" t="n">
        <v>3575</v>
      </c>
      <c r="J151" s="83" t="n">
        <v>142</v>
      </c>
      <c r="K151" s="83" t="n">
        <v>9</v>
      </c>
      <c r="L151" s="93" t="n">
        <v>2380</v>
      </c>
    </row>
    <row r="152" ht="13.8" customHeight="1" s="82">
      <c r="A152" s="83" t="inlineStr">
        <is>
          <t>327400</t>
        </is>
      </c>
      <c r="B152" s="83" t="inlineStr">
        <is>
          <t>327</t>
        </is>
      </c>
      <c r="C152" s="83" t="inlineStr">
        <is>
          <t>Nonmetallic mineral products</t>
        </is>
      </c>
      <c r="D152" s="83" t="inlineStr">
        <is>
          <t>Lime and gypsum product manufacturing</t>
        </is>
      </c>
      <c r="E152" s="84" t="inlineStr">
        <is>
          <t>327400</t>
        </is>
      </c>
      <c r="F152" s="83" t="n">
        <v>1564</v>
      </c>
      <c r="G152" s="83" t="n">
        <v>86</v>
      </c>
      <c r="H152" s="83" t="n">
        <v>1562</v>
      </c>
      <c r="I152" s="92" t="n">
        <v>1290</v>
      </c>
      <c r="J152" s="83" t="n">
        <v>91</v>
      </c>
      <c r="K152" s="83" t="n">
        <v>7</v>
      </c>
      <c r="L152" s="93" t="n">
        <v>2653</v>
      </c>
    </row>
    <row r="153" ht="13.8" customHeight="1" s="82">
      <c r="A153" s="83" t="inlineStr">
        <is>
          <t>327910</t>
        </is>
      </c>
      <c r="B153" s="83" t="inlineStr">
        <is>
          <t>327</t>
        </is>
      </c>
      <c r="C153" s="83" t="inlineStr">
        <is>
          <t>Nonmetallic mineral products</t>
        </is>
      </c>
      <c r="D153" s="83" t="inlineStr">
        <is>
          <t>Abrasive product manufacturing</t>
        </is>
      </c>
      <c r="E153" s="84" t="inlineStr">
        <is>
          <t>327910</t>
        </is>
      </c>
      <c r="F153" s="83" t="n">
        <v>837</v>
      </c>
      <c r="G153" s="83" t="n">
        <v>46</v>
      </c>
      <c r="H153" s="83" t="n">
        <v>835</v>
      </c>
      <c r="I153" s="92" t="n">
        <v>776</v>
      </c>
      <c r="J153" s="83" t="n">
        <v>53</v>
      </c>
      <c r="K153" s="83" t="n">
        <v>12</v>
      </c>
      <c r="L153" s="93" t="n">
        <v>2328</v>
      </c>
    </row>
    <row r="154" ht="13.8" customHeight="1" s="82">
      <c r="A154" s="83" t="inlineStr">
        <is>
          <t>327991</t>
        </is>
      </c>
      <c r="B154" s="83" t="inlineStr">
        <is>
          <t>327</t>
        </is>
      </c>
      <c r="C154" s="83" t="inlineStr">
        <is>
          <t>Nonmetallic mineral products</t>
        </is>
      </c>
      <c r="D154" s="83" t="inlineStr">
        <is>
          <t>Cut stone and stone product manufacturing</t>
        </is>
      </c>
      <c r="E154" s="84" t="inlineStr">
        <is>
          <t>327991</t>
        </is>
      </c>
      <c r="F154" s="83" t="n">
        <v>2471</v>
      </c>
      <c r="G154" s="83" t="n">
        <v>135</v>
      </c>
      <c r="H154" s="83" t="n">
        <v>2467</v>
      </c>
      <c r="I154" s="92" t="n">
        <v>1699</v>
      </c>
      <c r="J154" s="83" t="n">
        <v>56</v>
      </c>
      <c r="K154" s="83" t="n">
        <v>1</v>
      </c>
      <c r="L154" s="93" t="n">
        <v>481</v>
      </c>
    </row>
    <row r="155" ht="13.8" customHeight="1" s="82">
      <c r="A155" s="83" t="inlineStr">
        <is>
          <t>327992</t>
        </is>
      </c>
      <c r="B155" s="83" t="inlineStr">
        <is>
          <t>327</t>
        </is>
      </c>
      <c r="C155" s="83" t="inlineStr">
        <is>
          <t>Nonmetallic mineral products</t>
        </is>
      </c>
      <c r="D155" s="83" t="inlineStr">
        <is>
          <t>Ground or treated mineral and earth manufacturing</t>
        </is>
      </c>
      <c r="E155" s="84" t="inlineStr">
        <is>
          <t>327992</t>
        </is>
      </c>
      <c r="F155" s="83" t="n">
        <v>605</v>
      </c>
      <c r="G155" s="83" t="n">
        <v>33</v>
      </c>
      <c r="H155" s="83" t="n">
        <v>604</v>
      </c>
      <c r="I155" s="92" t="n">
        <v>571</v>
      </c>
      <c r="J155" s="83" t="n">
        <v>49</v>
      </c>
      <c r="K155" s="83" t="n">
        <v>2</v>
      </c>
      <c r="L155" s="93" t="n">
        <v>1389</v>
      </c>
    </row>
    <row r="156" ht="13.8" customHeight="1" s="82">
      <c r="A156" s="83" t="inlineStr">
        <is>
          <t>327993</t>
        </is>
      </c>
      <c r="B156" s="83" t="inlineStr">
        <is>
          <t>327</t>
        </is>
      </c>
      <c r="C156" s="83" t="inlineStr">
        <is>
          <t>Nonmetallic mineral products</t>
        </is>
      </c>
      <c r="D156" s="83" t="inlineStr">
        <is>
          <t>Mineral wool manufacturing</t>
        </is>
      </c>
      <c r="E156" s="84" t="inlineStr">
        <is>
          <t>327993</t>
        </is>
      </c>
      <c r="F156" s="83" t="n">
        <v>1629</v>
      </c>
      <c r="G156" s="83" t="n">
        <v>89</v>
      </c>
      <c r="H156" s="83" t="n">
        <v>1627</v>
      </c>
      <c r="I156" s="92" t="n">
        <v>1435</v>
      </c>
      <c r="J156" s="83" t="n">
        <v>69</v>
      </c>
      <c r="K156" s="83" t="n">
        <v>4</v>
      </c>
      <c r="L156" s="93" t="n">
        <v>1698</v>
      </c>
    </row>
    <row r="157" ht="13.8" customHeight="1" s="82">
      <c r="A157" s="83" t="inlineStr">
        <is>
          <t>327999</t>
        </is>
      </c>
      <c r="B157" s="83" t="inlineStr">
        <is>
          <t>327</t>
        </is>
      </c>
      <c r="C157" s="83" t="inlineStr">
        <is>
          <t>Nonmetallic mineral products</t>
        </is>
      </c>
      <c r="D157" s="83" t="inlineStr">
        <is>
          <t>Miscellaneous nonmetallic mineral products</t>
        </is>
      </c>
      <c r="E157" s="84" t="inlineStr">
        <is>
          <t>327999</t>
        </is>
      </c>
      <c r="F157" s="83" t="n">
        <v>1043</v>
      </c>
      <c r="G157" s="83" t="n">
        <v>57</v>
      </c>
      <c r="H157" s="83" t="n">
        <v>1041</v>
      </c>
      <c r="I157" s="92" t="n">
        <v>864</v>
      </c>
      <c r="J157" s="83" t="n">
        <v>57</v>
      </c>
      <c r="K157" s="83" t="n">
        <v>19</v>
      </c>
      <c r="L157" s="93" t="n">
        <v>1455</v>
      </c>
    </row>
    <row r="158" ht="13.8" customHeight="1" s="82">
      <c r="A158" s="83" t="inlineStr">
        <is>
          <t>331110</t>
        </is>
      </c>
      <c r="B158" s="83" t="inlineStr">
        <is>
          <t>331</t>
        </is>
      </c>
      <c r="C158" s="83" t="inlineStr">
        <is>
          <t>Primary metals</t>
        </is>
      </c>
      <c r="D158" s="83" t="inlineStr">
        <is>
          <t>Iron and steel mills and ferroalloy manufacturing</t>
        </is>
      </c>
      <c r="E158" s="84" t="inlineStr">
        <is>
          <t>331110</t>
        </is>
      </c>
      <c r="F158" s="83" t="n">
        <v>11244</v>
      </c>
      <c r="G158" s="83" t="n">
        <v>943</v>
      </c>
      <c r="H158" s="83" t="n">
        <v>15608</v>
      </c>
      <c r="I158" s="92" t="n">
        <v>9112</v>
      </c>
      <c r="J158" s="83" t="n">
        <v>982</v>
      </c>
      <c r="K158" s="83" t="n">
        <v>14</v>
      </c>
      <c r="L158" s="93" t="n">
        <v>11070</v>
      </c>
    </row>
    <row r="159" ht="13.8" customHeight="1" s="82">
      <c r="A159" s="83" t="inlineStr">
        <is>
          <t>331200</t>
        </is>
      </c>
      <c r="B159" s="83" t="inlineStr">
        <is>
          <t>331</t>
        </is>
      </c>
      <c r="C159" s="83" t="inlineStr">
        <is>
          <t>Primary metals</t>
        </is>
      </c>
      <c r="D159" s="83" t="inlineStr">
        <is>
          <t>Steel product manufacturing from purchased steel</t>
        </is>
      </c>
      <c r="E159" s="84" t="inlineStr">
        <is>
          <t>331200</t>
        </is>
      </c>
      <c r="F159" s="83" t="n">
        <v>5470</v>
      </c>
      <c r="G159" s="83" t="n">
        <v>459</v>
      </c>
      <c r="H159" s="83" t="n">
        <v>7593</v>
      </c>
      <c r="I159" s="92" t="n">
        <v>4560</v>
      </c>
      <c r="J159" s="83" t="n">
        <v>240</v>
      </c>
      <c r="K159" s="83" t="n">
        <v>14</v>
      </c>
      <c r="L159" s="93" t="n">
        <v>1976</v>
      </c>
    </row>
    <row r="160" ht="13.8" customHeight="1" s="82">
      <c r="A160" s="83" t="inlineStr">
        <is>
          <t>331313</t>
        </is>
      </c>
      <c r="B160" s="83" t="inlineStr">
        <is>
          <t>331</t>
        </is>
      </c>
      <c r="C160" s="83" t="inlineStr">
        <is>
          <t>Primary metals</t>
        </is>
      </c>
      <c r="D160" s="83" t="inlineStr">
        <is>
          <t>Alumina refining and primary aluminum production</t>
        </is>
      </c>
      <c r="E160" s="84" t="inlineStr">
        <is>
          <t>331313</t>
        </is>
      </c>
      <c r="F160" s="83" t="n">
        <v>876</v>
      </c>
      <c r="G160" s="83" t="n">
        <v>73</v>
      </c>
      <c r="H160" s="83" t="n">
        <v>1216</v>
      </c>
      <c r="I160" s="92" t="n">
        <v>489</v>
      </c>
      <c r="J160" s="83" t="n">
        <v>31</v>
      </c>
      <c r="K160" s="83" t="n">
        <v>0</v>
      </c>
      <c r="L160" s="93" t="n">
        <v>156</v>
      </c>
    </row>
    <row r="161" ht="13.8" customHeight="1" s="82">
      <c r="A161" s="83" t="inlineStr">
        <is>
          <t>331314</t>
        </is>
      </c>
      <c r="B161" s="83" t="inlineStr">
        <is>
          <t>331</t>
        </is>
      </c>
      <c r="C161" s="83" t="inlineStr">
        <is>
          <t>Primary metals</t>
        </is>
      </c>
      <c r="D161" s="83" t="inlineStr">
        <is>
          <t>Secondary smelting and alloying of aluminum</t>
        </is>
      </c>
      <c r="E161" s="84" t="inlineStr">
        <is>
          <t>331314</t>
        </is>
      </c>
      <c r="F161" s="83" t="n">
        <v>519</v>
      </c>
      <c r="G161" s="83" t="n">
        <v>44</v>
      </c>
      <c r="H161" s="83" t="n">
        <v>721</v>
      </c>
      <c r="I161" s="92" t="n">
        <v>378</v>
      </c>
      <c r="J161" s="83" t="n">
        <v>61</v>
      </c>
      <c r="K161" s="83" t="n">
        <v>6</v>
      </c>
      <c r="L161" s="93" t="n">
        <v>351</v>
      </c>
    </row>
    <row r="162" ht="13.8" customHeight="1" s="82">
      <c r="A162" s="83" t="inlineStr">
        <is>
          <t>33131B</t>
        </is>
      </c>
      <c r="B162" s="83" t="inlineStr">
        <is>
          <t>331</t>
        </is>
      </c>
      <c r="C162" s="83" t="inlineStr">
        <is>
          <t>Primary metals</t>
        </is>
      </c>
      <c r="D162" s="83" t="inlineStr">
        <is>
          <t>Aluminum product manufacturing from purchased aluminum</t>
        </is>
      </c>
      <c r="E162" s="84" t="inlineStr">
        <is>
          <t>33131B</t>
        </is>
      </c>
      <c r="F162" s="83" t="n">
        <v>4338</v>
      </c>
      <c r="G162" s="83" t="n">
        <v>364</v>
      </c>
      <c r="H162" s="83" t="n">
        <v>6021</v>
      </c>
      <c r="I162" s="92" t="n">
        <v>3665</v>
      </c>
      <c r="J162" s="83" t="n">
        <v>280</v>
      </c>
      <c r="K162" s="83" t="n">
        <v>32</v>
      </c>
      <c r="L162" s="93" t="n">
        <v>2568</v>
      </c>
    </row>
    <row r="163" ht="13.8" customHeight="1" s="82">
      <c r="A163" s="83" t="inlineStr">
        <is>
          <t>331410</t>
        </is>
      </c>
      <c r="B163" s="83" t="inlineStr">
        <is>
          <t>331</t>
        </is>
      </c>
      <c r="C163" s="83" t="inlineStr">
        <is>
          <t>Primary metals</t>
        </is>
      </c>
      <c r="D163" s="83" t="inlineStr">
        <is>
          <t>Nonferrous metal (except aluminum) smelting and refining</t>
        </is>
      </c>
      <c r="E163" s="84" t="inlineStr">
        <is>
          <t>331410</t>
        </is>
      </c>
      <c r="F163" s="83" t="n">
        <v>834</v>
      </c>
      <c r="G163" s="83" t="n">
        <v>70</v>
      </c>
      <c r="H163" s="83" t="n">
        <v>1158</v>
      </c>
      <c r="I163" s="92" t="n">
        <v>798</v>
      </c>
      <c r="J163" s="83" t="n">
        <v>109</v>
      </c>
      <c r="K163" s="83" t="n">
        <v>3</v>
      </c>
      <c r="L163" s="93" t="n">
        <v>2157</v>
      </c>
    </row>
    <row r="164" ht="13.8" customHeight="1" s="82">
      <c r="A164" s="83" t="inlineStr">
        <is>
          <t>331420</t>
        </is>
      </c>
      <c r="B164" s="83" t="inlineStr">
        <is>
          <t>331</t>
        </is>
      </c>
      <c r="C164" s="83" t="inlineStr">
        <is>
          <t>Primary metals</t>
        </is>
      </c>
      <c r="D164" s="83" t="inlineStr">
        <is>
          <t>Copper rolling, drawing, extruding and alloying</t>
        </is>
      </c>
      <c r="E164" s="84" t="inlineStr">
        <is>
          <t>331420</t>
        </is>
      </c>
      <c r="F164" s="83" t="n">
        <v>2627</v>
      </c>
      <c r="G164" s="83" t="n">
        <v>220</v>
      </c>
      <c r="H164" s="83" t="n">
        <v>3647</v>
      </c>
      <c r="I164" s="92" t="n">
        <v>2489</v>
      </c>
      <c r="J164" s="83" t="n">
        <v>220</v>
      </c>
      <c r="K164" s="83" t="n">
        <v>19</v>
      </c>
      <c r="L164" s="93" t="n">
        <v>1214</v>
      </c>
    </row>
    <row r="165" ht="13.8" customHeight="1" s="82">
      <c r="A165" s="83" t="inlineStr">
        <is>
          <t>331490</t>
        </is>
      </c>
      <c r="B165" s="83" t="inlineStr">
        <is>
          <t>331</t>
        </is>
      </c>
      <c r="C165" s="83" t="inlineStr">
        <is>
          <t>Primary metals</t>
        </is>
      </c>
      <c r="D165" s="83" t="inlineStr">
        <is>
          <t>Nonferrous metal (except copper and aluminum) rolling, drawing, extruding and alloying</t>
        </is>
      </c>
      <c r="E165" s="84" t="inlineStr">
        <is>
          <t>331490</t>
        </is>
      </c>
      <c r="F165" s="83" t="n">
        <v>2330</v>
      </c>
      <c r="G165" s="83" t="n">
        <v>195</v>
      </c>
      <c r="H165" s="83" t="n">
        <v>3235</v>
      </c>
      <c r="I165" s="92" t="n">
        <v>2057</v>
      </c>
      <c r="J165" s="83" t="n">
        <v>153</v>
      </c>
      <c r="K165" s="83" t="n">
        <v>7</v>
      </c>
      <c r="L165" s="93" t="n">
        <v>2306</v>
      </c>
    </row>
    <row r="166" ht="13.8" customHeight="1" s="82">
      <c r="A166" s="83" t="inlineStr">
        <is>
          <t>331510</t>
        </is>
      </c>
      <c r="B166" s="83" t="inlineStr">
        <is>
          <t>331</t>
        </is>
      </c>
      <c r="C166" s="83" t="inlineStr">
        <is>
          <t>Primary metals</t>
        </is>
      </c>
      <c r="D166" s="83" t="inlineStr">
        <is>
          <t>Ferrous metal foundries</t>
        </is>
      </c>
      <c r="E166" s="84" t="inlineStr">
        <is>
          <t>331510</t>
        </is>
      </c>
      <c r="F166" s="83" t="n">
        <v>4923</v>
      </c>
      <c r="G166" s="83" t="n">
        <v>413</v>
      </c>
      <c r="H166" s="83" t="n">
        <v>6834</v>
      </c>
      <c r="I166" s="92" t="n">
        <v>4608</v>
      </c>
      <c r="J166" s="83" t="n">
        <v>198</v>
      </c>
      <c r="K166" s="83" t="n">
        <v>27</v>
      </c>
      <c r="L166" s="93" t="n">
        <v>2223</v>
      </c>
    </row>
    <row r="167" ht="13.8" customHeight="1" s="82">
      <c r="A167" s="83" t="inlineStr">
        <is>
          <t>331520</t>
        </is>
      </c>
      <c r="B167" s="83" t="inlineStr">
        <is>
          <t>331</t>
        </is>
      </c>
      <c r="C167" s="83" t="inlineStr">
        <is>
          <t>Primary metals</t>
        </is>
      </c>
      <c r="D167" s="83" t="inlineStr">
        <is>
          <t>Nonferrous metal foundries</t>
        </is>
      </c>
      <c r="E167" s="84" t="inlineStr">
        <is>
          <t>331520</t>
        </is>
      </c>
      <c r="F167" s="83" t="n">
        <v>3958</v>
      </c>
      <c r="G167" s="83" t="n">
        <v>332</v>
      </c>
      <c r="H167" s="83" t="n">
        <v>5494</v>
      </c>
      <c r="I167" s="92" t="n">
        <v>3607</v>
      </c>
      <c r="J167" s="83" t="n">
        <v>139</v>
      </c>
      <c r="K167" s="83" t="n">
        <v>15</v>
      </c>
      <c r="L167" s="93" t="n">
        <v>1441</v>
      </c>
    </row>
    <row r="168" ht="13.8" customHeight="1" s="82">
      <c r="A168" s="83" t="inlineStr">
        <is>
          <t>332114</t>
        </is>
      </c>
      <c r="B168" s="83" t="inlineStr">
        <is>
          <t>332</t>
        </is>
      </c>
      <c r="C168" s="83" t="inlineStr">
        <is>
          <t>Fabricated metal products</t>
        </is>
      </c>
      <c r="D168" s="83" t="inlineStr">
        <is>
          <t>Custom roll forming</t>
        </is>
      </c>
      <c r="E168" s="84" t="inlineStr">
        <is>
          <t>332114</t>
        </is>
      </c>
      <c r="F168" s="83" t="n">
        <v>561</v>
      </c>
      <c r="G168" s="83" t="n">
        <v>21</v>
      </c>
      <c r="H168" s="83" t="n">
        <v>216</v>
      </c>
      <c r="I168" s="92" t="n">
        <v>675</v>
      </c>
      <c r="J168" s="83" t="n">
        <v>58</v>
      </c>
      <c r="K168" s="83" t="n">
        <v>1</v>
      </c>
      <c r="L168" s="93" t="n">
        <v>1144</v>
      </c>
    </row>
    <row r="169" ht="13.8" customHeight="1" s="82">
      <c r="A169" s="83" t="inlineStr">
        <is>
          <t>332119</t>
        </is>
      </c>
      <c r="B169" s="83" t="inlineStr">
        <is>
          <t>332</t>
        </is>
      </c>
      <c r="C169" s="83" t="inlineStr">
        <is>
          <t>Fabricated metal products</t>
        </is>
      </c>
      <c r="D169" s="83" t="inlineStr">
        <is>
          <t>Metal crown, closure, and other metal stamping (except automotive)</t>
        </is>
      </c>
      <c r="E169" s="84" t="inlineStr">
        <is>
          <t>332119</t>
        </is>
      </c>
      <c r="F169" s="83" t="n">
        <v>3926</v>
      </c>
      <c r="G169" s="83" t="n">
        <v>144</v>
      </c>
      <c r="H169" s="83" t="n">
        <v>1510</v>
      </c>
      <c r="I169" s="92" t="n">
        <v>3491</v>
      </c>
      <c r="J169" s="83" t="n">
        <v>89</v>
      </c>
      <c r="K169" s="83" t="n">
        <v>0</v>
      </c>
      <c r="L169" s="93" t="n">
        <v>1025</v>
      </c>
    </row>
    <row r="170" ht="13.8" customHeight="1" s="82">
      <c r="A170" s="83" t="inlineStr">
        <is>
          <t>33211A</t>
        </is>
      </c>
      <c r="B170" s="83" t="inlineStr">
        <is>
          <t>332</t>
        </is>
      </c>
      <c r="C170" s="83" t="inlineStr">
        <is>
          <t>Fabricated metal products</t>
        </is>
      </c>
      <c r="D170" s="83" t="inlineStr">
        <is>
          <t>All other forging, stamping, and sintering</t>
        </is>
      </c>
      <c r="E170" s="84" t="inlineStr">
        <is>
          <t>33211A</t>
        </is>
      </c>
      <c r="F170" s="83" t="n">
        <v>2996</v>
      </c>
      <c r="G170" s="83" t="n">
        <v>110</v>
      </c>
      <c r="H170" s="83" t="n">
        <v>1153</v>
      </c>
      <c r="I170" s="92" t="n">
        <v>3145</v>
      </c>
      <c r="J170" s="83" t="n">
        <v>103</v>
      </c>
      <c r="K170" s="83" t="n">
        <v>2</v>
      </c>
      <c r="L170" s="93" t="n">
        <v>1278</v>
      </c>
    </row>
    <row r="171" ht="13.8" customHeight="1" s="82">
      <c r="A171" s="83" t="inlineStr">
        <is>
          <t>332200</t>
        </is>
      </c>
      <c r="B171" s="83" t="inlineStr">
        <is>
          <t>332</t>
        </is>
      </c>
      <c r="C171" s="83" t="inlineStr">
        <is>
          <t>Fabricated metal products</t>
        </is>
      </c>
      <c r="D171" s="83" t="inlineStr">
        <is>
          <t>Cutlery and handtool manufacturing</t>
        </is>
      </c>
      <c r="E171" s="84" t="inlineStr">
        <is>
          <t>332200</t>
        </is>
      </c>
      <c r="F171" s="83" t="n">
        <v>3132</v>
      </c>
      <c r="G171" s="83" t="n">
        <v>115</v>
      </c>
      <c r="H171" s="83" t="n">
        <v>1205</v>
      </c>
      <c r="I171" s="92" t="n">
        <v>2858</v>
      </c>
      <c r="J171" s="83" t="n">
        <v>83</v>
      </c>
      <c r="K171" s="83" t="n">
        <v>18</v>
      </c>
      <c r="L171" s="93" t="n">
        <v>1457</v>
      </c>
    </row>
    <row r="172" ht="13.8" customHeight="1" s="82">
      <c r="A172" s="83" t="inlineStr">
        <is>
          <t>332310</t>
        </is>
      </c>
      <c r="B172" s="83" t="inlineStr">
        <is>
          <t>332</t>
        </is>
      </c>
      <c r="C172" s="83" t="inlineStr">
        <is>
          <t>Fabricated metal products</t>
        </is>
      </c>
      <c r="D172" s="83" t="inlineStr">
        <is>
          <t>Plate work and fabricated structural product manufacturing</t>
        </is>
      </c>
      <c r="E172" s="84" t="inlineStr">
        <is>
          <t>332310</t>
        </is>
      </c>
      <c r="F172" s="83" t="n">
        <v>14652</v>
      </c>
      <c r="G172" s="83" t="n">
        <v>536</v>
      </c>
      <c r="H172" s="83" t="n">
        <v>5637</v>
      </c>
      <c r="I172" s="92" t="n">
        <v>11440</v>
      </c>
      <c r="J172" s="83" t="n">
        <v>411</v>
      </c>
      <c r="K172" s="83" t="n">
        <v>55</v>
      </c>
      <c r="L172" s="93" t="n">
        <v>4156</v>
      </c>
    </row>
    <row r="173" ht="13.8" customHeight="1" s="82">
      <c r="A173" s="83" t="inlineStr">
        <is>
          <t>332320</t>
        </is>
      </c>
      <c r="B173" s="83" t="inlineStr">
        <is>
          <t>332</t>
        </is>
      </c>
      <c r="C173" s="83" t="inlineStr">
        <is>
          <t>Fabricated metal products</t>
        </is>
      </c>
      <c r="D173" s="83" t="inlineStr">
        <is>
          <t>Ornamental and architectural metal products manufacturing</t>
        </is>
      </c>
      <c r="E173" s="84" t="inlineStr">
        <is>
          <t>332320</t>
        </is>
      </c>
      <c r="F173" s="83" t="n">
        <v>17137</v>
      </c>
      <c r="G173" s="83" t="n">
        <v>627</v>
      </c>
      <c r="H173" s="83" t="n">
        <v>6593</v>
      </c>
      <c r="I173" s="92" t="n">
        <v>13208</v>
      </c>
      <c r="J173" s="83" t="n">
        <v>360</v>
      </c>
      <c r="K173" s="83" t="n">
        <v>38</v>
      </c>
      <c r="L173" s="93" t="n">
        <v>4299</v>
      </c>
    </row>
    <row r="174" ht="13.8" customHeight="1" s="82">
      <c r="A174" s="83" t="inlineStr">
        <is>
          <t>332410</t>
        </is>
      </c>
      <c r="B174" s="83" t="inlineStr">
        <is>
          <t>332</t>
        </is>
      </c>
      <c r="C174" s="83" t="inlineStr">
        <is>
          <t>Fabricated metal products</t>
        </is>
      </c>
      <c r="D174" s="83" t="inlineStr">
        <is>
          <t>Power boiler and heat exchanger manufacturing</t>
        </is>
      </c>
      <c r="E174" s="84" t="inlineStr">
        <is>
          <t>332410</t>
        </is>
      </c>
      <c r="F174" s="83" t="n">
        <v>1780</v>
      </c>
      <c r="G174" s="83" t="n">
        <v>65</v>
      </c>
      <c r="H174" s="83" t="n">
        <v>685</v>
      </c>
      <c r="I174" s="92" t="n">
        <v>1850</v>
      </c>
      <c r="J174" s="83" t="n">
        <v>59</v>
      </c>
      <c r="K174" s="83" t="n">
        <v>4</v>
      </c>
      <c r="L174" s="93" t="n">
        <v>1051</v>
      </c>
    </row>
    <row r="175" ht="13.8" customHeight="1" s="82">
      <c r="A175" s="83" t="inlineStr">
        <is>
          <t>332420</t>
        </is>
      </c>
      <c r="B175" s="83" t="inlineStr">
        <is>
          <t>332</t>
        </is>
      </c>
      <c r="C175" s="83" t="inlineStr">
        <is>
          <t>Fabricated metal products</t>
        </is>
      </c>
      <c r="D175" s="83" t="inlineStr">
        <is>
          <t>Metal tank (heavy gauge) manufacturing</t>
        </is>
      </c>
      <c r="E175" s="84" t="inlineStr">
        <is>
          <t>332420</t>
        </is>
      </c>
      <c r="F175" s="83" t="n">
        <v>3115</v>
      </c>
      <c r="G175" s="83" t="n">
        <v>114</v>
      </c>
      <c r="H175" s="83" t="n">
        <v>1198</v>
      </c>
      <c r="I175" s="92" t="n">
        <v>2549</v>
      </c>
      <c r="J175" s="83" t="n">
        <v>67</v>
      </c>
      <c r="K175" s="83" t="n">
        <v>1</v>
      </c>
      <c r="L175" s="93" t="n">
        <v>1018</v>
      </c>
    </row>
    <row r="176" ht="13.8" customHeight="1" s="82">
      <c r="A176" s="83" t="inlineStr">
        <is>
          <t>332430</t>
        </is>
      </c>
      <c r="B176" s="83" t="inlineStr">
        <is>
          <t>332</t>
        </is>
      </c>
      <c r="C176" s="83" t="inlineStr">
        <is>
          <t>Fabricated metal products</t>
        </is>
      </c>
      <c r="D176" s="83" t="inlineStr">
        <is>
          <t>Metal can, box, and other metal container (light gauge) manufacturing</t>
        </is>
      </c>
      <c r="E176" s="84" t="inlineStr">
        <is>
          <t>332430</t>
        </is>
      </c>
      <c r="F176" s="83" t="n">
        <v>3351</v>
      </c>
      <c r="G176" s="83" t="n">
        <v>123</v>
      </c>
      <c r="H176" s="83" t="n">
        <v>1289</v>
      </c>
      <c r="I176" s="92" t="n">
        <v>3908</v>
      </c>
      <c r="J176" s="83" t="n">
        <v>141</v>
      </c>
      <c r="K176" s="83" t="n">
        <v>3</v>
      </c>
      <c r="L176" s="93" t="n">
        <v>2118</v>
      </c>
    </row>
    <row r="177" ht="13.8" customHeight="1" s="82">
      <c r="A177" s="83" t="inlineStr">
        <is>
          <t>332500</t>
        </is>
      </c>
      <c r="B177" s="83" t="inlineStr">
        <is>
          <t>332</t>
        </is>
      </c>
      <c r="C177" s="83" t="inlineStr">
        <is>
          <t>Fabricated metal products</t>
        </is>
      </c>
      <c r="D177" s="83" t="inlineStr">
        <is>
          <t>Hardware manufacturing</t>
        </is>
      </c>
      <c r="E177" s="84" t="inlineStr">
        <is>
          <t>332500</t>
        </is>
      </c>
      <c r="F177" s="83" t="n">
        <v>2097</v>
      </c>
      <c r="G177" s="83" t="n">
        <v>77</v>
      </c>
      <c r="H177" s="83" t="n">
        <v>807</v>
      </c>
      <c r="I177" s="92" t="n">
        <v>1987</v>
      </c>
      <c r="J177" s="83" t="n">
        <v>76</v>
      </c>
      <c r="K177" s="83" t="n">
        <v>2</v>
      </c>
      <c r="L177" s="93" t="n">
        <v>922</v>
      </c>
    </row>
    <row r="178" ht="13.8" customHeight="1" s="82">
      <c r="A178" s="83" t="inlineStr">
        <is>
          <t>332600</t>
        </is>
      </c>
      <c r="B178" s="83" t="inlineStr">
        <is>
          <t>332</t>
        </is>
      </c>
      <c r="C178" s="83" t="inlineStr">
        <is>
          <t>Fabricated metal products</t>
        </is>
      </c>
      <c r="D178" s="83" t="inlineStr">
        <is>
          <t>Spring and wire product manufacturing</t>
        </is>
      </c>
      <c r="E178" s="84" t="inlineStr">
        <is>
          <t>332600</t>
        </is>
      </c>
      <c r="F178" s="83" t="n">
        <v>3099</v>
      </c>
      <c r="G178" s="83" t="n">
        <v>113</v>
      </c>
      <c r="H178" s="83" t="n">
        <v>1192</v>
      </c>
      <c r="I178" s="92" t="n">
        <v>2849</v>
      </c>
      <c r="J178" s="83" t="n">
        <v>76</v>
      </c>
      <c r="K178" s="83" t="n">
        <v>3</v>
      </c>
      <c r="L178" s="93" t="n">
        <v>875</v>
      </c>
    </row>
    <row r="179" ht="13.8" customHeight="1" s="82">
      <c r="A179" s="83" t="inlineStr">
        <is>
          <t>332710</t>
        </is>
      </c>
      <c r="B179" s="83" t="inlineStr">
        <is>
          <t>332</t>
        </is>
      </c>
      <c r="C179" s="83" t="inlineStr">
        <is>
          <t>Fabricated metal products</t>
        </is>
      </c>
      <c r="D179" s="83" t="inlineStr">
        <is>
          <t>Machine shops</t>
        </is>
      </c>
      <c r="E179" s="84" t="inlineStr">
        <is>
          <t>332710</t>
        </is>
      </c>
      <c r="F179" s="83" t="n">
        <v>20211</v>
      </c>
      <c r="G179" s="83" t="n">
        <v>740</v>
      </c>
      <c r="H179" s="83" t="n">
        <v>7776</v>
      </c>
      <c r="I179" s="92" t="n">
        <v>16680</v>
      </c>
      <c r="J179" s="83" t="n">
        <v>313</v>
      </c>
      <c r="K179" s="83" t="n">
        <v>2</v>
      </c>
      <c r="L179" s="93" t="n">
        <v>2440</v>
      </c>
    </row>
    <row r="180" ht="13.8" customHeight="1" s="82">
      <c r="A180" s="83" t="inlineStr">
        <is>
          <t>332720</t>
        </is>
      </c>
      <c r="B180" s="83" t="inlineStr">
        <is>
          <t>332</t>
        </is>
      </c>
      <c r="C180" s="83" t="inlineStr">
        <is>
          <t>Fabricated metal products</t>
        </is>
      </c>
      <c r="D180" s="83" t="inlineStr">
        <is>
          <t>Turned product and screw, nut, and bolt manufacturing</t>
        </is>
      </c>
      <c r="E180" s="84" t="inlineStr">
        <is>
          <t>332720</t>
        </is>
      </c>
      <c r="F180" s="83" t="n">
        <v>6093</v>
      </c>
      <c r="G180" s="83" t="n">
        <v>223</v>
      </c>
      <c r="H180" s="83" t="n">
        <v>2344</v>
      </c>
      <c r="I180" s="92" t="n">
        <v>5736</v>
      </c>
      <c r="J180" s="83" t="n">
        <v>260</v>
      </c>
      <c r="K180" s="83" t="n">
        <v>16</v>
      </c>
      <c r="L180" s="93" t="n">
        <v>5946</v>
      </c>
    </row>
    <row r="181" ht="13.8" customHeight="1" s="82">
      <c r="A181" s="83" t="inlineStr">
        <is>
          <t>332800</t>
        </is>
      </c>
      <c r="B181" s="83" t="inlineStr">
        <is>
          <t>332</t>
        </is>
      </c>
      <c r="C181" s="83" t="inlineStr">
        <is>
          <t>Fabricated metal products</t>
        </is>
      </c>
      <c r="D181" s="83" t="inlineStr">
        <is>
          <t>Coating, engraving, heat treating and allied activities</t>
        </is>
      </c>
      <c r="E181" s="84" t="inlineStr">
        <is>
          <t>332800</t>
        </is>
      </c>
      <c r="F181" s="83" t="n">
        <v>9266</v>
      </c>
      <c r="G181" s="83" t="n">
        <v>339</v>
      </c>
      <c r="H181" s="83" t="n">
        <v>3565</v>
      </c>
      <c r="I181" s="92" t="n">
        <v>8249</v>
      </c>
      <c r="J181" s="83" t="n">
        <v>216</v>
      </c>
      <c r="K181" s="83" t="n">
        <v>4</v>
      </c>
      <c r="L181" s="93" t="n">
        <v>4006</v>
      </c>
    </row>
    <row r="182" ht="13.8" customHeight="1" s="82">
      <c r="A182" s="83" t="inlineStr">
        <is>
          <t>332913</t>
        </is>
      </c>
      <c r="B182" s="83" t="inlineStr">
        <is>
          <t>332</t>
        </is>
      </c>
      <c r="C182" s="83" t="inlineStr">
        <is>
          <t>Fabricated metal products</t>
        </is>
      </c>
      <c r="D182" s="83" t="inlineStr">
        <is>
          <t>Plumbing fixture fitting and trim manufacturing</t>
        </is>
      </c>
      <c r="E182" s="84" t="inlineStr">
        <is>
          <t>332913</t>
        </is>
      </c>
      <c r="F182" s="83" t="n">
        <v>932</v>
      </c>
      <c r="G182" s="83" t="n">
        <v>34</v>
      </c>
      <c r="H182" s="83" t="n">
        <v>358</v>
      </c>
      <c r="I182" s="92" t="n">
        <v>836</v>
      </c>
      <c r="J182" s="83" t="n">
        <v>46</v>
      </c>
      <c r="K182" s="83" t="n">
        <v>7</v>
      </c>
      <c r="L182" s="93" t="n">
        <v>857</v>
      </c>
    </row>
    <row r="183" ht="13.8" customHeight="1" s="82">
      <c r="A183" s="83" t="inlineStr">
        <is>
          <t>33291A</t>
        </is>
      </c>
      <c r="B183" s="83" t="inlineStr">
        <is>
          <t>332</t>
        </is>
      </c>
      <c r="C183" s="83" t="inlineStr">
        <is>
          <t>Fabricated metal products</t>
        </is>
      </c>
      <c r="D183" s="83" t="inlineStr">
        <is>
          <t>Valve and fittings other than plumbing</t>
        </is>
      </c>
      <c r="E183" s="84" t="inlineStr">
        <is>
          <t>33291A</t>
        </is>
      </c>
      <c r="F183" s="83" t="n">
        <v>7329</v>
      </c>
      <c r="G183" s="83" t="n">
        <v>268</v>
      </c>
      <c r="H183" s="83" t="n">
        <v>2820</v>
      </c>
      <c r="I183" s="92" t="n">
        <v>7179</v>
      </c>
      <c r="J183" s="83" t="n">
        <v>216</v>
      </c>
      <c r="K183" s="83" t="n">
        <v>18</v>
      </c>
      <c r="L183" s="93" t="n">
        <v>4356</v>
      </c>
    </row>
    <row r="184" ht="13.8" customHeight="1" s="82">
      <c r="A184" s="83" t="inlineStr">
        <is>
          <t>332991</t>
        </is>
      </c>
      <c r="B184" s="83" t="inlineStr">
        <is>
          <t>332</t>
        </is>
      </c>
      <c r="C184" s="83" t="inlineStr">
        <is>
          <t>Fabricated metal products</t>
        </is>
      </c>
      <c r="D184" s="83" t="inlineStr">
        <is>
          <t>Ball and roller bearing manufacturing</t>
        </is>
      </c>
      <c r="E184" s="84" t="inlineStr">
        <is>
          <t>332991</t>
        </is>
      </c>
      <c r="F184" s="83" t="n">
        <v>1654</v>
      </c>
      <c r="G184" s="83" t="n">
        <v>61</v>
      </c>
      <c r="H184" s="83" t="n">
        <v>636</v>
      </c>
      <c r="I184" s="92" t="n">
        <v>2122</v>
      </c>
      <c r="J184" s="83" t="n">
        <v>50</v>
      </c>
      <c r="K184" s="83" t="n">
        <v>1</v>
      </c>
      <c r="L184" s="93" t="n">
        <v>889</v>
      </c>
    </row>
    <row r="185" ht="13.8" customHeight="1" s="82">
      <c r="A185" s="83" t="inlineStr">
        <is>
          <t>332996</t>
        </is>
      </c>
      <c r="B185" s="83" t="inlineStr">
        <is>
          <t>332</t>
        </is>
      </c>
      <c r="C185" s="83" t="inlineStr">
        <is>
          <t>Fabricated metal products</t>
        </is>
      </c>
      <c r="D185" s="83" t="inlineStr">
        <is>
          <t>Fabricated pipe and pipe fitting manufacturing</t>
        </is>
      </c>
      <c r="E185" s="84" t="inlineStr">
        <is>
          <t>332996</t>
        </is>
      </c>
      <c r="F185" s="83" t="n">
        <v>2579</v>
      </c>
      <c r="G185" s="83" t="n">
        <v>94</v>
      </c>
      <c r="H185" s="83" t="n">
        <v>992</v>
      </c>
      <c r="I185" s="92" t="n">
        <v>2316</v>
      </c>
      <c r="J185" s="83" t="n">
        <v>47</v>
      </c>
      <c r="K185" s="83" t="n">
        <v>4</v>
      </c>
      <c r="L185" s="93" t="n">
        <v>674</v>
      </c>
    </row>
    <row r="186" ht="13.8" customHeight="1" s="82">
      <c r="A186" s="83" t="inlineStr">
        <is>
          <t>332999</t>
        </is>
      </c>
      <c r="B186" s="83" t="inlineStr">
        <is>
          <t>332</t>
        </is>
      </c>
      <c r="C186" s="83" t="inlineStr">
        <is>
          <t>Fabricated metal products</t>
        </is>
      </c>
      <c r="D186" s="83" t="inlineStr">
        <is>
          <t>Other fabricated metal manufacturing</t>
        </is>
      </c>
      <c r="E186" s="84" t="inlineStr">
        <is>
          <t>332999</t>
        </is>
      </c>
      <c r="F186" s="83" t="n">
        <v>6540</v>
      </c>
      <c r="G186" s="83" t="n">
        <v>239</v>
      </c>
      <c r="H186" s="83" t="n">
        <v>2516</v>
      </c>
      <c r="I186" s="92" t="n">
        <v>4378</v>
      </c>
      <c r="J186" s="83" t="n">
        <v>113</v>
      </c>
      <c r="K186" s="83" t="n">
        <v>9</v>
      </c>
      <c r="L186" s="93" t="n">
        <v>1129</v>
      </c>
    </row>
    <row r="187" ht="13.8" customHeight="1" s="82">
      <c r="A187" s="83" t="inlineStr">
        <is>
          <t>33299A</t>
        </is>
      </c>
      <c r="B187" s="83" t="inlineStr">
        <is>
          <t>332</t>
        </is>
      </c>
      <c r="C187" s="83" t="inlineStr">
        <is>
          <t>Fabricated metal products</t>
        </is>
      </c>
      <c r="D187" s="83" t="inlineStr">
        <is>
          <t>Ammunition, arms, ordnance, and accessories manufacturing</t>
        </is>
      </c>
      <c r="E187" s="84" t="inlineStr">
        <is>
          <t>33299A</t>
        </is>
      </c>
      <c r="F187" s="83" t="n">
        <v>5564</v>
      </c>
      <c r="G187" s="83" t="n">
        <v>204</v>
      </c>
      <c r="H187" s="83" t="n">
        <v>2141</v>
      </c>
      <c r="I187" s="92" t="n">
        <v>3885</v>
      </c>
      <c r="J187" s="83" t="n">
        <v>95</v>
      </c>
      <c r="K187" s="83" t="n">
        <v>440</v>
      </c>
      <c r="L187" s="93" t="n">
        <v>2281</v>
      </c>
    </row>
    <row r="188" ht="13.8" customHeight="1" s="82">
      <c r="A188" s="83" t="inlineStr">
        <is>
          <t>333111</t>
        </is>
      </c>
      <c r="B188" s="83" t="inlineStr">
        <is>
          <t>333</t>
        </is>
      </c>
      <c r="C188" s="83" t="inlineStr">
        <is>
          <t>Machinery</t>
        </is>
      </c>
      <c r="D188" s="83" t="inlineStr">
        <is>
          <t>Farm machinery and equipment manufacturing</t>
        </is>
      </c>
      <c r="E188" s="84" t="inlineStr">
        <is>
          <t>333111</t>
        </is>
      </c>
      <c r="F188" s="83" t="n">
        <v>6038</v>
      </c>
      <c r="G188" s="83" t="n">
        <v>250</v>
      </c>
      <c r="H188" s="83" t="n">
        <v>3705</v>
      </c>
      <c r="I188" s="92" t="n">
        <v>5737</v>
      </c>
      <c r="J188" s="83" t="n">
        <v>227</v>
      </c>
      <c r="K188" s="83" t="n">
        <v>4</v>
      </c>
      <c r="L188" s="93" t="n">
        <v>3770</v>
      </c>
    </row>
    <row r="189" ht="13.8" customHeight="1" s="82">
      <c r="A189" s="83" t="inlineStr">
        <is>
          <t>333112</t>
        </is>
      </c>
      <c r="B189" s="83" t="inlineStr">
        <is>
          <t>333</t>
        </is>
      </c>
      <c r="C189" s="83" t="inlineStr">
        <is>
          <t>Machinery</t>
        </is>
      </c>
      <c r="D189" s="83" t="inlineStr">
        <is>
          <t>Lawn and garden equipment manufacturing</t>
        </is>
      </c>
      <c r="E189" s="84" t="inlineStr">
        <is>
          <t>333112</t>
        </is>
      </c>
      <c r="F189" s="83" t="n">
        <v>1320</v>
      </c>
      <c r="G189" s="83" t="n">
        <v>55</v>
      </c>
      <c r="H189" s="83" t="n">
        <v>810</v>
      </c>
      <c r="I189" s="92" t="n">
        <v>2002</v>
      </c>
      <c r="J189" s="83" t="n">
        <v>69</v>
      </c>
      <c r="K189" s="83" t="n">
        <v>0</v>
      </c>
      <c r="L189" s="93" t="n">
        <v>697</v>
      </c>
    </row>
    <row r="190" ht="13.8" customHeight="1" s="82">
      <c r="A190" s="83" t="inlineStr">
        <is>
          <t>333120</t>
        </is>
      </c>
      <c r="B190" s="83" t="inlineStr">
        <is>
          <t>333</t>
        </is>
      </c>
      <c r="C190" s="83" t="inlineStr">
        <is>
          <t>Machinery</t>
        </is>
      </c>
      <c r="D190" s="83" t="inlineStr">
        <is>
          <t>Construction machinery manufacturing</t>
        </is>
      </c>
      <c r="E190" s="84" t="inlineStr">
        <is>
          <t>333120</t>
        </is>
      </c>
      <c r="F190" s="83" t="n">
        <v>7353</v>
      </c>
      <c r="G190" s="83" t="n">
        <v>305</v>
      </c>
      <c r="H190" s="83" t="n">
        <v>4512</v>
      </c>
      <c r="I190" s="92" t="n">
        <v>6412</v>
      </c>
      <c r="J190" s="83" t="n">
        <v>302</v>
      </c>
      <c r="K190" s="83" t="n">
        <v>16</v>
      </c>
      <c r="L190" s="93" t="n">
        <v>5691</v>
      </c>
    </row>
    <row r="191" ht="13.8" customHeight="1" s="82">
      <c r="A191" s="83" t="inlineStr">
        <is>
          <t>333130</t>
        </is>
      </c>
      <c r="B191" s="83" t="inlineStr">
        <is>
          <t>333</t>
        </is>
      </c>
      <c r="C191" s="83" t="inlineStr">
        <is>
          <t>Machinery</t>
        </is>
      </c>
      <c r="D191" s="83" t="inlineStr">
        <is>
          <t>Mining and oil and gas field machinery manufacturing</t>
        </is>
      </c>
      <c r="E191" s="84" t="inlineStr">
        <is>
          <t>333130</t>
        </is>
      </c>
      <c r="F191" s="83" t="n">
        <v>6783</v>
      </c>
      <c r="G191" s="83" t="n">
        <v>281</v>
      </c>
      <c r="H191" s="83" t="n">
        <v>4162</v>
      </c>
      <c r="I191" s="92" t="n">
        <v>5349</v>
      </c>
      <c r="J191" s="83" t="n">
        <v>164</v>
      </c>
      <c r="K191" s="83" t="n">
        <v>4</v>
      </c>
      <c r="L191" s="93" t="n">
        <v>645</v>
      </c>
    </row>
    <row r="192" ht="13.8" customHeight="1" s="82">
      <c r="A192" s="83" t="inlineStr">
        <is>
          <t>333242</t>
        </is>
      </c>
      <c r="B192" s="83" t="inlineStr">
        <is>
          <t>333</t>
        </is>
      </c>
      <c r="C192" s="83" t="inlineStr">
        <is>
          <t>Machinery</t>
        </is>
      </c>
      <c r="D192" s="83" t="inlineStr">
        <is>
          <t>Semiconductor machinery manufacturing</t>
        </is>
      </c>
      <c r="E192" s="84" t="inlineStr">
        <is>
          <t>333242</t>
        </is>
      </c>
      <c r="F192" s="83" t="n">
        <v>6561</v>
      </c>
      <c r="G192" s="83" t="n">
        <v>272</v>
      </c>
      <c r="H192" s="83" t="n">
        <v>4026</v>
      </c>
      <c r="I192" s="92" t="n">
        <v>4183</v>
      </c>
      <c r="J192" s="83" t="n">
        <v>71</v>
      </c>
      <c r="K192" s="83" t="n">
        <v>11</v>
      </c>
      <c r="L192" s="93" t="n">
        <v>959</v>
      </c>
    </row>
    <row r="193" ht="13.8" customHeight="1" s="82">
      <c r="A193" s="83" t="inlineStr">
        <is>
          <t>33329A</t>
        </is>
      </c>
      <c r="B193" s="83" t="inlineStr">
        <is>
          <t>333</t>
        </is>
      </c>
      <c r="C193" s="83" t="inlineStr">
        <is>
          <t>Machinery</t>
        </is>
      </c>
      <c r="D193" s="83" t="inlineStr">
        <is>
          <t>Other industrial machinery manufacturing</t>
        </is>
      </c>
      <c r="E193" s="84" t="inlineStr">
        <is>
          <t>33329A</t>
        </is>
      </c>
      <c r="F193" s="83" t="n">
        <v>9732</v>
      </c>
      <c r="G193" s="83" t="n">
        <v>403</v>
      </c>
      <c r="H193" s="83" t="n">
        <v>5972</v>
      </c>
      <c r="I193" s="92" t="n">
        <v>7868</v>
      </c>
      <c r="J193" s="83" t="n">
        <v>240</v>
      </c>
      <c r="K193" s="83" t="n">
        <v>13</v>
      </c>
      <c r="L193" s="93" t="n">
        <v>3747</v>
      </c>
    </row>
    <row r="194" ht="13.8" customHeight="1" s="82">
      <c r="A194" s="83" t="inlineStr">
        <is>
          <t>333314</t>
        </is>
      </c>
      <c r="B194" s="83" t="inlineStr">
        <is>
          <t>333</t>
        </is>
      </c>
      <c r="C194" s="83" t="inlineStr">
        <is>
          <t>Machinery</t>
        </is>
      </c>
      <c r="D194" s="83" t="inlineStr">
        <is>
          <t>Optical instrument and lens manufacturing</t>
        </is>
      </c>
      <c r="E194" s="84" t="inlineStr">
        <is>
          <t>333314</t>
        </is>
      </c>
      <c r="F194" s="83" t="n">
        <v>0</v>
      </c>
      <c r="G194" s="83" t="n">
        <v>0</v>
      </c>
      <c r="H194" s="83" t="n">
        <v>0</v>
      </c>
      <c r="I194" s="92" t="n">
        <v>2153</v>
      </c>
      <c r="J194" s="83" t="n">
        <v>43</v>
      </c>
      <c r="K194" s="83" t="n">
        <v>0</v>
      </c>
      <c r="L194" s="93" t="n">
        <v>25</v>
      </c>
    </row>
    <row r="195" ht="13.8" customHeight="1" s="82">
      <c r="A195" s="83" t="inlineStr">
        <is>
          <t>333316</t>
        </is>
      </c>
      <c r="B195" s="83" t="inlineStr">
        <is>
          <t>333</t>
        </is>
      </c>
      <c r="C195" s="83" t="inlineStr">
        <is>
          <t>Machinery</t>
        </is>
      </c>
      <c r="D195" s="83" t="inlineStr">
        <is>
          <t>Photographic and photocopying equipment manufacturing</t>
        </is>
      </c>
      <c r="E195" s="84" t="inlineStr">
        <is>
          <t>333316</t>
        </is>
      </c>
      <c r="F195" s="83" t="n">
        <v>0</v>
      </c>
      <c r="G195" s="83" t="n">
        <v>0</v>
      </c>
      <c r="H195" s="83" t="n">
        <v>0</v>
      </c>
      <c r="I195" s="92" t="n">
        <v>704</v>
      </c>
      <c r="J195" s="83" t="n">
        <v>15</v>
      </c>
      <c r="K195" s="83" t="n">
        <v>0</v>
      </c>
      <c r="L195" s="93" t="n">
        <v>54</v>
      </c>
    </row>
    <row r="196" ht="13.8" customHeight="1" s="82">
      <c r="A196" s="83" t="inlineStr">
        <is>
          <t>333318</t>
        </is>
      </c>
      <c r="B196" s="83" t="inlineStr">
        <is>
          <t>333</t>
        </is>
      </c>
      <c r="C196" s="83" t="inlineStr">
        <is>
          <t>Machinery</t>
        </is>
      </c>
      <c r="D196" s="83" t="inlineStr">
        <is>
          <t>Other commercial and service industry machinery manufacturing</t>
        </is>
      </c>
      <c r="E196" s="84" t="inlineStr">
        <is>
          <t>333318</t>
        </is>
      </c>
      <c r="F196" s="83" t="n">
        <v>9569</v>
      </c>
      <c r="G196" s="83" t="n">
        <v>396</v>
      </c>
      <c r="H196" s="83" t="n">
        <v>5872</v>
      </c>
      <c r="I196" s="92" t="n">
        <v>5428</v>
      </c>
      <c r="J196" s="83" t="n">
        <v>188</v>
      </c>
      <c r="K196" s="83" t="n">
        <v>3</v>
      </c>
      <c r="L196" s="93" t="n">
        <v>2378</v>
      </c>
    </row>
    <row r="197" ht="13.8" customHeight="1" s="82">
      <c r="A197" s="83" t="inlineStr">
        <is>
          <t>333413</t>
        </is>
      </c>
      <c r="B197" s="83" t="inlineStr">
        <is>
          <t>333</t>
        </is>
      </c>
      <c r="C197" s="83" t="inlineStr">
        <is>
          <t>Machinery</t>
        </is>
      </c>
      <c r="D197" s="83" t="inlineStr">
        <is>
          <t>Industrial and commercial fan and blower and air purification equipment manufacturing</t>
        </is>
      </c>
      <c r="E197" s="84" t="inlineStr">
        <is>
          <t>333413</t>
        </is>
      </c>
      <c r="F197" s="83" t="n">
        <v>2597</v>
      </c>
      <c r="G197" s="83" t="n">
        <v>108</v>
      </c>
      <c r="H197" s="83" t="n">
        <v>1593</v>
      </c>
      <c r="I197" s="92" t="n">
        <v>2057</v>
      </c>
      <c r="J197" s="83" t="n">
        <v>56</v>
      </c>
      <c r="K197" s="83" t="n">
        <v>9</v>
      </c>
      <c r="L197" s="93" t="n">
        <v>418</v>
      </c>
    </row>
    <row r="198" ht="13.8" customHeight="1" s="82">
      <c r="A198" s="83" t="inlineStr">
        <is>
          <t>333414</t>
        </is>
      </c>
      <c r="B198" s="83" t="inlineStr">
        <is>
          <t>333</t>
        </is>
      </c>
      <c r="C198" s="83" t="inlineStr">
        <is>
          <t>Machinery</t>
        </is>
      </c>
      <c r="D198" s="83" t="inlineStr">
        <is>
          <t>Heating equipment (except warm air furnaces) manufacturing</t>
        </is>
      </c>
      <c r="E198" s="84" t="inlineStr">
        <is>
          <t>333414</t>
        </is>
      </c>
      <c r="F198" s="83" t="n">
        <v>1253</v>
      </c>
      <c r="G198" s="83" t="n">
        <v>52</v>
      </c>
      <c r="H198" s="83" t="n">
        <v>769</v>
      </c>
      <c r="I198" s="92" t="n">
        <v>1003</v>
      </c>
      <c r="J198" s="83" t="n">
        <v>42</v>
      </c>
      <c r="K198" s="83" t="n">
        <v>9</v>
      </c>
      <c r="L198" s="93" t="n">
        <v>833</v>
      </c>
    </row>
    <row r="199" ht="13.8" customHeight="1" s="82">
      <c r="A199" s="83" t="inlineStr">
        <is>
          <t>333415</t>
        </is>
      </c>
      <c r="B199" s="83" t="inlineStr">
        <is>
          <t>333</t>
        </is>
      </c>
      <c r="C199" s="83" t="inlineStr">
        <is>
          <t>Machinery</t>
        </is>
      </c>
      <c r="D199" s="83" t="inlineStr">
        <is>
          <t>Air conditioning, refrigeration, and warm air heating equipment manufacturing</t>
        </is>
      </c>
      <c r="E199" s="84" t="inlineStr">
        <is>
          <t>333415</t>
        </is>
      </c>
      <c r="F199" s="83" t="n">
        <v>7751</v>
      </c>
      <c r="G199" s="83" t="n">
        <v>321</v>
      </c>
      <c r="H199" s="83" t="n">
        <v>4756</v>
      </c>
      <c r="I199" s="92" t="n">
        <v>6400</v>
      </c>
      <c r="J199" s="83" t="n">
        <v>318</v>
      </c>
      <c r="K199" s="83" t="n">
        <v>17</v>
      </c>
      <c r="L199" s="93" t="n">
        <v>6250</v>
      </c>
    </row>
    <row r="200" ht="13.8" customHeight="1" s="82">
      <c r="A200" s="83" t="inlineStr">
        <is>
          <t>333511</t>
        </is>
      </c>
      <c r="B200" s="83" t="inlineStr">
        <is>
          <t>333</t>
        </is>
      </c>
      <c r="C200" s="83" t="inlineStr">
        <is>
          <t>Machinery</t>
        </is>
      </c>
      <c r="D200" s="83" t="inlineStr">
        <is>
          <t>Industrial mold manufacturing</t>
        </is>
      </c>
      <c r="E200" s="84" t="inlineStr">
        <is>
          <t>333511</t>
        </is>
      </c>
      <c r="F200" s="83" t="n">
        <v>2790</v>
      </c>
      <c r="G200" s="83" t="n">
        <v>116</v>
      </c>
      <c r="H200" s="83" t="n">
        <v>1712</v>
      </c>
      <c r="I200" s="92" t="n">
        <v>2714</v>
      </c>
      <c r="J200" s="83" t="n">
        <v>63</v>
      </c>
      <c r="K200" s="83" t="n">
        <v>2</v>
      </c>
      <c r="L200" s="93" t="n">
        <v>244</v>
      </c>
    </row>
    <row r="201" ht="13.8" customHeight="1" s="82">
      <c r="A201" s="83" t="inlineStr">
        <is>
          <t>333514</t>
        </is>
      </c>
      <c r="B201" s="83" t="inlineStr">
        <is>
          <t>333</t>
        </is>
      </c>
      <c r="C201" s="83" t="inlineStr">
        <is>
          <t>Machinery</t>
        </is>
      </c>
      <c r="D201" s="83" t="inlineStr">
        <is>
          <t>Special tool, die, jig, and fixture manufacturing</t>
        </is>
      </c>
      <c r="E201" s="84" t="inlineStr">
        <is>
          <t>333514</t>
        </is>
      </c>
      <c r="F201" s="83" t="n">
        <v>4668</v>
      </c>
      <c r="G201" s="83" t="n">
        <v>193</v>
      </c>
      <c r="H201" s="83" t="n">
        <v>2864</v>
      </c>
      <c r="I201" s="92" t="n">
        <v>4659</v>
      </c>
      <c r="J201" s="83" t="n">
        <v>86</v>
      </c>
      <c r="K201" s="83" t="n">
        <v>10</v>
      </c>
      <c r="L201" s="93" t="n">
        <v>194</v>
      </c>
    </row>
    <row r="202" ht="13.8" customHeight="1" s="82">
      <c r="A202" s="83" t="inlineStr">
        <is>
          <t>333517</t>
        </is>
      </c>
      <c r="B202" s="83" t="inlineStr">
        <is>
          <t>333</t>
        </is>
      </c>
      <c r="C202" s="83" t="inlineStr">
        <is>
          <t>Machinery</t>
        </is>
      </c>
      <c r="D202" s="83" t="inlineStr">
        <is>
          <t>Machine tool manufacturing</t>
        </is>
      </c>
      <c r="E202" s="84" t="inlineStr">
        <is>
          <t>333517</t>
        </is>
      </c>
      <c r="F202" s="83" t="n">
        <v>3795</v>
      </c>
      <c r="G202" s="83" t="n">
        <v>157</v>
      </c>
      <c r="H202" s="83" t="n">
        <v>2328</v>
      </c>
      <c r="I202" s="92" t="n">
        <v>3127</v>
      </c>
      <c r="J202" s="83" t="n">
        <v>73</v>
      </c>
      <c r="K202" s="83" t="n">
        <v>4</v>
      </c>
      <c r="L202" s="93" t="n">
        <v>207</v>
      </c>
    </row>
    <row r="203" ht="13.8" customHeight="1" s="82">
      <c r="A203" s="83" t="inlineStr">
        <is>
          <t>33351B</t>
        </is>
      </c>
      <c r="B203" s="83" t="inlineStr">
        <is>
          <t>333</t>
        </is>
      </c>
      <c r="C203" s="83" t="inlineStr">
        <is>
          <t>Machinery</t>
        </is>
      </c>
      <c r="D203" s="83" t="inlineStr">
        <is>
          <t>Cutting and machine tool accessory, rolling mill, and other metalworking machinery manufacturing</t>
        </is>
      </c>
      <c r="E203" s="84" t="inlineStr">
        <is>
          <t>33351B</t>
        </is>
      </c>
      <c r="F203" s="83" t="n">
        <v>2914</v>
      </c>
      <c r="G203" s="83" t="n">
        <v>121</v>
      </c>
      <c r="H203" s="83" t="n">
        <v>1788</v>
      </c>
      <c r="I203" s="92" t="n">
        <v>2869</v>
      </c>
      <c r="J203" s="83" t="n">
        <v>84</v>
      </c>
      <c r="K203" s="83" t="n">
        <v>12</v>
      </c>
      <c r="L203" s="93" t="n">
        <v>666</v>
      </c>
    </row>
    <row r="204" ht="13.8" customHeight="1" s="82">
      <c r="A204" s="83" t="inlineStr">
        <is>
          <t>333611</t>
        </is>
      </c>
      <c r="B204" s="83" t="inlineStr">
        <is>
          <t>333</t>
        </is>
      </c>
      <c r="C204" s="83" t="inlineStr">
        <is>
          <t>Machinery</t>
        </is>
      </c>
      <c r="D204" s="83" t="inlineStr">
        <is>
          <t>Turbine and turbine generator set units manufacturing</t>
        </is>
      </c>
      <c r="E204" s="84" t="inlineStr">
        <is>
          <t>333611</t>
        </is>
      </c>
      <c r="F204" s="83" t="n">
        <v>2282</v>
      </c>
      <c r="G204" s="83" t="n">
        <v>95</v>
      </c>
      <c r="H204" s="83" t="n">
        <v>1400</v>
      </c>
      <c r="I204" s="92" t="n">
        <v>2892</v>
      </c>
      <c r="J204" s="83" t="n">
        <v>118</v>
      </c>
      <c r="K204" s="83" t="n">
        <v>4</v>
      </c>
      <c r="L204" s="93" t="n">
        <v>2503</v>
      </c>
    </row>
    <row r="205" ht="13.8" customHeight="1" s="82">
      <c r="A205" s="83" t="inlineStr">
        <is>
          <t>333612</t>
        </is>
      </c>
      <c r="B205" s="83" t="inlineStr">
        <is>
          <t>333</t>
        </is>
      </c>
      <c r="C205" s="83" t="inlineStr">
        <is>
          <t>Machinery</t>
        </is>
      </c>
      <c r="D205" s="83" t="inlineStr">
        <is>
          <t>Speed changer, industrial high-speed drive, and gear manufacturing</t>
        </is>
      </c>
      <c r="E205" s="84" t="inlineStr">
        <is>
          <t>333612</t>
        </is>
      </c>
      <c r="F205" s="83" t="n">
        <v>964</v>
      </c>
      <c r="G205" s="83" t="n">
        <v>40</v>
      </c>
      <c r="H205" s="83" t="n">
        <v>592</v>
      </c>
      <c r="I205" s="92" t="n">
        <v>940</v>
      </c>
      <c r="J205" s="83" t="n">
        <v>30</v>
      </c>
      <c r="K205" s="83" t="n">
        <v>0</v>
      </c>
      <c r="L205" s="93" t="n">
        <v>341</v>
      </c>
    </row>
    <row r="206" ht="13.8" customHeight="1" s="82">
      <c r="A206" s="83" t="inlineStr">
        <is>
          <t>333613</t>
        </is>
      </c>
      <c r="B206" s="83" t="inlineStr">
        <is>
          <t>333</t>
        </is>
      </c>
      <c r="C206" s="83" t="inlineStr">
        <is>
          <t>Machinery</t>
        </is>
      </c>
      <c r="D206" s="83" t="inlineStr">
        <is>
          <t>Mechanical power transmission equipment manufacturing</t>
        </is>
      </c>
      <c r="E206" s="84" t="inlineStr">
        <is>
          <t>333613</t>
        </is>
      </c>
      <c r="F206" s="83" t="n">
        <v>1186</v>
      </c>
      <c r="G206" s="83" t="n">
        <v>49</v>
      </c>
      <c r="H206" s="83" t="n">
        <v>727</v>
      </c>
      <c r="I206" s="92" t="n">
        <v>1025</v>
      </c>
      <c r="J206" s="83" t="n">
        <v>47</v>
      </c>
      <c r="K206" s="83" t="n">
        <v>0</v>
      </c>
      <c r="L206" s="93" t="n">
        <v>1137</v>
      </c>
    </row>
    <row r="207" ht="13.8" customHeight="1" s="82">
      <c r="A207" s="83" t="inlineStr">
        <is>
          <t>333618</t>
        </is>
      </c>
      <c r="B207" s="83" t="inlineStr">
        <is>
          <t>333</t>
        </is>
      </c>
      <c r="C207" s="83" t="inlineStr">
        <is>
          <t>Machinery</t>
        </is>
      </c>
      <c r="D207" s="83" t="inlineStr">
        <is>
          <t>Other engine equipment manufacturing</t>
        </is>
      </c>
      <c r="E207" s="84" t="inlineStr">
        <is>
          <t>333618</t>
        </is>
      </c>
      <c r="F207" s="83" t="n">
        <v>5518</v>
      </c>
      <c r="G207" s="83" t="n">
        <v>229</v>
      </c>
      <c r="H207" s="83" t="n">
        <v>3386</v>
      </c>
      <c r="I207" s="92" t="n">
        <v>4853</v>
      </c>
      <c r="J207" s="83" t="n">
        <v>239</v>
      </c>
      <c r="K207" s="83" t="n">
        <v>2</v>
      </c>
      <c r="L207" s="93" t="n">
        <v>1007</v>
      </c>
    </row>
    <row r="208" ht="13.8" customHeight="1" s="82">
      <c r="A208" s="83" t="inlineStr">
        <is>
          <t>333912</t>
        </is>
      </c>
      <c r="B208" s="83" t="inlineStr">
        <is>
          <t>333</t>
        </is>
      </c>
      <c r="C208" s="83" t="inlineStr">
        <is>
          <t>Machinery</t>
        </is>
      </c>
      <c r="D208" s="83" t="inlineStr">
        <is>
          <t>Air and gas compressor manufacturing</t>
        </is>
      </c>
      <c r="E208" s="84" t="inlineStr">
        <is>
          <t>333912</t>
        </is>
      </c>
      <c r="F208" s="83" t="n">
        <v>2135</v>
      </c>
      <c r="G208" s="83" t="n">
        <v>88</v>
      </c>
      <c r="H208" s="83" t="n">
        <v>1310</v>
      </c>
      <c r="I208" s="92" t="n">
        <v>1972</v>
      </c>
      <c r="J208" s="83" t="n">
        <v>83</v>
      </c>
      <c r="K208" s="83" t="n">
        <v>2</v>
      </c>
      <c r="L208" s="93" t="n">
        <v>1113</v>
      </c>
    </row>
    <row r="209" ht="13.8" customHeight="1" s="82">
      <c r="A209" s="83" t="inlineStr">
        <is>
          <t>333914</t>
        </is>
      </c>
      <c r="B209" s="83" t="inlineStr">
        <is>
          <t>333</t>
        </is>
      </c>
      <c r="C209" s="83" t="inlineStr">
        <is>
          <t>Machinery</t>
        </is>
      </c>
      <c r="D209" s="83" t="inlineStr">
        <is>
          <t>Measuring, dispensing, and other pumping equipment manufacturing</t>
        </is>
      </c>
      <c r="E209" s="84" t="inlineStr">
        <is>
          <t>333914</t>
        </is>
      </c>
      <c r="F209" s="83" t="n">
        <v>2689</v>
      </c>
      <c r="G209" s="83" t="n">
        <v>111</v>
      </c>
      <c r="H209" s="83" t="n">
        <v>1650</v>
      </c>
      <c r="I209" s="92" t="n">
        <v>2679</v>
      </c>
      <c r="J209" s="83" t="n">
        <v>171</v>
      </c>
      <c r="K209" s="83" t="n">
        <v>18</v>
      </c>
      <c r="L209" s="93" t="n">
        <v>4231</v>
      </c>
    </row>
    <row r="210" ht="13.8" customHeight="1" s="82">
      <c r="A210" s="83" t="inlineStr">
        <is>
          <t>333920</t>
        </is>
      </c>
      <c r="B210" s="83" t="inlineStr">
        <is>
          <t>333</t>
        </is>
      </c>
      <c r="C210" s="83" t="inlineStr">
        <is>
          <t>Machinery</t>
        </is>
      </c>
      <c r="D210" s="83" t="inlineStr">
        <is>
          <t>Material handling equipment manufacturing</t>
        </is>
      </c>
      <c r="E210" s="84" t="inlineStr">
        <is>
          <t>333920</t>
        </is>
      </c>
      <c r="F210" s="83" t="n">
        <v>8393</v>
      </c>
      <c r="G210" s="83" t="n">
        <v>348</v>
      </c>
      <c r="H210" s="83" t="n">
        <v>5150</v>
      </c>
      <c r="I210" s="92" t="n">
        <v>6402</v>
      </c>
      <c r="J210" s="83" t="n">
        <v>278</v>
      </c>
      <c r="K210" s="83" t="n">
        <v>39</v>
      </c>
      <c r="L210" s="93" t="n">
        <v>4818</v>
      </c>
    </row>
    <row r="211" ht="13.8" customHeight="1" s="82">
      <c r="A211" s="83" t="inlineStr">
        <is>
          <t>333991</t>
        </is>
      </c>
      <c r="B211" s="83" t="inlineStr">
        <is>
          <t>333</t>
        </is>
      </c>
      <c r="C211" s="83" t="inlineStr">
        <is>
          <t>Machinery</t>
        </is>
      </c>
      <c r="D211" s="83" t="inlineStr">
        <is>
          <t>Power-driven handtool manufacturing</t>
        </is>
      </c>
      <c r="E211" s="84" t="inlineStr">
        <is>
          <t>333991</t>
        </is>
      </c>
      <c r="F211" s="83" t="n">
        <v>1237</v>
      </c>
      <c r="G211" s="83" t="n">
        <v>51</v>
      </c>
      <c r="H211" s="83" t="n">
        <v>759</v>
      </c>
      <c r="I211" s="92" t="n">
        <v>769</v>
      </c>
      <c r="J211" s="83" t="n">
        <v>32</v>
      </c>
      <c r="K211" s="83" t="n">
        <v>7</v>
      </c>
      <c r="L211" s="93" t="n">
        <v>648</v>
      </c>
    </row>
    <row r="212" ht="13.8" customHeight="1" s="82">
      <c r="A212" s="83" t="inlineStr">
        <is>
          <t>333993</t>
        </is>
      </c>
      <c r="B212" s="83" t="inlineStr">
        <is>
          <t>333</t>
        </is>
      </c>
      <c r="C212" s="83" t="inlineStr">
        <is>
          <t>Machinery</t>
        </is>
      </c>
      <c r="D212" s="83" t="inlineStr">
        <is>
          <t>Packaging machinery manufacturing</t>
        </is>
      </c>
      <c r="E212" s="84" t="inlineStr">
        <is>
          <t>333993</t>
        </is>
      </c>
      <c r="F212" s="83" t="n">
        <v>2341</v>
      </c>
      <c r="G212" s="83" t="n">
        <v>97</v>
      </c>
      <c r="H212" s="83" t="n">
        <v>1437</v>
      </c>
      <c r="I212" s="92" t="n">
        <v>1783</v>
      </c>
      <c r="J212" s="83" t="n">
        <v>62</v>
      </c>
      <c r="K212" s="83" t="n">
        <v>5</v>
      </c>
      <c r="L212" s="93" t="n">
        <v>967</v>
      </c>
    </row>
    <row r="213" ht="13.8" customHeight="1" s="82">
      <c r="A213" s="83" t="inlineStr">
        <is>
          <t>333994</t>
        </is>
      </c>
      <c r="B213" s="83" t="inlineStr">
        <is>
          <t>333</t>
        </is>
      </c>
      <c r="C213" s="83" t="inlineStr">
        <is>
          <t>Machinery</t>
        </is>
      </c>
      <c r="D213" s="83" t="inlineStr">
        <is>
          <t>Industrial process furnace and oven manufacturing</t>
        </is>
      </c>
      <c r="E213" s="84" t="inlineStr">
        <is>
          <t>333994</t>
        </is>
      </c>
      <c r="F213" s="83" t="n">
        <v>928</v>
      </c>
      <c r="G213" s="83" t="n">
        <v>38</v>
      </c>
      <c r="H213" s="83" t="n">
        <v>569</v>
      </c>
      <c r="I213" s="92" t="n">
        <v>793</v>
      </c>
      <c r="J213" s="83" t="n">
        <v>24</v>
      </c>
      <c r="K213" s="83" t="n">
        <v>1</v>
      </c>
      <c r="L213" s="93" t="n">
        <v>236</v>
      </c>
    </row>
    <row r="214" ht="13.8" customHeight="1" s="82">
      <c r="A214" s="83" t="inlineStr">
        <is>
          <t>33399A</t>
        </is>
      </c>
      <c r="B214" s="83" t="inlineStr">
        <is>
          <t>333</t>
        </is>
      </c>
      <c r="C214" s="83" t="inlineStr">
        <is>
          <t>Machinery</t>
        </is>
      </c>
      <c r="D214" s="83" t="inlineStr">
        <is>
          <t>Other general purpose machinery manufacturing</t>
        </is>
      </c>
      <c r="E214" s="84" t="inlineStr">
        <is>
          <t>33399A</t>
        </is>
      </c>
      <c r="F214" s="83" t="n">
        <v>5824</v>
      </c>
      <c r="G214" s="83" t="n">
        <v>241</v>
      </c>
      <c r="H214" s="83" t="n">
        <v>3574</v>
      </c>
      <c r="I214" s="92" t="n">
        <v>4891</v>
      </c>
      <c r="J214" s="83" t="n">
        <v>220</v>
      </c>
      <c r="K214" s="83" t="n">
        <v>14</v>
      </c>
      <c r="L214" s="93" t="n">
        <v>4325</v>
      </c>
    </row>
    <row r="215" ht="13.8" customHeight="1" s="82">
      <c r="A215" s="83" t="inlineStr">
        <is>
          <t>33399B</t>
        </is>
      </c>
      <c r="B215" s="83" t="inlineStr">
        <is>
          <t>333</t>
        </is>
      </c>
      <c r="C215" s="83" t="inlineStr">
        <is>
          <t>Machinery</t>
        </is>
      </c>
      <c r="D215" s="83" t="inlineStr">
        <is>
          <t>Fluid power process machinery</t>
        </is>
      </c>
      <c r="E215" s="84" t="inlineStr">
        <is>
          <t>33399B</t>
        </is>
      </c>
      <c r="F215" s="83" t="n">
        <v>3412</v>
      </c>
      <c r="G215" s="83" t="n">
        <v>141</v>
      </c>
      <c r="H215" s="83" t="n">
        <v>2094</v>
      </c>
      <c r="I215" s="92" t="n">
        <v>3117</v>
      </c>
      <c r="J215" s="83" t="n">
        <v>106</v>
      </c>
      <c r="K215" s="83" t="n">
        <v>22</v>
      </c>
      <c r="L215" s="93" t="n">
        <v>1078</v>
      </c>
    </row>
    <row r="216" ht="13.8" customHeight="1" s="82">
      <c r="A216" s="83" t="inlineStr">
        <is>
          <t>334111</t>
        </is>
      </c>
      <c r="B216" s="83" t="inlineStr">
        <is>
          <t>334</t>
        </is>
      </c>
      <c r="C216" s="83" t="inlineStr">
        <is>
          <t>Computer and electronic products</t>
        </is>
      </c>
      <c r="D216" s="83" t="inlineStr">
        <is>
          <t>Electronic computer manufacturing</t>
        </is>
      </c>
      <c r="E216" s="84" t="inlineStr">
        <is>
          <t>334111</t>
        </is>
      </c>
      <c r="F216" s="83" t="n">
        <v>40262</v>
      </c>
      <c r="G216" s="83" t="n">
        <v>2251</v>
      </c>
      <c r="H216" s="83" t="n">
        <v>22412</v>
      </c>
      <c r="I216" s="92" t="n">
        <v>7655</v>
      </c>
      <c r="J216" s="83" t="n">
        <v>416</v>
      </c>
      <c r="K216" s="83" t="n">
        <v>18</v>
      </c>
      <c r="L216" s="93" t="n">
        <v>4822</v>
      </c>
    </row>
    <row r="217" ht="13.8" customHeight="1" s="82">
      <c r="A217" s="83" t="inlineStr">
        <is>
          <t>334112</t>
        </is>
      </c>
      <c r="B217" s="83" t="inlineStr">
        <is>
          <t>334</t>
        </is>
      </c>
      <c r="C217" s="83" t="inlineStr">
        <is>
          <t>Computer and electronic products</t>
        </is>
      </c>
      <c r="D217" s="83" t="inlineStr">
        <is>
          <t>Computer storage device manufacturing</t>
        </is>
      </c>
      <c r="E217" s="84" t="inlineStr">
        <is>
          <t>334112</t>
        </is>
      </c>
      <c r="F217" s="83" t="n">
        <v>3116</v>
      </c>
      <c r="G217" s="83" t="n">
        <v>174</v>
      </c>
      <c r="H217" s="83" t="n">
        <v>1735</v>
      </c>
      <c r="I217" s="92" t="n">
        <v>2274</v>
      </c>
      <c r="J217" s="83" t="n">
        <v>106</v>
      </c>
      <c r="K217" s="83" t="n">
        <v>3</v>
      </c>
      <c r="L217" s="93" t="n">
        <v>1342</v>
      </c>
    </row>
    <row r="218" ht="13.8" customHeight="1" s="82">
      <c r="A218" s="83" t="inlineStr">
        <is>
          <t>334118</t>
        </is>
      </c>
      <c r="B218" s="83" t="inlineStr">
        <is>
          <t>334</t>
        </is>
      </c>
      <c r="C218" s="83" t="inlineStr">
        <is>
          <t>Computer and electronic products</t>
        </is>
      </c>
      <c r="D218" s="83" t="inlineStr">
        <is>
          <t>Computer terminals and other computer peripheral equipment manufacturing</t>
        </is>
      </c>
      <c r="E218" s="84" t="inlineStr">
        <is>
          <t>334118</t>
        </is>
      </c>
      <c r="F218" s="83" t="n">
        <v>5634</v>
      </c>
      <c r="G218" s="83" t="n">
        <v>315</v>
      </c>
      <c r="H218" s="83" t="n">
        <v>3136</v>
      </c>
      <c r="I218" s="92" t="n">
        <v>3272</v>
      </c>
      <c r="J218" s="83" t="n">
        <v>219</v>
      </c>
      <c r="K218" s="83" t="n">
        <v>12</v>
      </c>
      <c r="L218" s="93" t="n">
        <v>2215</v>
      </c>
    </row>
    <row r="219" ht="13.8" customHeight="1" s="82">
      <c r="A219" s="83" t="inlineStr">
        <is>
          <t>334210</t>
        </is>
      </c>
      <c r="B219" s="83" t="inlineStr">
        <is>
          <t>334</t>
        </is>
      </c>
      <c r="C219" s="83" t="inlineStr">
        <is>
          <t>Computer and electronic products</t>
        </is>
      </c>
      <c r="D219" s="83" t="inlineStr">
        <is>
          <t>Telephone apparatus manufacturing</t>
        </is>
      </c>
      <c r="E219" s="84" t="inlineStr">
        <is>
          <t>334210</t>
        </is>
      </c>
      <c r="F219" s="83" t="n">
        <v>2660</v>
      </c>
      <c r="G219" s="83" t="n">
        <v>149</v>
      </c>
      <c r="H219" s="83" t="n">
        <v>1481</v>
      </c>
      <c r="I219" s="92" t="n">
        <v>2971</v>
      </c>
      <c r="J219" s="83" t="n">
        <v>164</v>
      </c>
      <c r="K219" s="83" t="n">
        <v>5</v>
      </c>
      <c r="L219" s="93" t="n">
        <v>2002</v>
      </c>
    </row>
    <row r="220" ht="13.8" customHeight="1" s="82">
      <c r="A220" s="83" t="inlineStr">
        <is>
          <t>334220</t>
        </is>
      </c>
      <c r="B220" s="83" t="inlineStr">
        <is>
          <t>334</t>
        </is>
      </c>
      <c r="C220" s="83" t="inlineStr">
        <is>
          <t>Computer and electronic products</t>
        </is>
      </c>
      <c r="D220" s="83" t="inlineStr">
        <is>
          <t>Broadcast and wireless communications equipment</t>
        </is>
      </c>
      <c r="E220" s="84" t="inlineStr">
        <is>
          <t>334220</t>
        </is>
      </c>
      <c r="F220" s="83" t="n">
        <v>7272</v>
      </c>
      <c r="G220" s="83" t="n">
        <v>407</v>
      </c>
      <c r="H220" s="83" t="n">
        <v>4048</v>
      </c>
      <c r="I220" s="92" t="n">
        <v>12673</v>
      </c>
      <c r="J220" s="83" t="n">
        <v>675</v>
      </c>
      <c r="K220" s="83" t="n">
        <v>1</v>
      </c>
      <c r="L220" s="93" t="n">
        <v>7477</v>
      </c>
    </row>
    <row r="221" ht="13.8" customHeight="1" s="82">
      <c r="A221" s="83" t="inlineStr">
        <is>
          <t>334290</t>
        </is>
      </c>
      <c r="B221" s="83" t="inlineStr">
        <is>
          <t>334</t>
        </is>
      </c>
      <c r="C221" s="83" t="inlineStr">
        <is>
          <t>Computer and electronic products</t>
        </is>
      </c>
      <c r="D221" s="83" t="inlineStr">
        <is>
          <t>Other communications equipment manufacturing</t>
        </is>
      </c>
      <c r="E221" s="84" t="inlineStr">
        <is>
          <t>334290</t>
        </is>
      </c>
      <c r="F221" s="83" t="n">
        <v>2120</v>
      </c>
      <c r="G221" s="83" t="n">
        <v>119</v>
      </c>
      <c r="H221" s="83" t="n">
        <v>1180</v>
      </c>
      <c r="I221" s="92" t="n">
        <v>2233</v>
      </c>
      <c r="J221" s="83" t="n">
        <v>135</v>
      </c>
      <c r="K221" s="83" t="n">
        <v>8</v>
      </c>
      <c r="L221" s="93" t="n">
        <v>1381</v>
      </c>
    </row>
    <row r="222" ht="13.8" customHeight="1" s="82">
      <c r="A222" s="83" t="inlineStr">
        <is>
          <t>334300</t>
        </is>
      </c>
      <c r="B222" s="83" t="inlineStr">
        <is>
          <t>334</t>
        </is>
      </c>
      <c r="C222" s="83" t="inlineStr">
        <is>
          <t>Computer and electronic products</t>
        </is>
      </c>
      <c r="D222" s="83" t="inlineStr">
        <is>
          <t>Audio and video equipment manufacturing</t>
        </is>
      </c>
      <c r="E222" s="84" t="inlineStr">
        <is>
          <t>334300</t>
        </is>
      </c>
      <c r="F222" s="83" t="n">
        <v>3134</v>
      </c>
      <c r="G222" s="83" t="n">
        <v>175</v>
      </c>
      <c r="H222" s="83" t="n">
        <v>1744</v>
      </c>
      <c r="I222" s="92" t="n">
        <v>1159</v>
      </c>
      <c r="J222" s="83" t="n">
        <v>71</v>
      </c>
      <c r="K222" s="83" t="n">
        <v>12</v>
      </c>
      <c r="L222" s="93" t="n">
        <v>791</v>
      </c>
    </row>
    <row r="223" ht="13.8" customHeight="1" s="82">
      <c r="A223" s="83" t="inlineStr">
        <is>
          <t>334413</t>
        </is>
      </c>
      <c r="B223" s="83" t="inlineStr">
        <is>
          <t>334</t>
        </is>
      </c>
      <c r="C223" s="83" t="inlineStr">
        <is>
          <t>Computer and electronic products</t>
        </is>
      </c>
      <c r="D223" s="83" t="inlineStr">
        <is>
          <t>Semiconductor and related device manufacturing</t>
        </is>
      </c>
      <c r="E223" s="84" t="inlineStr">
        <is>
          <t>334413</t>
        </is>
      </c>
      <c r="F223" s="83" t="n">
        <v>45548</v>
      </c>
      <c r="G223" s="83" t="n">
        <v>2546</v>
      </c>
      <c r="H223" s="83" t="n">
        <v>25355</v>
      </c>
      <c r="I223" s="92" t="n">
        <v>26798</v>
      </c>
      <c r="J223" s="83" t="n">
        <v>1420</v>
      </c>
      <c r="K223" s="83" t="n">
        <v>59</v>
      </c>
      <c r="L223" s="93" t="n">
        <v>20266</v>
      </c>
    </row>
    <row r="224" ht="13.8" customHeight="1" s="82">
      <c r="A224" s="83" t="inlineStr">
        <is>
          <t>334418</t>
        </is>
      </c>
      <c r="B224" s="83" t="inlineStr">
        <is>
          <t>334</t>
        </is>
      </c>
      <c r="C224" s="83" t="inlineStr">
        <is>
          <t>Computer and electronic products</t>
        </is>
      </c>
      <c r="D224" s="83" t="inlineStr">
        <is>
          <t>Printed circuit assembly (electronic assembly) manufacturing</t>
        </is>
      </c>
      <c r="E224" s="84" t="inlineStr">
        <is>
          <t>334418</t>
        </is>
      </c>
      <c r="F224" s="83" t="n">
        <v>4786</v>
      </c>
      <c r="G224" s="83" t="n">
        <v>268</v>
      </c>
      <c r="H224" s="83" t="n">
        <v>2664</v>
      </c>
      <c r="I224" s="92" t="n">
        <v>8431</v>
      </c>
      <c r="J224" s="83" t="n">
        <v>367</v>
      </c>
      <c r="K224" s="83" t="n">
        <v>42</v>
      </c>
      <c r="L224" s="93" t="n">
        <v>5078</v>
      </c>
    </row>
    <row r="225" ht="13.8" customHeight="1" s="82">
      <c r="A225" s="83" t="inlineStr">
        <is>
          <t>33441A</t>
        </is>
      </c>
      <c r="B225" s="83" t="inlineStr">
        <is>
          <t>334</t>
        </is>
      </c>
      <c r="C225" s="83" t="inlineStr">
        <is>
          <t>Computer and electronic products</t>
        </is>
      </c>
      <c r="D225" s="83" t="inlineStr">
        <is>
          <t>Other electronic component manufacturing</t>
        </is>
      </c>
      <c r="E225" s="84" t="inlineStr">
        <is>
          <t>33441A</t>
        </is>
      </c>
      <c r="F225" s="83" t="n">
        <v>12522</v>
      </c>
      <c r="G225" s="83" t="n">
        <v>700</v>
      </c>
      <c r="H225" s="83" t="n">
        <v>6970</v>
      </c>
      <c r="I225" s="92" t="n">
        <v>16720</v>
      </c>
      <c r="J225" s="83" t="n">
        <v>703</v>
      </c>
      <c r="K225" s="83" t="n">
        <v>39</v>
      </c>
      <c r="L225" s="93" t="n">
        <v>3628</v>
      </c>
    </row>
    <row r="226" ht="13.8" customHeight="1" s="82">
      <c r="A226" s="83" t="inlineStr">
        <is>
          <t>334510</t>
        </is>
      </c>
      <c r="B226" s="83" t="inlineStr">
        <is>
          <t>334</t>
        </is>
      </c>
      <c r="C226" s="83" t="inlineStr">
        <is>
          <t>Computer and electronic products</t>
        </is>
      </c>
      <c r="D226" s="83" t="inlineStr">
        <is>
          <t>Electromedical and electrotherapeutic apparatus manufacturing</t>
        </is>
      </c>
      <c r="E226" s="84" t="inlineStr">
        <is>
          <t>334510</t>
        </is>
      </c>
      <c r="F226" s="83" t="n">
        <v>11000</v>
      </c>
      <c r="G226" s="83" t="n">
        <v>615</v>
      </c>
      <c r="H226" s="83" t="n">
        <v>6123</v>
      </c>
      <c r="I226" s="92" t="n">
        <v>11072</v>
      </c>
      <c r="J226" s="83" t="n">
        <v>832</v>
      </c>
      <c r="K226" s="83" t="n">
        <v>104</v>
      </c>
      <c r="L226" s="93" t="n">
        <v>9488</v>
      </c>
    </row>
    <row r="227" ht="13.8" customHeight="1" s="82">
      <c r="A227" s="83" t="inlineStr">
        <is>
          <t>334511</t>
        </is>
      </c>
      <c r="B227" s="83" t="inlineStr">
        <is>
          <t>334</t>
        </is>
      </c>
      <c r="C227" s="83" t="inlineStr">
        <is>
          <t>Computer and electronic products</t>
        </is>
      </c>
      <c r="D227" s="83" t="inlineStr">
        <is>
          <t>Search, detection, and navigation instruments manufacturing</t>
        </is>
      </c>
      <c r="E227" s="84" t="inlineStr">
        <is>
          <t>334511</t>
        </is>
      </c>
      <c r="F227" s="83" t="n">
        <v>19292</v>
      </c>
      <c r="G227" s="83" t="n">
        <v>1079</v>
      </c>
      <c r="H227" s="83" t="n">
        <v>10739</v>
      </c>
      <c r="I227" s="92" t="n">
        <v>23071</v>
      </c>
      <c r="J227" s="83" t="n">
        <v>1206</v>
      </c>
      <c r="K227" s="83" t="n">
        <v>19</v>
      </c>
      <c r="L227" s="93" t="n">
        <v>15138</v>
      </c>
    </row>
    <row r="228" ht="13.8" customHeight="1" s="82">
      <c r="A228" s="83" t="inlineStr">
        <is>
          <t>334512</t>
        </is>
      </c>
      <c r="B228" s="83" t="inlineStr">
        <is>
          <t>334</t>
        </is>
      </c>
      <c r="C228" s="83" t="inlineStr">
        <is>
          <t>Computer and electronic products</t>
        </is>
      </c>
      <c r="D228" s="83" t="inlineStr">
        <is>
          <t>Automatic environmental control manufacturing</t>
        </is>
      </c>
      <c r="E228" s="84" t="inlineStr">
        <is>
          <t>334512</t>
        </is>
      </c>
      <c r="F228" s="83" t="n">
        <v>1341</v>
      </c>
      <c r="G228" s="83" t="n">
        <v>75</v>
      </c>
      <c r="H228" s="83" t="n">
        <v>746</v>
      </c>
      <c r="I228" s="92" t="n">
        <v>1467</v>
      </c>
      <c r="J228" s="83" t="n">
        <v>75</v>
      </c>
      <c r="K228" s="83" t="n">
        <v>4</v>
      </c>
      <c r="L228" s="93" t="n">
        <v>829</v>
      </c>
    </row>
    <row r="229" ht="13.8" customHeight="1" s="82">
      <c r="A229" s="83" t="inlineStr">
        <is>
          <t>334513</t>
        </is>
      </c>
      <c r="B229" s="83" t="inlineStr">
        <is>
          <t>334</t>
        </is>
      </c>
      <c r="C229" s="83" t="inlineStr">
        <is>
          <t>Computer and electronic products</t>
        </is>
      </c>
      <c r="D229" s="83" t="inlineStr">
        <is>
          <t>Industrial process variable instruments manufacturing</t>
        </is>
      </c>
      <c r="E229" s="84" t="inlineStr">
        <is>
          <t>334513</t>
        </is>
      </c>
      <c r="F229" s="83" t="n">
        <v>5692</v>
      </c>
      <c r="G229" s="83" t="n">
        <v>318</v>
      </c>
      <c r="H229" s="83" t="n">
        <v>3169</v>
      </c>
      <c r="I229" s="92" t="n">
        <v>8013</v>
      </c>
      <c r="J229" s="83" t="n">
        <v>257</v>
      </c>
      <c r="K229" s="83" t="n">
        <v>7</v>
      </c>
      <c r="L229" s="93" t="n">
        <v>405</v>
      </c>
    </row>
    <row r="230" ht="13.8" customHeight="1" s="82">
      <c r="A230" s="83" t="inlineStr">
        <is>
          <t>334514</t>
        </is>
      </c>
      <c r="B230" s="83" t="inlineStr">
        <is>
          <t>334</t>
        </is>
      </c>
      <c r="C230" s="83" t="inlineStr">
        <is>
          <t>Computer and electronic products</t>
        </is>
      </c>
      <c r="D230" s="83" t="inlineStr">
        <is>
          <t>Totalizing fluid meter and counting device manufacturing</t>
        </is>
      </c>
      <c r="E230" s="84" t="inlineStr">
        <is>
          <t>334514</t>
        </is>
      </c>
      <c r="F230" s="83" t="n">
        <v>822</v>
      </c>
      <c r="G230" s="83" t="n">
        <v>46</v>
      </c>
      <c r="H230" s="83" t="n">
        <v>458</v>
      </c>
      <c r="I230" s="92" t="n">
        <v>1559</v>
      </c>
      <c r="J230" s="83" t="n">
        <v>140</v>
      </c>
      <c r="K230" s="83" t="n">
        <v>10</v>
      </c>
      <c r="L230" s="93" t="n">
        <v>1497</v>
      </c>
    </row>
    <row r="231" ht="13.8" customHeight="1" s="82">
      <c r="A231" s="83" t="inlineStr">
        <is>
          <t>334515</t>
        </is>
      </c>
      <c r="B231" s="83" t="inlineStr">
        <is>
          <t>334</t>
        </is>
      </c>
      <c r="C231" s="83" t="inlineStr">
        <is>
          <t>Computer and electronic products</t>
        </is>
      </c>
      <c r="D231" s="83" t="inlineStr">
        <is>
          <t>Electricity and signal testing instruments manufacturing</t>
        </is>
      </c>
      <c r="E231" s="84" t="inlineStr">
        <is>
          <t>334515</t>
        </is>
      </c>
      <c r="F231" s="83" t="n">
        <v>5933</v>
      </c>
      <c r="G231" s="83" t="n">
        <v>332</v>
      </c>
      <c r="H231" s="83" t="n">
        <v>3303</v>
      </c>
      <c r="I231" s="92" t="n">
        <v>4816</v>
      </c>
      <c r="J231" s="83" t="n">
        <v>275</v>
      </c>
      <c r="K231" s="83" t="n">
        <v>4</v>
      </c>
      <c r="L231" s="93" t="n">
        <v>3048</v>
      </c>
    </row>
    <row r="232" ht="13.8" customHeight="1" s="82">
      <c r="A232" s="83" t="inlineStr">
        <is>
          <t>334516</t>
        </is>
      </c>
      <c r="B232" s="83" t="inlineStr">
        <is>
          <t>334</t>
        </is>
      </c>
      <c r="C232" s="83" t="inlineStr">
        <is>
          <t>Computer and electronic products</t>
        </is>
      </c>
      <c r="D232" s="83" t="inlineStr">
        <is>
          <t>Analytical laboratory instrument manufacturing</t>
        </is>
      </c>
      <c r="E232" s="84" t="inlineStr">
        <is>
          <t>334516</t>
        </is>
      </c>
      <c r="F232" s="83" t="n">
        <v>6561</v>
      </c>
      <c r="G232" s="83" t="n">
        <v>367</v>
      </c>
      <c r="H232" s="83" t="n">
        <v>3652</v>
      </c>
      <c r="I232" s="92" t="n">
        <v>6764</v>
      </c>
      <c r="J232" s="83" t="n">
        <v>370</v>
      </c>
      <c r="K232" s="83" t="n">
        <v>19</v>
      </c>
      <c r="L232" s="93" t="n">
        <v>4026</v>
      </c>
    </row>
    <row r="233" ht="13.8" customHeight="1" s="82">
      <c r="A233" s="83" t="inlineStr">
        <is>
          <t>334517</t>
        </is>
      </c>
      <c r="B233" s="83" t="inlineStr">
        <is>
          <t>334</t>
        </is>
      </c>
      <c r="C233" s="83" t="inlineStr">
        <is>
          <t>Computer and electronic products</t>
        </is>
      </c>
      <c r="D233" s="83" t="inlineStr">
        <is>
          <t>Irradiation apparatus manufacturing</t>
        </is>
      </c>
      <c r="E233" s="84" t="inlineStr">
        <is>
          <t>334517</t>
        </is>
      </c>
      <c r="F233" s="83" t="n">
        <v>1984</v>
      </c>
      <c r="G233" s="83" t="n">
        <v>111</v>
      </c>
      <c r="H233" s="83" t="n">
        <v>1104</v>
      </c>
      <c r="I233" s="92" t="n">
        <v>3723</v>
      </c>
      <c r="J233" s="83" t="n">
        <v>226</v>
      </c>
      <c r="K233" s="83" t="n">
        <v>6</v>
      </c>
      <c r="L233" s="93" t="n">
        <v>2412</v>
      </c>
    </row>
    <row r="234" ht="13.8" customHeight="1" s="82">
      <c r="A234" s="83" t="inlineStr">
        <is>
          <t>33451A</t>
        </is>
      </c>
      <c r="B234" s="83" t="inlineStr">
        <is>
          <t>334</t>
        </is>
      </c>
      <c r="C234" s="83" t="inlineStr">
        <is>
          <t>Computer and electronic products</t>
        </is>
      </c>
      <c r="D234" s="83" t="inlineStr">
        <is>
          <t>Watch, clock, and other measuring and controlling device manufacturing</t>
        </is>
      </c>
      <c r="E234" s="84" t="inlineStr">
        <is>
          <t>33451A</t>
        </is>
      </c>
      <c r="F234" s="83" t="n">
        <v>5487</v>
      </c>
      <c r="G234" s="83" t="n">
        <v>307</v>
      </c>
      <c r="H234" s="83" t="n">
        <v>3054</v>
      </c>
      <c r="I234" s="92" t="n">
        <v>5166</v>
      </c>
      <c r="J234" s="83" t="n">
        <v>302</v>
      </c>
      <c r="K234" s="83" t="n">
        <v>6</v>
      </c>
      <c r="L234" s="93" t="n">
        <v>3338</v>
      </c>
    </row>
    <row r="235" ht="13.8" customHeight="1" s="82">
      <c r="A235" s="83" t="inlineStr">
        <is>
          <t>334610</t>
        </is>
      </c>
      <c r="B235" s="83" t="inlineStr">
        <is>
          <t>334</t>
        </is>
      </c>
      <c r="C235" s="83" t="inlineStr">
        <is>
          <t>Computer and electronic products</t>
        </is>
      </c>
      <c r="D235" s="83" t="inlineStr">
        <is>
          <t>Manufacturing and reproducing magnetic and optical media</t>
        </is>
      </c>
      <c r="E235" s="84" t="inlineStr">
        <is>
          <t>334610</t>
        </is>
      </c>
      <c r="F235" s="83" t="n">
        <v>2006</v>
      </c>
      <c r="G235" s="83" t="n">
        <v>112</v>
      </c>
      <c r="H235" s="83" t="n">
        <v>1116</v>
      </c>
      <c r="I235" s="92" t="n">
        <v>869</v>
      </c>
      <c r="J235" s="83" t="n">
        <v>45</v>
      </c>
      <c r="K235" s="83" t="n">
        <v>1</v>
      </c>
      <c r="L235" s="93" t="n">
        <v>471</v>
      </c>
    </row>
    <row r="236" ht="13.8" customHeight="1" s="82">
      <c r="A236" s="83" t="inlineStr">
        <is>
          <t>335110</t>
        </is>
      </c>
      <c r="B236" s="83" t="inlineStr">
        <is>
          <t>335</t>
        </is>
      </c>
      <c r="C236" s="83" t="inlineStr">
        <is>
          <t>Electrical equipment, appliances, and components</t>
        </is>
      </c>
      <c r="D236" s="83" t="inlineStr">
        <is>
          <t>Electric lamp bulb and part manufacturing</t>
        </is>
      </c>
      <c r="E236" s="84" t="inlineStr">
        <is>
          <t>335110</t>
        </is>
      </c>
      <c r="F236" s="83" t="n">
        <v>1250</v>
      </c>
      <c r="G236" s="83" t="n">
        <v>35</v>
      </c>
      <c r="H236" s="83" t="n">
        <v>579</v>
      </c>
      <c r="I236" s="92" t="n">
        <v>803</v>
      </c>
      <c r="J236" s="83" t="n">
        <v>13</v>
      </c>
      <c r="K236" s="83" t="n">
        <v>3</v>
      </c>
      <c r="L236" s="93" t="n">
        <v>48</v>
      </c>
    </row>
    <row r="237" ht="13.8" customHeight="1" s="82">
      <c r="A237" s="83" t="inlineStr">
        <is>
          <t>335120</t>
        </is>
      </c>
      <c r="B237" s="83" t="inlineStr">
        <is>
          <t>335</t>
        </is>
      </c>
      <c r="C237" s="83" t="inlineStr">
        <is>
          <t>Electrical equipment, appliances, and components</t>
        </is>
      </c>
      <c r="D237" s="83" t="inlineStr">
        <is>
          <t>Lighting fixture manufacturing</t>
        </is>
      </c>
      <c r="E237" s="84" t="inlineStr">
        <is>
          <t>335120</t>
        </is>
      </c>
      <c r="F237" s="83" t="n">
        <v>2691</v>
      </c>
      <c r="G237" s="83" t="n">
        <v>76</v>
      </c>
      <c r="H237" s="83" t="n">
        <v>1248</v>
      </c>
      <c r="I237" s="92" t="n">
        <v>3406</v>
      </c>
      <c r="J237" s="83" t="n">
        <v>116</v>
      </c>
      <c r="K237" s="83" t="n">
        <v>24</v>
      </c>
      <c r="L237" s="93" t="n">
        <v>2112</v>
      </c>
    </row>
    <row r="238" ht="13.8" customHeight="1" s="82">
      <c r="A238" s="83" t="inlineStr">
        <is>
          <t>335210</t>
        </is>
      </c>
      <c r="B238" s="83" t="inlineStr">
        <is>
          <t>335</t>
        </is>
      </c>
      <c r="C238" s="83" t="inlineStr">
        <is>
          <t>Electrical equipment, appliances, and components</t>
        </is>
      </c>
      <c r="D238" s="83" t="inlineStr">
        <is>
          <t>Small electrical appliance manufacturing</t>
        </is>
      </c>
      <c r="E238" s="84" t="inlineStr">
        <is>
          <t>335210</t>
        </is>
      </c>
      <c r="F238" s="83" t="n">
        <v>1207</v>
      </c>
      <c r="G238" s="83" t="n">
        <v>34</v>
      </c>
      <c r="H238" s="83" t="n">
        <v>560</v>
      </c>
      <c r="I238" s="92" t="n">
        <v>1002</v>
      </c>
      <c r="J238" s="83" t="n">
        <v>33</v>
      </c>
      <c r="K238" s="83" t="n">
        <v>10</v>
      </c>
      <c r="L238" s="93" t="n">
        <v>889</v>
      </c>
    </row>
    <row r="239" ht="13.8" customHeight="1" s="82">
      <c r="A239" s="83" t="inlineStr">
        <is>
          <t>335220</t>
        </is>
      </c>
      <c r="B239" s="83" t="inlineStr">
        <is>
          <t>335</t>
        </is>
      </c>
      <c r="C239" s="83" t="inlineStr">
        <is>
          <t>Electrical equipment, appliances, and components</t>
        </is>
      </c>
      <c r="D239" s="83" t="inlineStr">
        <is>
          <t>Major household appliance manufacturing</t>
        </is>
      </c>
      <c r="E239" s="84" t="inlineStr">
        <is>
          <t>335220</t>
        </is>
      </c>
      <c r="F239" s="83" t="n">
        <v>5075</v>
      </c>
      <c r="G239" s="83" t="n">
        <v>143</v>
      </c>
      <c r="H239" s="83" t="n">
        <v>2353</v>
      </c>
      <c r="I239" s="92" t="n">
        <v>4761</v>
      </c>
      <c r="J239" s="83" t="n">
        <v>173</v>
      </c>
      <c r="K239" s="83" t="n">
        <v>14</v>
      </c>
      <c r="L239" s="93" t="n">
        <v>4282</v>
      </c>
    </row>
    <row r="240" ht="13.8" customHeight="1" s="82">
      <c r="A240" s="83" t="inlineStr">
        <is>
          <t>335311</t>
        </is>
      </c>
      <c r="B240" s="83" t="inlineStr">
        <is>
          <t>335</t>
        </is>
      </c>
      <c r="C240" s="83" t="inlineStr">
        <is>
          <t>Electrical equipment, appliances, and components</t>
        </is>
      </c>
      <c r="D240" s="83" t="inlineStr">
        <is>
          <t>Power, distribution, and specialty transformer manufacturing</t>
        </is>
      </c>
      <c r="E240" s="84" t="inlineStr">
        <is>
          <t>335311</t>
        </is>
      </c>
      <c r="F240" s="83" t="n">
        <v>2695</v>
      </c>
      <c r="G240" s="83" t="n">
        <v>76</v>
      </c>
      <c r="H240" s="83" t="n">
        <v>1250</v>
      </c>
      <c r="I240" s="92" t="n">
        <v>2472</v>
      </c>
      <c r="J240" s="83" t="n">
        <v>45</v>
      </c>
      <c r="K240" s="83" t="n">
        <v>3</v>
      </c>
      <c r="L240" s="93" t="n">
        <v>420</v>
      </c>
    </row>
    <row r="241" ht="13.8" customHeight="1" s="82">
      <c r="A241" s="83" t="inlineStr">
        <is>
          <t>335312</t>
        </is>
      </c>
      <c r="B241" s="83" t="inlineStr">
        <is>
          <t>335</t>
        </is>
      </c>
      <c r="C241" s="83" t="inlineStr">
        <is>
          <t>Electrical equipment, appliances, and components</t>
        </is>
      </c>
      <c r="D241" s="83" t="inlineStr">
        <is>
          <t>Motor and generator manufacturing</t>
        </is>
      </c>
      <c r="E241" s="84" t="inlineStr">
        <is>
          <t>335312</t>
        </is>
      </c>
      <c r="F241" s="83" t="n">
        <v>3823</v>
      </c>
      <c r="G241" s="83" t="n">
        <v>108</v>
      </c>
      <c r="H241" s="83" t="n">
        <v>1773</v>
      </c>
      <c r="I241" s="92" t="n">
        <v>3097</v>
      </c>
      <c r="J241" s="83" t="n">
        <v>89</v>
      </c>
      <c r="K241" s="83" t="n">
        <v>4</v>
      </c>
      <c r="L241" s="93" t="n">
        <v>761</v>
      </c>
    </row>
    <row r="242" ht="13.8" customHeight="1" s="82">
      <c r="A242" s="83" t="inlineStr">
        <is>
          <t>335313</t>
        </is>
      </c>
      <c r="B242" s="83" t="inlineStr">
        <is>
          <t>335</t>
        </is>
      </c>
      <c r="C242" s="83" t="inlineStr">
        <is>
          <t>Electrical equipment, appliances, and components</t>
        </is>
      </c>
      <c r="D242" s="83" t="inlineStr">
        <is>
          <t>Switchgear and switchboard apparatus manufacturing</t>
        </is>
      </c>
      <c r="E242" s="84" t="inlineStr">
        <is>
          <t>335313</t>
        </is>
      </c>
      <c r="F242" s="83" t="n">
        <v>3822</v>
      </c>
      <c r="G242" s="83" t="n">
        <v>108</v>
      </c>
      <c r="H242" s="83" t="n">
        <v>1772</v>
      </c>
      <c r="I242" s="92" t="n">
        <v>3309</v>
      </c>
      <c r="J242" s="83" t="n">
        <v>114</v>
      </c>
      <c r="K242" s="83" t="n">
        <v>14</v>
      </c>
      <c r="L242" s="93" t="n">
        <v>2026</v>
      </c>
    </row>
    <row r="243" ht="13.8" customHeight="1" s="82">
      <c r="A243" s="83" t="inlineStr">
        <is>
          <t>335314</t>
        </is>
      </c>
      <c r="B243" s="83" t="inlineStr">
        <is>
          <t>335</t>
        </is>
      </c>
      <c r="C243" s="83" t="inlineStr">
        <is>
          <t>Electrical equipment, appliances, and components</t>
        </is>
      </c>
      <c r="D243" s="83" t="inlineStr">
        <is>
          <t>Relay and industrial control manufacturing</t>
        </is>
      </c>
      <c r="E243" s="84" t="inlineStr">
        <is>
          <t>335314</t>
        </is>
      </c>
      <c r="F243" s="83" t="n">
        <v>5126</v>
      </c>
      <c r="G243" s="83" t="n">
        <v>144</v>
      </c>
      <c r="H243" s="83" t="n">
        <v>2377</v>
      </c>
      <c r="I243" s="92" t="n">
        <v>4911</v>
      </c>
      <c r="J243" s="83" t="n">
        <v>96</v>
      </c>
      <c r="K243" s="83" t="n">
        <v>5</v>
      </c>
      <c r="L243" s="93" t="n">
        <v>139</v>
      </c>
    </row>
    <row r="244" ht="13.8" customHeight="1" s="82">
      <c r="A244" s="83" t="inlineStr">
        <is>
          <t>335911</t>
        </is>
      </c>
      <c r="B244" s="83" t="inlineStr">
        <is>
          <t>335</t>
        </is>
      </c>
      <c r="C244" s="83" t="inlineStr">
        <is>
          <t>Electrical equipment, appliances, and components</t>
        </is>
      </c>
      <c r="D244" s="83" t="inlineStr">
        <is>
          <t>Storage battery manufacturing</t>
        </is>
      </c>
      <c r="E244" s="84" t="inlineStr">
        <is>
          <t>335911</t>
        </is>
      </c>
      <c r="F244" s="83" t="n">
        <v>4893</v>
      </c>
      <c r="G244" s="83" t="n">
        <v>138</v>
      </c>
      <c r="H244" s="83" t="n">
        <v>2268</v>
      </c>
      <c r="I244" s="92" t="n">
        <v>1839</v>
      </c>
      <c r="J244" s="83" t="n">
        <v>68</v>
      </c>
      <c r="K244" s="83" t="n">
        <v>6</v>
      </c>
      <c r="L244" s="93" t="n">
        <v>742</v>
      </c>
    </row>
    <row r="245" ht="13.8" customHeight="1" s="82">
      <c r="A245" s="83" t="inlineStr">
        <is>
          <t>335912</t>
        </is>
      </c>
      <c r="B245" s="83" t="inlineStr">
        <is>
          <t>335</t>
        </is>
      </c>
      <c r="C245" s="83" t="inlineStr">
        <is>
          <t>Electrical equipment, appliances, and components</t>
        </is>
      </c>
      <c r="D245" s="83" t="inlineStr">
        <is>
          <t>Primary battery manufacturing</t>
        </is>
      </c>
      <c r="E245" s="84" t="inlineStr">
        <is>
          <t>335912</t>
        </is>
      </c>
      <c r="F245" s="83" t="n">
        <v>0</v>
      </c>
      <c r="G245" s="83" t="n">
        <v>0</v>
      </c>
      <c r="H245" s="83" t="n">
        <v>0</v>
      </c>
      <c r="I245" s="92" t="n">
        <v>1086</v>
      </c>
      <c r="J245" s="83" t="n">
        <v>14</v>
      </c>
      <c r="K245" s="83" t="n">
        <v>-264</v>
      </c>
      <c r="L245" s="93" t="n">
        <v>689</v>
      </c>
    </row>
    <row r="246" ht="13.8" customHeight="1" s="82">
      <c r="A246" s="83" t="inlineStr">
        <is>
          <t>335920</t>
        </is>
      </c>
      <c r="B246" s="83" t="inlineStr">
        <is>
          <t>335</t>
        </is>
      </c>
      <c r="C246" s="83" t="inlineStr">
        <is>
          <t>Electrical equipment, appliances, and components</t>
        </is>
      </c>
      <c r="D246" s="83" t="inlineStr">
        <is>
          <t>Communication and energy wire and cable manufacturing</t>
        </is>
      </c>
      <c r="E246" s="84" t="inlineStr">
        <is>
          <t>335920</t>
        </is>
      </c>
      <c r="F246" s="83" t="n">
        <v>2631</v>
      </c>
      <c r="G246" s="83" t="n">
        <v>74</v>
      </c>
      <c r="H246" s="83" t="n">
        <v>1220</v>
      </c>
      <c r="I246" s="92" t="n">
        <v>2330</v>
      </c>
      <c r="J246" s="83" t="n">
        <v>102</v>
      </c>
      <c r="K246" s="83" t="n">
        <v>7</v>
      </c>
      <c r="L246" s="93" t="n">
        <v>1476</v>
      </c>
    </row>
    <row r="247" ht="13.8" customHeight="1" s="82">
      <c r="A247" s="83" t="inlineStr">
        <is>
          <t>335930</t>
        </is>
      </c>
      <c r="B247" s="83" t="inlineStr">
        <is>
          <t>335</t>
        </is>
      </c>
      <c r="C247" s="83" t="inlineStr">
        <is>
          <t>Electrical equipment, appliances, and components</t>
        </is>
      </c>
      <c r="D247" s="83" t="inlineStr">
        <is>
          <t>Wiring device manufacturing</t>
        </is>
      </c>
      <c r="E247" s="84" t="inlineStr">
        <is>
          <t>335930</t>
        </is>
      </c>
      <c r="F247" s="83" t="n">
        <v>4136</v>
      </c>
      <c r="G247" s="83" t="n">
        <v>116</v>
      </c>
      <c r="H247" s="83" t="n">
        <v>1918</v>
      </c>
      <c r="I247" s="92" t="n">
        <v>3960</v>
      </c>
      <c r="J247" s="83" t="n">
        <v>130</v>
      </c>
      <c r="K247" s="83" t="n">
        <v>16</v>
      </c>
      <c r="L247" s="93" t="n">
        <v>3754</v>
      </c>
    </row>
    <row r="248" ht="13.8" customHeight="1" s="82">
      <c r="A248" s="83" t="inlineStr">
        <is>
          <t>335991</t>
        </is>
      </c>
      <c r="B248" s="83" t="inlineStr">
        <is>
          <t>335</t>
        </is>
      </c>
      <c r="C248" s="83" t="inlineStr">
        <is>
          <t>Electrical equipment, appliances, and components</t>
        </is>
      </c>
      <c r="D248" s="83" t="inlineStr">
        <is>
          <t>Carbon and graphite product manufacturing</t>
        </is>
      </c>
      <c r="E248" s="84" t="inlineStr">
        <is>
          <t>335991</t>
        </is>
      </c>
      <c r="F248" s="83" t="n">
        <v>956</v>
      </c>
      <c r="G248" s="83" t="n">
        <v>27</v>
      </c>
      <c r="H248" s="83" t="n">
        <v>443</v>
      </c>
      <c r="I248" s="92" t="n">
        <v>715</v>
      </c>
      <c r="J248" s="83" t="n">
        <v>30</v>
      </c>
      <c r="K248" s="83" t="n">
        <v>5</v>
      </c>
      <c r="L248" s="93" t="n">
        <v>1131</v>
      </c>
    </row>
    <row r="249" ht="13.8" customHeight="1" s="82">
      <c r="A249" s="83" t="inlineStr">
        <is>
          <t>335999</t>
        </is>
      </c>
      <c r="B249" s="83" t="inlineStr">
        <is>
          <t>335</t>
        </is>
      </c>
      <c r="C249" s="83" t="inlineStr">
        <is>
          <t>Electrical equipment, appliances, and components</t>
        </is>
      </c>
      <c r="D249" s="83" t="inlineStr">
        <is>
          <t>All other miscellaneous electrical equipment and component manufacturing</t>
        </is>
      </c>
      <c r="E249" s="84" t="inlineStr">
        <is>
          <t>335999</t>
        </is>
      </c>
      <c r="F249" s="83" t="n">
        <v>4038</v>
      </c>
      <c r="G249" s="83" t="n">
        <v>114</v>
      </c>
      <c r="H249" s="83" t="n">
        <v>1872</v>
      </c>
      <c r="I249" s="92" t="n">
        <v>2767</v>
      </c>
      <c r="J249" s="83" t="n">
        <v>99</v>
      </c>
      <c r="K249" s="83" t="n">
        <v>1</v>
      </c>
      <c r="L249" s="93" t="n">
        <v>1731</v>
      </c>
    </row>
    <row r="250" ht="13.8" customHeight="1" s="82">
      <c r="A250" s="83" t="inlineStr">
        <is>
          <t>336111</t>
        </is>
      </c>
      <c r="B250" s="83" t="inlineStr">
        <is>
          <t>3361MV</t>
        </is>
      </c>
      <c r="C250" s="83" t="inlineStr">
        <is>
          <t>Motor vehicles, bodies and trailers, and parts</t>
        </is>
      </c>
      <c r="D250" s="83" t="inlineStr">
        <is>
          <t>Automobile manufacturing</t>
        </is>
      </c>
      <c r="E250" s="84" t="inlineStr">
        <is>
          <t>336111</t>
        </is>
      </c>
      <c r="F250" s="83" t="n">
        <v>7943</v>
      </c>
      <c r="G250" s="83" t="n">
        <v>412</v>
      </c>
      <c r="H250" s="83" t="n">
        <v>5779</v>
      </c>
      <c r="I250" s="92" t="n">
        <v>6382</v>
      </c>
      <c r="J250" s="83" t="n">
        <v>376</v>
      </c>
      <c r="K250" s="83" t="n">
        <v>26</v>
      </c>
      <c r="L250" s="93" t="n">
        <v>5192</v>
      </c>
    </row>
    <row r="251" ht="13.8" customHeight="1" s="82">
      <c r="A251" s="83" t="inlineStr">
        <is>
          <t>336112</t>
        </is>
      </c>
      <c r="B251" s="83" t="inlineStr">
        <is>
          <t>3361MV</t>
        </is>
      </c>
      <c r="C251" s="83" t="inlineStr">
        <is>
          <t>Motor vehicles, bodies and trailers, and parts</t>
        </is>
      </c>
      <c r="D251" s="83" t="inlineStr">
        <is>
          <t>Light truck and utility vehicle manufacturing</t>
        </is>
      </c>
      <c r="E251" s="84" t="inlineStr">
        <is>
          <t>336112</t>
        </is>
      </c>
      <c r="F251" s="83" t="n">
        <v>18533</v>
      </c>
      <c r="G251" s="83" t="n">
        <v>962</v>
      </c>
      <c r="H251" s="83" t="n">
        <v>13483</v>
      </c>
      <c r="I251" s="92" t="n">
        <v>14210</v>
      </c>
      <c r="J251" s="83" t="n">
        <v>1366</v>
      </c>
      <c r="K251" s="83" t="n">
        <v>0</v>
      </c>
      <c r="L251" s="93" t="n">
        <v>40156</v>
      </c>
    </row>
    <row r="252" ht="13.8" customHeight="1" s="82">
      <c r="A252" s="83" t="inlineStr">
        <is>
          <t>336120</t>
        </is>
      </c>
      <c r="B252" s="83" t="inlineStr">
        <is>
          <t>3361MV</t>
        </is>
      </c>
      <c r="C252" s="83" t="inlineStr">
        <is>
          <t>Motor vehicles, bodies and trailers, and parts</t>
        </is>
      </c>
      <c r="D252" s="83" t="inlineStr">
        <is>
          <t>Heavy duty truck manufacturing</t>
        </is>
      </c>
      <c r="E252" s="84" t="inlineStr">
        <is>
          <t>336120</t>
        </is>
      </c>
      <c r="F252" s="83" t="n">
        <v>3304</v>
      </c>
      <c r="G252" s="83" t="n">
        <v>171</v>
      </c>
      <c r="H252" s="83" t="n">
        <v>2404</v>
      </c>
      <c r="I252" s="92" t="n">
        <v>2619</v>
      </c>
      <c r="J252" s="83" t="n">
        <v>128</v>
      </c>
      <c r="K252" s="83" t="n">
        <v>3</v>
      </c>
      <c r="L252" s="93" t="n">
        <v>2845</v>
      </c>
    </row>
    <row r="253" ht="13.8" customHeight="1" s="82">
      <c r="A253" s="83" t="inlineStr">
        <is>
          <t>336211</t>
        </is>
      </c>
      <c r="B253" s="83" t="inlineStr">
        <is>
          <t>3361MV</t>
        </is>
      </c>
      <c r="C253" s="83" t="inlineStr">
        <is>
          <t>Motor vehicles, bodies and trailers, and parts</t>
        </is>
      </c>
      <c r="D253" s="83" t="inlineStr">
        <is>
          <t>Motor vehicle body manufacturing</t>
        </is>
      </c>
      <c r="E253" s="84" t="inlineStr">
        <is>
          <t>336211</t>
        </is>
      </c>
      <c r="F253" s="83" t="n">
        <v>4171</v>
      </c>
      <c r="G253" s="83" t="n">
        <v>216</v>
      </c>
      <c r="H253" s="83" t="n">
        <v>3034</v>
      </c>
      <c r="I253" s="92" t="n">
        <v>3658</v>
      </c>
      <c r="J253" s="83" t="n">
        <v>76</v>
      </c>
      <c r="K253" s="83" t="n">
        <v>6</v>
      </c>
      <c r="L253" s="93" t="n">
        <v>385</v>
      </c>
    </row>
    <row r="254" ht="13.8" customHeight="1" s="82">
      <c r="A254" s="83" t="inlineStr">
        <is>
          <t>336212</t>
        </is>
      </c>
      <c r="B254" s="83" t="inlineStr">
        <is>
          <t>3361MV</t>
        </is>
      </c>
      <c r="C254" s="83" t="inlineStr">
        <is>
          <t>Motor vehicles, bodies and trailers, and parts</t>
        </is>
      </c>
      <c r="D254" s="83" t="inlineStr">
        <is>
          <t>Truck trailer manufacturing</t>
        </is>
      </c>
      <c r="E254" s="84" t="inlineStr">
        <is>
          <t>336212</t>
        </is>
      </c>
      <c r="F254" s="83" t="n">
        <v>2856</v>
      </c>
      <c r="G254" s="83" t="n">
        <v>148</v>
      </c>
      <c r="H254" s="83" t="n">
        <v>2078</v>
      </c>
      <c r="I254" s="92" t="n">
        <v>2103</v>
      </c>
      <c r="J254" s="83" t="n">
        <v>53</v>
      </c>
      <c r="K254" s="83" t="n">
        <v>2</v>
      </c>
      <c r="L254" s="93" t="n">
        <v>721</v>
      </c>
    </row>
    <row r="255" ht="13.8" customHeight="1" s="82">
      <c r="A255" s="83" t="inlineStr">
        <is>
          <t>336213</t>
        </is>
      </c>
      <c r="B255" s="83" t="inlineStr">
        <is>
          <t>3361MV</t>
        </is>
      </c>
      <c r="C255" s="83" t="inlineStr">
        <is>
          <t>Motor vehicles, bodies and trailers, and parts</t>
        </is>
      </c>
      <c r="D255" s="83" t="inlineStr">
        <is>
          <t>Motor home manufacturing</t>
        </is>
      </c>
      <c r="E255" s="84" t="inlineStr">
        <is>
          <t>336213</t>
        </is>
      </c>
      <c r="F255" s="83" t="n">
        <v>1694</v>
      </c>
      <c r="G255" s="83" t="n">
        <v>88</v>
      </c>
      <c r="H255" s="83" t="n">
        <v>1232</v>
      </c>
      <c r="I255" s="92" t="n">
        <v>1318</v>
      </c>
      <c r="J255" s="83" t="n">
        <v>27</v>
      </c>
      <c r="K255" s="83" t="n">
        <v>0</v>
      </c>
      <c r="L255" s="93" t="n">
        <v>24</v>
      </c>
    </row>
    <row r="256" ht="13.8" customHeight="1" s="82">
      <c r="A256" s="83" t="inlineStr">
        <is>
          <t>336214</t>
        </is>
      </c>
      <c r="B256" s="83" t="inlineStr">
        <is>
          <t>3361MV</t>
        </is>
      </c>
      <c r="C256" s="83" t="inlineStr">
        <is>
          <t>Motor vehicles, bodies and trailers, and parts</t>
        </is>
      </c>
      <c r="D256" s="83" t="inlineStr">
        <is>
          <t>Travel trailer and camper manufacturing</t>
        </is>
      </c>
      <c r="E256" s="84" t="inlineStr">
        <is>
          <t>336214</t>
        </is>
      </c>
      <c r="F256" s="83" t="n">
        <v>4268</v>
      </c>
      <c r="G256" s="83" t="n">
        <v>222</v>
      </c>
      <c r="H256" s="83" t="n">
        <v>3105</v>
      </c>
      <c r="I256" s="92" t="n">
        <v>2885</v>
      </c>
      <c r="J256" s="83" t="n">
        <v>85</v>
      </c>
      <c r="K256" s="83" t="n">
        <v>3</v>
      </c>
      <c r="L256" s="93" t="n">
        <v>3094</v>
      </c>
    </row>
    <row r="257" ht="13.8" customHeight="1" s="82">
      <c r="A257" s="83" t="inlineStr">
        <is>
          <t>336310</t>
        </is>
      </c>
      <c r="B257" s="83" t="inlineStr">
        <is>
          <t>3361MV</t>
        </is>
      </c>
      <c r="C257" s="83" t="inlineStr">
        <is>
          <t>Motor vehicles, bodies and trailers, and parts</t>
        </is>
      </c>
      <c r="D257" s="83" t="inlineStr">
        <is>
          <t>Motor vehicle gasoline engine and engine parts manufacturing</t>
        </is>
      </c>
      <c r="E257" s="84" t="inlineStr">
        <is>
          <t>336310</t>
        </is>
      </c>
      <c r="F257" s="83" t="n">
        <v>4896</v>
      </c>
      <c r="G257" s="83" t="n">
        <v>254</v>
      </c>
      <c r="H257" s="83" t="n">
        <v>3562</v>
      </c>
      <c r="I257" s="92" t="n">
        <v>5110</v>
      </c>
      <c r="J257" s="83" t="n">
        <v>203</v>
      </c>
      <c r="K257" s="83" t="n">
        <v>10</v>
      </c>
      <c r="L257" s="93" t="n">
        <v>3493</v>
      </c>
    </row>
    <row r="258" ht="13.8" customHeight="1" s="82">
      <c r="A258" s="83" t="inlineStr">
        <is>
          <t>336320</t>
        </is>
      </c>
      <c r="B258" s="83" t="inlineStr">
        <is>
          <t>3361MV</t>
        </is>
      </c>
      <c r="C258" s="83" t="inlineStr">
        <is>
          <t>Motor vehicles, bodies and trailers, and parts</t>
        </is>
      </c>
      <c r="D258" s="83" t="inlineStr">
        <is>
          <t>Motor vehicle electrical and electronic equipment manufacturing</t>
        </is>
      </c>
      <c r="E258" s="84" t="inlineStr">
        <is>
          <t>336320</t>
        </is>
      </c>
      <c r="F258" s="83" t="n">
        <v>4973</v>
      </c>
      <c r="G258" s="83" t="n">
        <v>258</v>
      </c>
      <c r="H258" s="83" t="n">
        <v>3618</v>
      </c>
      <c r="I258" s="92" t="n">
        <v>4364</v>
      </c>
      <c r="J258" s="83" t="n">
        <v>122</v>
      </c>
      <c r="K258" s="83" t="n">
        <v>24</v>
      </c>
      <c r="L258" s="93" t="n">
        <v>1857</v>
      </c>
    </row>
    <row r="259" ht="13.8" customHeight="1" s="82">
      <c r="A259" s="83" t="inlineStr">
        <is>
          <t>336350</t>
        </is>
      </c>
      <c r="B259" s="83" t="inlineStr">
        <is>
          <t>3361MV</t>
        </is>
      </c>
      <c r="C259" s="83" t="inlineStr">
        <is>
          <t>Motor vehicles, bodies and trailers, and parts</t>
        </is>
      </c>
      <c r="D259" s="83" t="inlineStr">
        <is>
          <t>Motor vehicle transmission and power train parts manufacturing</t>
        </is>
      </c>
      <c r="E259" s="84" t="inlineStr">
        <is>
          <t>336350</t>
        </is>
      </c>
      <c r="F259" s="83" t="n">
        <v>7158</v>
      </c>
      <c r="G259" s="83" t="n">
        <v>372</v>
      </c>
      <c r="H259" s="83" t="n">
        <v>5208</v>
      </c>
      <c r="I259" s="92" t="n">
        <v>7132</v>
      </c>
      <c r="J259" s="83" t="n">
        <v>210</v>
      </c>
      <c r="K259" s="83" t="n">
        <v>13</v>
      </c>
      <c r="L259" s="93" t="n">
        <v>5151</v>
      </c>
    </row>
    <row r="260" ht="13.8" customHeight="1" s="82">
      <c r="A260" s="83" t="inlineStr">
        <is>
          <t>336360</t>
        </is>
      </c>
      <c r="B260" s="83" t="inlineStr">
        <is>
          <t>3361MV</t>
        </is>
      </c>
      <c r="C260" s="83" t="inlineStr">
        <is>
          <t>Motor vehicles, bodies and trailers, and parts</t>
        </is>
      </c>
      <c r="D260" s="83" t="inlineStr">
        <is>
          <t>Motor vehicle seating and interior trim manufacturing</t>
        </is>
      </c>
      <c r="E260" s="84" t="inlineStr">
        <is>
          <t>336360</t>
        </is>
      </c>
      <c r="F260" s="83" t="n">
        <v>5376</v>
      </c>
      <c r="G260" s="83" t="n">
        <v>279</v>
      </c>
      <c r="H260" s="83" t="n">
        <v>3911</v>
      </c>
      <c r="I260" s="92" t="n">
        <v>4702</v>
      </c>
      <c r="J260" s="83" t="n">
        <v>161</v>
      </c>
      <c r="K260" s="83" t="n">
        <v>0</v>
      </c>
      <c r="L260" s="93" t="n">
        <v>3241</v>
      </c>
    </row>
    <row r="261" ht="13.8" customHeight="1" s="82">
      <c r="A261" s="83" t="inlineStr">
        <is>
          <t>336370</t>
        </is>
      </c>
      <c r="B261" s="83" t="inlineStr">
        <is>
          <t>3361MV</t>
        </is>
      </c>
      <c r="C261" s="83" t="inlineStr">
        <is>
          <t>Motor vehicles, bodies and trailers, and parts</t>
        </is>
      </c>
      <c r="D261" s="83" t="inlineStr">
        <is>
          <t>Motor vehicle metal stamping</t>
        </is>
      </c>
      <c r="E261" s="84" t="inlineStr">
        <is>
          <t>336370</t>
        </is>
      </c>
      <c r="F261" s="83" t="n">
        <v>6640</v>
      </c>
      <c r="G261" s="83" t="n">
        <v>345</v>
      </c>
      <c r="H261" s="83" t="n">
        <v>4831</v>
      </c>
      <c r="I261" s="92" t="n">
        <v>6486</v>
      </c>
      <c r="J261" s="83" t="n">
        <v>192</v>
      </c>
      <c r="K261" s="83" t="n">
        <v>12</v>
      </c>
      <c r="L261" s="93" t="n">
        <v>4501</v>
      </c>
    </row>
    <row r="262" ht="13.8" customHeight="1" s="82">
      <c r="A262" s="83" t="inlineStr">
        <is>
          <t>336390</t>
        </is>
      </c>
      <c r="B262" s="83" t="inlineStr">
        <is>
          <t>3361MV</t>
        </is>
      </c>
      <c r="C262" s="83" t="inlineStr">
        <is>
          <t>Motor vehicles, bodies and trailers, and parts</t>
        </is>
      </c>
      <c r="D262" s="83" t="inlineStr">
        <is>
          <t>Other motor vehicle parts manufacturing</t>
        </is>
      </c>
      <c r="E262" s="84" t="inlineStr">
        <is>
          <t>336390</t>
        </is>
      </c>
      <c r="F262" s="83" t="n">
        <v>11569</v>
      </c>
      <c r="G262" s="83" t="n">
        <v>600</v>
      </c>
      <c r="H262" s="83" t="n">
        <v>8417</v>
      </c>
      <c r="I262" s="92" t="n">
        <v>9975</v>
      </c>
      <c r="J262" s="83" t="n">
        <v>337</v>
      </c>
      <c r="K262" s="83" t="n">
        <v>91</v>
      </c>
      <c r="L262" s="93" t="n">
        <v>7606</v>
      </c>
    </row>
    <row r="263" ht="13.8" customHeight="1" s="82">
      <c r="A263" s="83" t="inlineStr">
        <is>
          <t>3363A0</t>
        </is>
      </c>
      <c r="B263" s="83" t="inlineStr">
        <is>
          <t>3361MV</t>
        </is>
      </c>
      <c r="C263" s="83" t="inlineStr">
        <is>
          <t>Motor vehicles, bodies and trailers, and parts</t>
        </is>
      </c>
      <c r="D263" s="83" t="inlineStr">
        <is>
          <t>Motor vehicle steering, suspension component (except spring), and brake systems manufacturing</t>
        </is>
      </c>
      <c r="E263" s="84" t="inlineStr">
        <is>
          <t>3363A0</t>
        </is>
      </c>
      <c r="F263" s="83" t="n">
        <v>4517</v>
      </c>
      <c r="G263" s="83" t="n">
        <v>234</v>
      </c>
      <c r="H263" s="83" t="n">
        <v>3286</v>
      </c>
      <c r="I263" s="92" t="n">
        <v>4394</v>
      </c>
      <c r="J263" s="83" t="n">
        <v>143</v>
      </c>
      <c r="K263" s="83" t="n">
        <v>23</v>
      </c>
      <c r="L263" s="93" t="n">
        <v>1829</v>
      </c>
    </row>
    <row r="264" ht="13.8" customHeight="1" s="82">
      <c r="A264" s="83" t="inlineStr">
        <is>
          <t>336411</t>
        </is>
      </c>
      <c r="B264" s="83" t="inlineStr">
        <is>
          <t>3364OT</t>
        </is>
      </c>
      <c r="C264" s="83" t="inlineStr">
        <is>
          <t>Other transportation equipment</t>
        </is>
      </c>
      <c r="D264" s="83" t="inlineStr">
        <is>
          <t>Aircraft manufacturing</t>
        </is>
      </c>
      <c r="E264" s="84" t="inlineStr">
        <is>
          <t>336411</t>
        </is>
      </c>
      <c r="F264" s="83" t="n">
        <v>31714</v>
      </c>
      <c r="G264" s="83" t="n">
        <v>1280</v>
      </c>
      <c r="H264" s="83" t="n">
        <v>27357</v>
      </c>
      <c r="I264" s="92" t="n">
        <v>29130</v>
      </c>
      <c r="J264" s="83" t="n">
        <v>1185</v>
      </c>
      <c r="K264" s="83" t="n">
        <v>29</v>
      </c>
      <c r="L264" s="93" t="n">
        <v>44108</v>
      </c>
    </row>
    <row r="265" ht="13.8" customHeight="1" s="82">
      <c r="A265" s="83" t="inlineStr">
        <is>
          <t>336412</t>
        </is>
      </c>
      <c r="B265" s="83" t="inlineStr">
        <is>
          <t>3364OT</t>
        </is>
      </c>
      <c r="C265" s="83" t="inlineStr">
        <is>
          <t>Other transportation equipment</t>
        </is>
      </c>
      <c r="D265" s="83" t="inlineStr">
        <is>
          <t>Aircraft engine and engine parts manufacturing</t>
        </is>
      </c>
      <c r="E265" s="84" t="inlineStr">
        <is>
          <t>336412</t>
        </is>
      </c>
      <c r="F265" s="83" t="n">
        <v>10125</v>
      </c>
      <c r="G265" s="83" t="n">
        <v>409</v>
      </c>
      <c r="H265" s="83" t="n">
        <v>8734</v>
      </c>
      <c r="I265" s="92" t="n">
        <v>9060</v>
      </c>
      <c r="J265" s="83" t="n">
        <v>311</v>
      </c>
      <c r="K265" s="83" t="n">
        <v>24</v>
      </c>
      <c r="L265" s="93" t="n">
        <v>8994</v>
      </c>
    </row>
    <row r="266" ht="13.8" customHeight="1" s="82">
      <c r="A266" s="83" t="inlineStr">
        <is>
          <t>336413</t>
        </is>
      </c>
      <c r="B266" s="83" t="inlineStr">
        <is>
          <t>3364OT</t>
        </is>
      </c>
      <c r="C266" s="83" t="inlineStr">
        <is>
          <t>Other transportation equipment</t>
        </is>
      </c>
      <c r="D266" s="83" t="inlineStr">
        <is>
          <t>Other aircraft parts and auxiliary equipment manufacturing</t>
        </is>
      </c>
      <c r="E266" s="84" t="inlineStr">
        <is>
          <t>336413</t>
        </is>
      </c>
      <c r="F266" s="83" t="n">
        <v>10347</v>
      </c>
      <c r="G266" s="83" t="n">
        <v>417</v>
      </c>
      <c r="H266" s="83" t="n">
        <v>8925</v>
      </c>
      <c r="I266" s="92" t="n">
        <v>9554</v>
      </c>
      <c r="J266" s="83" t="n">
        <v>293</v>
      </c>
      <c r="K266" s="83" t="n">
        <v>8</v>
      </c>
      <c r="L266" s="93" t="n">
        <v>7669</v>
      </c>
    </row>
    <row r="267" ht="13.8" customHeight="1" s="82">
      <c r="A267" s="83" t="inlineStr">
        <is>
          <t>336414</t>
        </is>
      </c>
      <c r="B267" s="83" t="inlineStr">
        <is>
          <t>3364OT</t>
        </is>
      </c>
      <c r="C267" s="83" t="inlineStr">
        <is>
          <t>Other transportation equipment</t>
        </is>
      </c>
      <c r="D267" s="83" t="inlineStr">
        <is>
          <t>Guided missile and space vehicle manufacturing</t>
        </is>
      </c>
      <c r="E267" s="84" t="inlineStr">
        <is>
          <t>336414</t>
        </is>
      </c>
      <c r="F267" s="83" t="n">
        <v>13262</v>
      </c>
      <c r="G267" s="83" t="n">
        <v>535</v>
      </c>
      <c r="H267" s="83" t="n">
        <v>11440</v>
      </c>
      <c r="I267" s="92" t="n">
        <v>9833</v>
      </c>
      <c r="J267" s="83" t="n">
        <v>163</v>
      </c>
      <c r="K267" s="83" t="n">
        <v>0</v>
      </c>
      <c r="L267" s="93" t="n">
        <v>81</v>
      </c>
    </row>
    <row r="268" ht="13.8" customHeight="1" s="82">
      <c r="A268" s="83" t="inlineStr">
        <is>
          <t>33641A</t>
        </is>
      </c>
      <c r="B268" s="83" t="inlineStr">
        <is>
          <t>3364OT</t>
        </is>
      </c>
      <c r="C268" s="83" t="inlineStr">
        <is>
          <t>Other transportation equipment</t>
        </is>
      </c>
      <c r="D268" s="83" t="inlineStr">
        <is>
          <t>Propulsion units and parts for space vehicles and guided missiles</t>
        </is>
      </c>
      <c r="E268" s="84" t="inlineStr">
        <is>
          <t>33641A</t>
        </is>
      </c>
      <c r="F268" s="83" t="n">
        <v>3046</v>
      </c>
      <c r="G268" s="83" t="n">
        <v>123</v>
      </c>
      <c r="H268" s="83" t="n">
        <v>2628</v>
      </c>
      <c r="I268" s="92" t="n">
        <v>1973</v>
      </c>
      <c r="J268" s="83" t="n">
        <v>78</v>
      </c>
      <c r="K268" s="83" t="n">
        <v>0</v>
      </c>
      <c r="L268" s="93" t="n">
        <v>430</v>
      </c>
    </row>
    <row r="269" ht="13.8" customHeight="1" s="82">
      <c r="A269" s="83" t="inlineStr">
        <is>
          <t>336500</t>
        </is>
      </c>
      <c r="B269" s="83" t="inlineStr">
        <is>
          <t>3364OT</t>
        </is>
      </c>
      <c r="C269" s="83" t="inlineStr">
        <is>
          <t>Other transportation equipment</t>
        </is>
      </c>
      <c r="D269" s="83" t="inlineStr">
        <is>
          <t>Railroad rolling stock manufacturing</t>
        </is>
      </c>
      <c r="E269" s="84" t="inlineStr">
        <is>
          <t>336500</t>
        </is>
      </c>
      <c r="F269" s="83" t="n">
        <v>1985</v>
      </c>
      <c r="G269" s="83" t="n">
        <v>80</v>
      </c>
      <c r="H269" s="83" t="n">
        <v>1712</v>
      </c>
      <c r="I269" s="92" t="n">
        <v>1480</v>
      </c>
      <c r="J269" s="83" t="n">
        <v>105</v>
      </c>
      <c r="K269" s="83" t="n">
        <v>2</v>
      </c>
      <c r="L269" s="93" t="n">
        <v>1550</v>
      </c>
    </row>
    <row r="270" ht="13.8" customHeight="1" s="82">
      <c r="A270" s="83" t="inlineStr">
        <is>
          <t>336611</t>
        </is>
      </c>
      <c r="B270" s="83" t="inlineStr">
        <is>
          <t>3364OT</t>
        </is>
      </c>
      <c r="C270" s="83" t="inlineStr">
        <is>
          <t>Other transportation equipment</t>
        </is>
      </c>
      <c r="D270" s="83" t="inlineStr">
        <is>
          <t>Ship building and repairing</t>
        </is>
      </c>
      <c r="E270" s="84" t="inlineStr">
        <is>
          <t>336611</t>
        </is>
      </c>
      <c r="F270" s="83" t="n">
        <v>13607</v>
      </c>
      <c r="G270" s="83" t="n">
        <v>549</v>
      </c>
      <c r="H270" s="83" t="n">
        <v>11738</v>
      </c>
      <c r="I270" s="92" t="n">
        <v>10395</v>
      </c>
      <c r="J270" s="83" t="n">
        <v>219</v>
      </c>
      <c r="K270" s="83" t="n">
        <v>0</v>
      </c>
      <c r="L270" s="93" t="n">
        <v>1610</v>
      </c>
    </row>
    <row r="271" ht="13.8" customHeight="1" s="82">
      <c r="A271" s="83" t="inlineStr">
        <is>
          <t>336612</t>
        </is>
      </c>
      <c r="B271" s="83" t="inlineStr">
        <is>
          <t>3364OT</t>
        </is>
      </c>
      <c r="C271" s="83" t="inlineStr">
        <is>
          <t>Other transportation equipment</t>
        </is>
      </c>
      <c r="D271" s="83" t="inlineStr">
        <is>
          <t>Boat building</t>
        </is>
      </c>
      <c r="E271" s="84" t="inlineStr">
        <is>
          <t>336612</t>
        </is>
      </c>
      <c r="F271" s="83" t="n">
        <v>3462</v>
      </c>
      <c r="G271" s="83" t="n">
        <v>140</v>
      </c>
      <c r="H271" s="83" t="n">
        <v>2987</v>
      </c>
      <c r="I271" s="92" t="n">
        <v>2055</v>
      </c>
      <c r="J271" s="83" t="n">
        <v>95</v>
      </c>
      <c r="K271" s="83" t="n">
        <v>18</v>
      </c>
      <c r="L271" s="93" t="n">
        <v>581</v>
      </c>
    </row>
    <row r="272" ht="13.8" customHeight="1" s="82">
      <c r="A272" s="83" t="inlineStr">
        <is>
          <t>336991</t>
        </is>
      </c>
      <c r="B272" s="83" t="inlineStr">
        <is>
          <t>3364OT</t>
        </is>
      </c>
      <c r="C272" s="83" t="inlineStr">
        <is>
          <t>Other transportation equipment</t>
        </is>
      </c>
      <c r="D272" s="83" t="inlineStr">
        <is>
          <t>Motorcycle, bicycle, and parts manufacturing</t>
        </is>
      </c>
      <c r="E272" s="84" t="inlineStr">
        <is>
          <t>336991</t>
        </is>
      </c>
      <c r="F272" s="83" t="n">
        <v>937</v>
      </c>
      <c r="G272" s="83" t="n">
        <v>38</v>
      </c>
      <c r="H272" s="83" t="n">
        <v>808</v>
      </c>
      <c r="I272" s="92" t="n">
        <v>2188</v>
      </c>
      <c r="J272" s="83" t="n">
        <v>57</v>
      </c>
      <c r="K272" s="83" t="n">
        <v>1</v>
      </c>
      <c r="L272" s="93" t="n">
        <v>1466</v>
      </c>
    </row>
    <row r="273" ht="13.8" customHeight="1" s="82">
      <c r="A273" s="83" t="inlineStr">
        <is>
          <t>336992</t>
        </is>
      </c>
      <c r="B273" s="83" t="inlineStr">
        <is>
          <t>3364OT</t>
        </is>
      </c>
      <c r="C273" s="83" t="inlineStr">
        <is>
          <t>Other transportation equipment</t>
        </is>
      </c>
      <c r="D273" s="83" t="inlineStr">
        <is>
          <t>Military armored vehicle, tank, and tank component manufacturing</t>
        </is>
      </c>
      <c r="E273" s="84" t="inlineStr">
        <is>
          <t>336992</t>
        </is>
      </c>
      <c r="F273" s="83" t="n">
        <v>851</v>
      </c>
      <c r="G273" s="83" t="n">
        <v>34</v>
      </c>
      <c r="H273" s="83" t="n">
        <v>734</v>
      </c>
      <c r="I273" s="92" t="n">
        <v>1840</v>
      </c>
      <c r="J273" s="83" t="n">
        <v>63</v>
      </c>
      <c r="K273" s="83" t="n">
        <v>17</v>
      </c>
      <c r="L273" s="93" t="n">
        <v>1488</v>
      </c>
    </row>
    <row r="274" ht="13.8" customHeight="1" s="82">
      <c r="A274" s="83" t="inlineStr">
        <is>
          <t>336999</t>
        </is>
      </c>
      <c r="B274" s="83" t="inlineStr">
        <is>
          <t>3364OT</t>
        </is>
      </c>
      <c r="C274" s="83" t="inlineStr">
        <is>
          <t>Other transportation equipment</t>
        </is>
      </c>
      <c r="D274" s="83" t="inlineStr">
        <is>
          <t>All other transportation equipment manufacturing</t>
        </is>
      </c>
      <c r="E274" s="84" t="inlineStr">
        <is>
          <t>336999</t>
        </is>
      </c>
      <c r="F274" s="83" t="n">
        <v>1572</v>
      </c>
      <c r="G274" s="83" t="n">
        <v>63</v>
      </c>
      <c r="H274" s="83" t="n">
        <v>1356</v>
      </c>
      <c r="I274" s="92" t="n">
        <v>1457</v>
      </c>
      <c r="J274" s="83" t="n">
        <v>72</v>
      </c>
      <c r="K274" s="83" t="n">
        <v>1</v>
      </c>
      <c r="L274" s="93" t="n">
        <v>1229</v>
      </c>
    </row>
    <row r="275" ht="13.8" customHeight="1" s="82">
      <c r="A275" s="83" t="inlineStr">
        <is>
          <t>337110</t>
        </is>
      </c>
      <c r="B275" s="83" t="inlineStr">
        <is>
          <t>337</t>
        </is>
      </c>
      <c r="C275" s="83" t="inlineStr">
        <is>
          <t>Furniture and related products</t>
        </is>
      </c>
      <c r="D275" s="83" t="inlineStr">
        <is>
          <t>Wood kitchen cabinet and countertop manufacturing</t>
        </is>
      </c>
      <c r="E275" s="84" t="inlineStr">
        <is>
          <t>337110</t>
        </is>
      </c>
      <c r="F275" s="83" t="n">
        <v>7696</v>
      </c>
      <c r="G275" s="83" t="n">
        <v>161</v>
      </c>
      <c r="H275" s="83" t="n">
        <v>1816</v>
      </c>
      <c r="I275" s="92" t="n">
        <v>6033</v>
      </c>
      <c r="J275" s="83" t="n">
        <v>74</v>
      </c>
      <c r="K275" s="83" t="n">
        <v>1</v>
      </c>
      <c r="L275" s="93" t="n">
        <v>623</v>
      </c>
    </row>
    <row r="276" ht="13.8" customHeight="1" s="82">
      <c r="A276" s="83" t="inlineStr">
        <is>
          <t>337121</t>
        </is>
      </c>
      <c r="B276" s="83" t="inlineStr">
        <is>
          <t>337</t>
        </is>
      </c>
      <c r="C276" s="83" t="inlineStr">
        <is>
          <t>Furniture and related products</t>
        </is>
      </c>
      <c r="D276" s="83" t="inlineStr">
        <is>
          <t>Upholstered household furniture manufacturing</t>
        </is>
      </c>
      <c r="E276" s="84" t="inlineStr">
        <is>
          <t>337121</t>
        </is>
      </c>
      <c r="F276" s="83" t="n">
        <v>3104</v>
      </c>
      <c r="G276" s="83" t="n">
        <v>65</v>
      </c>
      <c r="H276" s="83" t="n">
        <v>732</v>
      </c>
      <c r="I276" s="92" t="n">
        <v>2962</v>
      </c>
      <c r="J276" s="83" t="n">
        <v>63</v>
      </c>
      <c r="K276" s="83" t="n">
        <v>9</v>
      </c>
      <c r="L276" s="93" t="n">
        <v>1182</v>
      </c>
    </row>
    <row r="277" ht="13.8" customHeight="1" s="82">
      <c r="A277" s="83" t="inlineStr">
        <is>
          <t>337122</t>
        </is>
      </c>
      <c r="B277" s="83" t="inlineStr">
        <is>
          <t>337</t>
        </is>
      </c>
      <c r="C277" s="83" t="inlineStr">
        <is>
          <t>Furniture and related products</t>
        </is>
      </c>
      <c r="D277" s="83" t="inlineStr">
        <is>
          <t>Nonupholstered wood household furniture manufacturing</t>
        </is>
      </c>
      <c r="E277" s="84" t="inlineStr">
        <is>
          <t>337122</t>
        </is>
      </c>
      <c r="F277" s="83" t="n">
        <v>1768</v>
      </c>
      <c r="G277" s="83" t="n">
        <v>37</v>
      </c>
      <c r="H277" s="83" t="n">
        <v>417</v>
      </c>
      <c r="I277" s="92" t="n">
        <v>1502</v>
      </c>
      <c r="J277" s="83" t="n">
        <v>17</v>
      </c>
      <c r="K277" s="83" t="n">
        <v>3</v>
      </c>
      <c r="L277" s="93" t="n">
        <v>91</v>
      </c>
    </row>
    <row r="278" ht="13.8" customHeight="1" s="82">
      <c r="A278" s="83" t="inlineStr">
        <is>
          <t>337127</t>
        </is>
      </c>
      <c r="B278" s="83" t="inlineStr">
        <is>
          <t>337</t>
        </is>
      </c>
      <c r="C278" s="83" t="inlineStr">
        <is>
          <t>Furniture and related products</t>
        </is>
      </c>
      <c r="D278" s="83" t="inlineStr">
        <is>
          <t>Institutional furniture manufacturing</t>
        </is>
      </c>
      <c r="E278" s="84" t="inlineStr">
        <is>
          <t>337127</t>
        </is>
      </c>
      <c r="F278" s="83" t="n">
        <v>1649</v>
      </c>
      <c r="G278" s="83" t="n">
        <v>35</v>
      </c>
      <c r="H278" s="83" t="n">
        <v>389</v>
      </c>
      <c r="I278" s="92" t="n">
        <v>1514</v>
      </c>
      <c r="J278" s="83" t="n">
        <v>24</v>
      </c>
      <c r="K278" s="83" t="n">
        <v>3</v>
      </c>
      <c r="L278" s="93" t="n">
        <v>380</v>
      </c>
    </row>
    <row r="279" ht="13.8" customHeight="1" s="82">
      <c r="A279" s="83" t="inlineStr">
        <is>
          <t>33712N</t>
        </is>
      </c>
      <c r="B279" s="83" t="inlineStr">
        <is>
          <t>337</t>
        </is>
      </c>
      <c r="C279" s="83" t="inlineStr">
        <is>
          <t>Furniture and related products</t>
        </is>
      </c>
      <c r="D279" s="83" t="inlineStr">
        <is>
          <t>Other household nonupholstered furniture</t>
        </is>
      </c>
      <c r="E279" s="84" t="inlineStr">
        <is>
          <t>33712N</t>
        </is>
      </c>
      <c r="F279" s="83" t="n">
        <v>760</v>
      </c>
      <c r="G279" s="83" t="n">
        <v>16</v>
      </c>
      <c r="H279" s="83" t="n">
        <v>179</v>
      </c>
      <c r="I279" s="92" t="n">
        <v>638</v>
      </c>
      <c r="J279" s="83" t="n">
        <v>16</v>
      </c>
      <c r="K279" s="83" t="n">
        <v>6</v>
      </c>
      <c r="L279" s="93" t="n">
        <v>320</v>
      </c>
    </row>
    <row r="280" ht="13.8" customHeight="1" s="82">
      <c r="A280" s="83" t="inlineStr">
        <is>
          <t>337215</t>
        </is>
      </c>
      <c r="B280" s="83" t="inlineStr">
        <is>
          <t>337</t>
        </is>
      </c>
      <c r="C280" s="83" t="inlineStr">
        <is>
          <t>Furniture and related products</t>
        </is>
      </c>
      <c r="D280" s="83" t="inlineStr">
        <is>
          <t>Showcase, partition, shelving, and locker manufacturing</t>
        </is>
      </c>
      <c r="E280" s="84" t="inlineStr">
        <is>
          <t>337215</t>
        </is>
      </c>
      <c r="F280" s="83" t="n">
        <v>2740</v>
      </c>
      <c r="G280" s="83" t="n">
        <v>57</v>
      </c>
      <c r="H280" s="83" t="n">
        <v>647</v>
      </c>
      <c r="I280" s="92" t="n">
        <v>2698</v>
      </c>
      <c r="J280" s="83" t="n">
        <v>35</v>
      </c>
      <c r="K280" s="83" t="n">
        <v>7</v>
      </c>
      <c r="L280" s="93" t="n">
        <v>288</v>
      </c>
    </row>
    <row r="281" ht="13.8" customHeight="1" s="82">
      <c r="A281" s="83" t="inlineStr">
        <is>
          <t>33721A</t>
        </is>
      </c>
      <c r="B281" s="83" t="inlineStr">
        <is>
          <t>337</t>
        </is>
      </c>
      <c r="C281" s="83" t="inlineStr">
        <is>
          <t>Furniture and related products</t>
        </is>
      </c>
      <c r="D281" s="83" t="inlineStr">
        <is>
          <t>Office furniture and custom architectural woodwork and millwork manufacturing</t>
        </is>
      </c>
      <c r="E281" s="84" t="inlineStr">
        <is>
          <t>33721A</t>
        </is>
      </c>
      <c r="F281" s="83" t="n">
        <v>4833</v>
      </c>
      <c r="G281" s="83" t="n">
        <v>101</v>
      </c>
      <c r="H281" s="83" t="n">
        <v>1141</v>
      </c>
      <c r="I281" s="92" t="n">
        <v>4556</v>
      </c>
      <c r="J281" s="83" t="n">
        <v>97</v>
      </c>
      <c r="K281" s="83" t="n">
        <v>11</v>
      </c>
      <c r="L281" s="93" t="n">
        <v>2456</v>
      </c>
    </row>
    <row r="282" ht="13.8" customHeight="1" s="82">
      <c r="A282" s="83" t="inlineStr">
        <is>
          <t>337900</t>
        </is>
      </c>
      <c r="B282" s="83" t="inlineStr">
        <is>
          <t>337</t>
        </is>
      </c>
      <c r="C282" s="83" t="inlineStr">
        <is>
          <t>Furniture and related products</t>
        </is>
      </c>
      <c r="D282" s="83" t="inlineStr">
        <is>
          <t>Other furniture related product manufacturing</t>
        </is>
      </c>
      <c r="E282" s="84" t="inlineStr">
        <is>
          <t>337900</t>
        </is>
      </c>
      <c r="F282" s="83" t="n">
        <v>2294</v>
      </c>
      <c r="G282" s="83" t="n">
        <v>48</v>
      </c>
      <c r="H282" s="83" t="n">
        <v>541</v>
      </c>
      <c r="I282" s="92" t="n">
        <v>2055</v>
      </c>
      <c r="J282" s="83" t="n">
        <v>49</v>
      </c>
      <c r="K282" s="83" t="n">
        <v>3</v>
      </c>
      <c r="L282" s="93" t="n">
        <v>1181</v>
      </c>
    </row>
    <row r="283" ht="13.8" customHeight="1" s="82">
      <c r="A283" s="83" t="inlineStr">
        <is>
          <t>339112</t>
        </is>
      </c>
      <c r="B283" s="83" t="inlineStr">
        <is>
          <t>339</t>
        </is>
      </c>
      <c r="C283" s="83" t="inlineStr">
        <is>
          <t>Miscellaneous manufacturing</t>
        </is>
      </c>
      <c r="D283" s="83" t="inlineStr">
        <is>
          <t>Surgical and medical instrument manufacturing</t>
        </is>
      </c>
      <c r="E283" s="84" t="inlineStr">
        <is>
          <t>339112</t>
        </is>
      </c>
      <c r="F283" s="83" t="n">
        <v>18739</v>
      </c>
      <c r="G283" s="83" t="n">
        <v>644</v>
      </c>
      <c r="H283" s="83" t="n">
        <v>11497</v>
      </c>
      <c r="I283" s="92" t="n">
        <v>15116</v>
      </c>
      <c r="J283" s="83" t="n">
        <v>418</v>
      </c>
      <c r="K283" s="83" t="n">
        <v>21</v>
      </c>
      <c r="L283" s="93" t="n">
        <v>11929</v>
      </c>
    </row>
    <row r="284" ht="13.8" customHeight="1" s="82">
      <c r="A284" s="83" t="inlineStr">
        <is>
          <t>339113</t>
        </is>
      </c>
      <c r="B284" s="83" t="inlineStr">
        <is>
          <t>339</t>
        </is>
      </c>
      <c r="C284" s="83" t="inlineStr">
        <is>
          <t>Miscellaneous manufacturing</t>
        </is>
      </c>
      <c r="D284" s="83" t="inlineStr">
        <is>
          <t>Surgical appliance and supplies manufacturing</t>
        </is>
      </c>
      <c r="E284" s="84" t="inlineStr">
        <is>
          <t>339113</t>
        </is>
      </c>
      <c r="F284" s="83" t="n">
        <v>12478</v>
      </c>
      <c r="G284" s="83" t="n">
        <v>429</v>
      </c>
      <c r="H284" s="83" t="n">
        <v>7655</v>
      </c>
      <c r="I284" s="92" t="n">
        <v>11166</v>
      </c>
      <c r="J284" s="83" t="n">
        <v>345</v>
      </c>
      <c r="K284" s="83" t="n">
        <v>51</v>
      </c>
      <c r="L284" s="93" t="n">
        <v>9031</v>
      </c>
    </row>
    <row r="285" ht="13.8" customHeight="1" s="82">
      <c r="A285" s="83" t="inlineStr">
        <is>
          <t>339114</t>
        </is>
      </c>
      <c r="B285" s="83" t="inlineStr">
        <is>
          <t>339</t>
        </is>
      </c>
      <c r="C285" s="83" t="inlineStr">
        <is>
          <t>Miscellaneous manufacturing</t>
        </is>
      </c>
      <c r="D285" s="83" t="inlineStr">
        <is>
          <t>Dental equipment and supplies manufacturing</t>
        </is>
      </c>
      <c r="E285" s="84" t="inlineStr">
        <is>
          <t>339114</t>
        </is>
      </c>
      <c r="F285" s="83" t="n">
        <v>1705</v>
      </c>
      <c r="G285" s="83" t="n">
        <v>59</v>
      </c>
      <c r="H285" s="83" t="n">
        <v>1046</v>
      </c>
      <c r="I285" s="92" t="n">
        <v>1477</v>
      </c>
      <c r="J285" s="83" t="n">
        <v>50</v>
      </c>
      <c r="K285" s="83" t="n">
        <v>10</v>
      </c>
      <c r="L285" s="93" t="n">
        <v>966</v>
      </c>
    </row>
    <row r="286" ht="13.8" customHeight="1" s="82">
      <c r="A286" s="83" t="inlineStr">
        <is>
          <t>339115</t>
        </is>
      </c>
      <c r="B286" s="83" t="inlineStr">
        <is>
          <t>339</t>
        </is>
      </c>
      <c r="C286" s="83" t="inlineStr">
        <is>
          <t>Miscellaneous manufacturing</t>
        </is>
      </c>
      <c r="D286" s="83" t="inlineStr">
        <is>
          <t>Ophthalmic goods manufacturing</t>
        </is>
      </c>
      <c r="E286" s="84" t="inlineStr">
        <is>
          <t>339115</t>
        </is>
      </c>
      <c r="F286" s="83" t="n">
        <v>2572</v>
      </c>
      <c r="G286" s="83" t="n">
        <v>88</v>
      </c>
      <c r="H286" s="83" t="n">
        <v>1578</v>
      </c>
      <c r="I286" s="92" t="n">
        <v>2289</v>
      </c>
      <c r="J286" s="83" t="n">
        <v>63</v>
      </c>
      <c r="K286" s="83" t="n">
        <v>13</v>
      </c>
      <c r="L286" s="93" t="n">
        <v>1651</v>
      </c>
    </row>
    <row r="287" ht="13.8" customHeight="1" s="82">
      <c r="A287" s="83" t="inlineStr">
        <is>
          <t>339116</t>
        </is>
      </c>
      <c r="B287" s="83" t="inlineStr">
        <is>
          <t>339</t>
        </is>
      </c>
      <c r="C287" s="83" t="inlineStr">
        <is>
          <t>Miscellaneous manufacturing</t>
        </is>
      </c>
      <c r="D287" s="83" t="inlineStr">
        <is>
          <t>Dental laboratories</t>
        </is>
      </c>
      <c r="E287" s="84" t="inlineStr">
        <is>
          <t>339116</t>
        </is>
      </c>
      <c r="F287" s="83" t="n">
        <v>3460</v>
      </c>
      <c r="G287" s="83" t="n">
        <v>119</v>
      </c>
      <c r="H287" s="83" t="n">
        <v>2123</v>
      </c>
      <c r="I287" s="92" t="n">
        <v>2680</v>
      </c>
      <c r="J287" s="83" t="n">
        <v>59</v>
      </c>
      <c r="K287" s="83" t="n">
        <v>1</v>
      </c>
      <c r="L287" s="93" t="n">
        <v>380</v>
      </c>
    </row>
    <row r="288" ht="13.8" customHeight="1" s="82">
      <c r="A288" s="83" t="inlineStr">
        <is>
          <t>339910</t>
        </is>
      </c>
      <c r="B288" s="83" t="inlineStr">
        <is>
          <t>339</t>
        </is>
      </c>
      <c r="C288" s="83" t="inlineStr">
        <is>
          <t>Miscellaneous manufacturing</t>
        </is>
      </c>
      <c r="D288" s="83" t="inlineStr">
        <is>
          <t>Jewelry and silverware manufacturing</t>
        </is>
      </c>
      <c r="E288" s="84" t="inlineStr">
        <is>
          <t>339910</t>
        </is>
      </c>
      <c r="F288" s="83" t="n">
        <v>1980</v>
      </c>
      <c r="G288" s="83" t="n">
        <v>68</v>
      </c>
      <c r="H288" s="83" t="n">
        <v>1215</v>
      </c>
      <c r="I288" s="92" t="n">
        <v>1723</v>
      </c>
      <c r="J288" s="83" t="n">
        <v>79</v>
      </c>
      <c r="K288" s="83" t="n">
        <v>5</v>
      </c>
      <c r="L288" s="93" t="n">
        <v>1115</v>
      </c>
    </row>
    <row r="289" ht="13.8" customHeight="1" s="82">
      <c r="A289" s="83" t="inlineStr">
        <is>
          <t>339920</t>
        </is>
      </c>
      <c r="B289" s="83" t="inlineStr">
        <is>
          <t>339</t>
        </is>
      </c>
      <c r="C289" s="83" t="inlineStr">
        <is>
          <t>Miscellaneous manufacturing</t>
        </is>
      </c>
      <c r="D289" s="83" t="inlineStr">
        <is>
          <t>Sporting and athletic goods manufacturing</t>
        </is>
      </c>
      <c r="E289" s="84" t="inlineStr">
        <is>
          <t>339920</t>
        </is>
      </c>
      <c r="F289" s="83" t="n">
        <v>4376</v>
      </c>
      <c r="G289" s="83" t="n">
        <v>150</v>
      </c>
      <c r="H289" s="83" t="n">
        <v>2685</v>
      </c>
      <c r="I289" s="92" t="n">
        <v>3403</v>
      </c>
      <c r="J289" s="83" t="n">
        <v>103</v>
      </c>
      <c r="K289" s="83" t="n">
        <v>108</v>
      </c>
      <c r="L289" s="93" t="n">
        <v>1276</v>
      </c>
    </row>
    <row r="290" ht="13.8" customHeight="1" s="82">
      <c r="A290" s="83" t="inlineStr">
        <is>
          <t>339930</t>
        </is>
      </c>
      <c r="B290" s="83" t="inlineStr">
        <is>
          <t>339</t>
        </is>
      </c>
      <c r="C290" s="83" t="inlineStr">
        <is>
          <t>Miscellaneous manufacturing</t>
        </is>
      </c>
      <c r="D290" s="83" t="inlineStr">
        <is>
          <t>Doll, toy, and game manufacturing</t>
        </is>
      </c>
      <c r="E290" s="84" t="inlineStr">
        <is>
          <t>339930</t>
        </is>
      </c>
      <c r="F290" s="83" t="n">
        <v>1642</v>
      </c>
      <c r="G290" s="83" t="n">
        <v>56</v>
      </c>
      <c r="H290" s="83" t="n">
        <v>1007</v>
      </c>
      <c r="I290" s="92" t="n">
        <v>1139</v>
      </c>
      <c r="J290" s="83" t="n">
        <v>15</v>
      </c>
      <c r="K290" s="83" t="n">
        <v>2</v>
      </c>
      <c r="L290" s="93" t="n">
        <v>149</v>
      </c>
    </row>
    <row r="291" ht="13.8" customHeight="1" s="82">
      <c r="A291" s="83" t="inlineStr">
        <is>
          <t>339940</t>
        </is>
      </c>
      <c r="B291" s="83" t="inlineStr">
        <is>
          <t>339</t>
        </is>
      </c>
      <c r="C291" s="83" t="inlineStr">
        <is>
          <t>Miscellaneous manufacturing</t>
        </is>
      </c>
      <c r="D291" s="83" t="inlineStr">
        <is>
          <t>Office supplies (except paper) manufacturing</t>
        </is>
      </c>
      <c r="E291" s="84" t="inlineStr">
        <is>
          <t>339940</t>
        </is>
      </c>
      <c r="F291" s="83" t="n">
        <v>899</v>
      </c>
      <c r="G291" s="83" t="n">
        <v>31</v>
      </c>
      <c r="H291" s="83" t="n">
        <v>551</v>
      </c>
      <c r="I291" s="92" t="n">
        <v>791</v>
      </c>
      <c r="J291" s="83" t="n">
        <v>29</v>
      </c>
      <c r="K291" s="83" t="n">
        <v>3</v>
      </c>
      <c r="L291" s="93" t="n">
        <v>138</v>
      </c>
    </row>
    <row r="292" ht="13.8" customHeight="1" s="82">
      <c r="A292" s="83" t="inlineStr">
        <is>
          <t>339950</t>
        </is>
      </c>
      <c r="B292" s="83" t="inlineStr">
        <is>
          <t>339</t>
        </is>
      </c>
      <c r="C292" s="83" t="inlineStr">
        <is>
          <t>Miscellaneous manufacturing</t>
        </is>
      </c>
      <c r="D292" s="83" t="inlineStr">
        <is>
          <t>Sign manufacturing</t>
        </is>
      </c>
      <c r="E292" s="84" t="inlineStr">
        <is>
          <t>339950</t>
        </is>
      </c>
      <c r="F292" s="83" t="n">
        <v>6077</v>
      </c>
      <c r="G292" s="83" t="n">
        <v>209</v>
      </c>
      <c r="H292" s="83" t="n">
        <v>3728</v>
      </c>
      <c r="I292" s="92" t="n">
        <v>5201</v>
      </c>
      <c r="J292" s="83" t="n">
        <v>142</v>
      </c>
      <c r="K292" s="83" t="n">
        <v>2</v>
      </c>
      <c r="L292" s="93" t="n">
        <v>594</v>
      </c>
    </row>
    <row r="293" ht="13.8" customHeight="1" s="82">
      <c r="A293" s="83" t="inlineStr">
        <is>
          <t>339990</t>
        </is>
      </c>
      <c r="B293" s="83" t="inlineStr">
        <is>
          <t>339</t>
        </is>
      </c>
      <c r="C293" s="83" t="inlineStr">
        <is>
          <t>Miscellaneous manufacturing</t>
        </is>
      </c>
      <c r="D293" s="83" t="inlineStr">
        <is>
          <t>All other miscellaneous manufacturing</t>
        </is>
      </c>
      <c r="E293" s="84" t="inlineStr">
        <is>
          <t>339990</t>
        </is>
      </c>
      <c r="F293" s="83" t="n">
        <v>11219</v>
      </c>
      <c r="G293" s="83" t="n">
        <v>386</v>
      </c>
      <c r="H293" s="83" t="n">
        <v>6883</v>
      </c>
      <c r="I293" s="92" t="n">
        <v>8819</v>
      </c>
      <c r="J293" s="83" t="n">
        <v>260</v>
      </c>
      <c r="K293" s="83" t="n">
        <v>12</v>
      </c>
      <c r="L293" s="93" t="n">
        <v>3783</v>
      </c>
    </row>
    <row r="294" ht="13.8" customHeight="1" s="82">
      <c r="A294" s="83" t="inlineStr">
        <is>
          <t>4200ID</t>
        </is>
      </c>
      <c r="B294" s="83" t="inlineStr">
        <is>
          <t>42</t>
        </is>
      </c>
      <c r="C294" s="83" t="inlineStr">
        <is>
          <t>Wholesale trade</t>
        </is>
      </c>
      <c r="D294" s="83" t="inlineStr">
        <is>
          <t>Customs duties</t>
        </is>
      </c>
      <c r="E294" s="84" t="inlineStr">
        <is>
          <t>4200ID</t>
        </is>
      </c>
      <c r="F294" s="83" t="n">
        <v>0</v>
      </c>
      <c r="G294" s="83" t="n">
        <v>0</v>
      </c>
      <c r="H294" s="83" t="n">
        <v>0</v>
      </c>
      <c r="I294" s="92" t="n">
        <v>0</v>
      </c>
      <c r="J294" s="83" t="n">
        <v>0</v>
      </c>
      <c r="K294" s="83" t="n">
        <v>38513</v>
      </c>
      <c r="L294" s="93" t="n">
        <v>0</v>
      </c>
    </row>
    <row r="295" ht="13.8" customHeight="1" s="82">
      <c r="A295" s="83" t="inlineStr">
        <is>
          <t>423100</t>
        </is>
      </c>
      <c r="B295" s="83" t="inlineStr">
        <is>
          <t>42</t>
        </is>
      </c>
      <c r="C295" s="83" t="inlineStr">
        <is>
          <t>Wholesale trade</t>
        </is>
      </c>
      <c r="D295" s="83" t="inlineStr">
        <is>
          <t>Motor vehicle and motor vehicle parts and supplies</t>
        </is>
      </c>
      <c r="E295" s="84" t="inlineStr">
        <is>
          <t>423100</t>
        </is>
      </c>
      <c r="F295" s="83" t="n">
        <v>34866</v>
      </c>
      <c r="G295" s="83" t="n">
        <v>17029</v>
      </c>
      <c r="H295" s="83" t="n">
        <v>29044</v>
      </c>
      <c r="I295" s="92" t="n">
        <v>28670</v>
      </c>
      <c r="J295" s="83" t="n">
        <v>965</v>
      </c>
      <c r="K295" s="83" t="n">
        <v>5256</v>
      </c>
      <c r="L295" s="93" t="n">
        <v>33161</v>
      </c>
    </row>
    <row r="296" ht="13.8" customHeight="1" s="82">
      <c r="A296" s="83" t="inlineStr">
        <is>
          <t>423400</t>
        </is>
      </c>
      <c r="B296" s="83" t="inlineStr">
        <is>
          <t>42</t>
        </is>
      </c>
      <c r="C296" s="83" t="inlineStr">
        <is>
          <t>Wholesale trade</t>
        </is>
      </c>
      <c r="D296" s="83" t="inlineStr">
        <is>
          <t>Professional and commercial equipment and supplies</t>
        </is>
      </c>
      <c r="E296" s="84" t="inlineStr">
        <is>
          <t>423400</t>
        </is>
      </c>
      <c r="F296" s="83" t="n">
        <v>100747</v>
      </c>
      <c r="G296" s="83" t="n">
        <v>49207</v>
      </c>
      <c r="H296" s="83" t="n">
        <v>83925</v>
      </c>
      <c r="I296" s="92" t="n">
        <v>81746</v>
      </c>
      <c r="J296" s="83" t="n">
        <v>1238</v>
      </c>
      <c r="K296" s="83" t="n">
        <v>7063</v>
      </c>
      <c r="L296" s="93" t="n">
        <v>33508</v>
      </c>
    </row>
    <row r="297" ht="13.8" customHeight="1" s="82">
      <c r="A297" s="83" t="inlineStr">
        <is>
          <t>423600</t>
        </is>
      </c>
      <c r="B297" s="83" t="inlineStr">
        <is>
          <t>42</t>
        </is>
      </c>
      <c r="C297" s="83" t="inlineStr">
        <is>
          <t>Wholesale trade</t>
        </is>
      </c>
      <c r="D297" s="83" t="inlineStr">
        <is>
          <t xml:space="preserve">Household appliances and electrical and electronic goods </t>
        </is>
      </c>
      <c r="E297" s="84" t="inlineStr">
        <is>
          <t>423600</t>
        </is>
      </c>
      <c r="F297" s="83" t="n">
        <v>47572</v>
      </c>
      <c r="G297" s="83" t="n">
        <v>23235</v>
      </c>
      <c r="H297" s="83" t="n">
        <v>39628</v>
      </c>
      <c r="I297" s="92" t="n">
        <v>45681</v>
      </c>
      <c r="J297" s="83" t="n">
        <v>1569</v>
      </c>
      <c r="K297" s="83" t="n">
        <v>6991</v>
      </c>
      <c r="L297" s="93" t="n">
        <v>62785</v>
      </c>
    </row>
    <row r="298" ht="13.8" customHeight="1" s="82">
      <c r="A298" s="83" t="inlineStr">
        <is>
          <t>423800</t>
        </is>
      </c>
      <c r="B298" s="83" t="inlineStr">
        <is>
          <t>42</t>
        </is>
      </c>
      <c r="C298" s="83" t="inlineStr">
        <is>
          <t>Wholesale trade</t>
        </is>
      </c>
      <c r="D298" s="83" t="inlineStr">
        <is>
          <t>Machinery, equipment, and supplies</t>
        </is>
      </c>
      <c r="E298" s="84" t="inlineStr">
        <is>
          <t>423800</t>
        </is>
      </c>
      <c r="F298" s="83" t="n">
        <v>83538</v>
      </c>
      <c r="G298" s="83" t="n">
        <v>40802</v>
      </c>
      <c r="H298" s="83" t="n">
        <v>69589</v>
      </c>
      <c r="I298" s="92" t="n">
        <v>63904</v>
      </c>
      <c r="J298" s="83" t="n">
        <v>1088</v>
      </c>
      <c r="K298" s="83" t="n">
        <v>7743</v>
      </c>
      <c r="L298" s="93" t="n">
        <v>32627</v>
      </c>
    </row>
    <row r="299" ht="13.8" customHeight="1" s="82">
      <c r="A299" s="83" t="inlineStr">
        <is>
          <t>423A00</t>
        </is>
      </c>
      <c r="B299" s="83" t="inlineStr">
        <is>
          <t>42</t>
        </is>
      </c>
      <c r="C299" s="83" t="inlineStr">
        <is>
          <t>Wholesale trade</t>
        </is>
      </c>
      <c r="D299" s="83" t="inlineStr">
        <is>
          <t>Other durable goods merchant wholesalers</t>
        </is>
      </c>
      <c r="E299" s="84" t="inlineStr">
        <is>
          <t>423A00</t>
        </is>
      </c>
      <c r="F299" s="83" t="n">
        <v>119148</v>
      </c>
      <c r="G299" s="83" t="n">
        <v>58195</v>
      </c>
      <c r="H299" s="83" t="n">
        <v>99253</v>
      </c>
      <c r="I299" s="92" t="n">
        <v>76780</v>
      </c>
      <c r="J299" s="83" t="n">
        <v>1749</v>
      </c>
      <c r="K299" s="83" t="n">
        <v>16113</v>
      </c>
      <c r="L299" s="93" t="n">
        <v>58493</v>
      </c>
    </row>
    <row r="300" ht="13.8" customHeight="1" s="82">
      <c r="A300" s="83" t="inlineStr">
        <is>
          <t>424200</t>
        </is>
      </c>
      <c r="B300" s="83" t="inlineStr">
        <is>
          <t>42</t>
        </is>
      </c>
      <c r="C300" s="83" t="inlineStr">
        <is>
          <t>Wholesale trade</t>
        </is>
      </c>
      <c r="D300" s="83" t="inlineStr">
        <is>
          <t>Drugs and druggists’ sundries</t>
        </is>
      </c>
      <c r="E300" s="84" t="inlineStr">
        <is>
          <t>424200</t>
        </is>
      </c>
      <c r="F300" s="83" t="n">
        <v>36650</v>
      </c>
      <c r="G300" s="83" t="n">
        <v>17900</v>
      </c>
      <c r="H300" s="83" t="n">
        <v>30530</v>
      </c>
      <c r="I300" s="92" t="n">
        <v>43090</v>
      </c>
      <c r="J300" s="83" t="n">
        <v>1340</v>
      </c>
      <c r="K300" s="83" t="n">
        <v>2783</v>
      </c>
      <c r="L300" s="93" t="n">
        <v>59997</v>
      </c>
    </row>
    <row r="301" ht="13.8" customHeight="1" s="82">
      <c r="A301" s="83" t="inlineStr">
        <is>
          <t>424400</t>
        </is>
      </c>
      <c r="B301" s="83" t="inlineStr">
        <is>
          <t>42</t>
        </is>
      </c>
      <c r="C301" s="83" t="inlineStr">
        <is>
          <t>Wholesale trade</t>
        </is>
      </c>
      <c r="D301" s="83" t="inlineStr">
        <is>
          <t xml:space="preserve">Grocery and related product wholesalers </t>
        </is>
      </c>
      <c r="E301" s="84" t="inlineStr">
        <is>
          <t>424400</t>
        </is>
      </c>
      <c r="F301" s="83" t="n">
        <v>73459</v>
      </c>
      <c r="G301" s="83" t="n">
        <v>35879</v>
      </c>
      <c r="H301" s="83" t="n">
        <v>61193</v>
      </c>
      <c r="I301" s="92" t="n">
        <v>55047</v>
      </c>
      <c r="J301" s="83" t="n">
        <v>1123</v>
      </c>
      <c r="K301" s="83" t="n">
        <v>2363</v>
      </c>
      <c r="L301" s="93" t="n">
        <v>36990</v>
      </c>
    </row>
    <row r="302" ht="13.8" customHeight="1" s="82">
      <c r="A302" s="83" t="inlineStr">
        <is>
          <t>424700</t>
        </is>
      </c>
      <c r="B302" s="83" t="inlineStr">
        <is>
          <t>42</t>
        </is>
      </c>
      <c r="C302" s="83" t="inlineStr">
        <is>
          <t>Wholesale trade</t>
        </is>
      </c>
      <c r="D302" s="83" t="inlineStr">
        <is>
          <t>Petroleum and petroleum products</t>
        </is>
      </c>
      <c r="E302" s="84" t="inlineStr">
        <is>
          <t>424700</t>
        </is>
      </c>
      <c r="F302" s="83" t="n">
        <v>13819</v>
      </c>
      <c r="G302" s="83" t="n">
        <v>6750</v>
      </c>
      <c r="H302" s="83" t="n">
        <v>11512</v>
      </c>
      <c r="I302" s="92" t="n">
        <v>16763</v>
      </c>
      <c r="J302" s="83" t="n">
        <v>966</v>
      </c>
      <c r="K302" s="83" t="n">
        <v>88362</v>
      </c>
      <c r="L302" s="93" t="n">
        <v>17682</v>
      </c>
    </row>
    <row r="303" ht="13.8" customHeight="1" s="82">
      <c r="A303" s="83" t="inlineStr">
        <is>
          <t>424A00</t>
        </is>
      </c>
      <c r="B303" s="83" t="inlineStr">
        <is>
          <t>42</t>
        </is>
      </c>
      <c r="C303" s="83" t="inlineStr">
        <is>
          <t>Wholesale trade</t>
        </is>
      </c>
      <c r="D303" s="83" t="inlineStr">
        <is>
          <t>Other nondurable goods merchant wholesalers</t>
        </is>
      </c>
      <c r="E303" s="84" t="inlineStr">
        <is>
          <t>424A00</t>
        </is>
      </c>
      <c r="F303" s="83" t="n">
        <v>103340</v>
      </c>
      <c r="G303" s="83" t="n">
        <v>50474</v>
      </c>
      <c r="H303" s="83" t="n">
        <v>86085</v>
      </c>
      <c r="I303" s="92" t="n">
        <v>97018</v>
      </c>
      <c r="J303" s="83" t="n">
        <v>2325</v>
      </c>
      <c r="K303" s="83" t="n">
        <v>35487</v>
      </c>
      <c r="L303" s="93" t="n">
        <v>77766</v>
      </c>
    </row>
    <row r="304" ht="13.8" customHeight="1" s="82">
      <c r="A304" s="83" t="inlineStr">
        <is>
          <t>425000</t>
        </is>
      </c>
      <c r="B304" s="83" t="inlineStr">
        <is>
          <t>42</t>
        </is>
      </c>
      <c r="C304" s="83" t="inlineStr">
        <is>
          <t>Wholesale trade</t>
        </is>
      </c>
      <c r="D304" s="83" t="inlineStr">
        <is>
          <t>Wholesale electronic markets and agents and brokers</t>
        </is>
      </c>
      <c r="E304" s="84" t="inlineStr">
        <is>
          <t>425000</t>
        </is>
      </c>
      <c r="F304" s="83" t="n">
        <v>53183</v>
      </c>
      <c r="G304" s="83" t="n">
        <v>25976</v>
      </c>
      <c r="H304" s="83" t="n">
        <v>44303</v>
      </c>
      <c r="I304" s="92" t="n">
        <v>24242</v>
      </c>
      <c r="J304" s="83" t="n">
        <v>296</v>
      </c>
      <c r="K304" s="83" t="n">
        <v>33</v>
      </c>
      <c r="L304" s="93" t="n">
        <v>6829</v>
      </c>
    </row>
    <row r="305" ht="13.8" customHeight="1" s="82">
      <c r="A305" s="83" t="inlineStr">
        <is>
          <t>481000</t>
        </is>
      </c>
      <c r="B305" s="83" t="inlineStr">
        <is>
          <t>481</t>
        </is>
      </c>
      <c r="C305" s="83" t="inlineStr">
        <is>
          <t>Air transportation</t>
        </is>
      </c>
      <c r="D305" s="83" t="inlineStr">
        <is>
          <t>Air transportation</t>
        </is>
      </c>
      <c r="E305" s="84" t="inlineStr">
        <is>
          <t>481000</t>
        </is>
      </c>
      <c r="F305" s="83" t="n">
        <v>67253</v>
      </c>
      <c r="G305" s="83" t="n">
        <v>29381</v>
      </c>
      <c r="H305" s="83" t="n">
        <v>55360</v>
      </c>
      <c r="I305" s="92" t="n">
        <v>57095</v>
      </c>
      <c r="J305" s="83" t="n">
        <v>3542</v>
      </c>
      <c r="K305" s="83" t="n">
        <v>21700</v>
      </c>
      <c r="L305" s="93" t="n">
        <v>46346</v>
      </c>
    </row>
    <row r="306" ht="13.8" customHeight="1" s="82">
      <c r="A306" s="83" t="inlineStr">
        <is>
          <t>482000</t>
        </is>
      </c>
      <c r="B306" s="83" t="inlineStr">
        <is>
          <t>482</t>
        </is>
      </c>
      <c r="C306" s="83" t="inlineStr">
        <is>
          <t>Rail transportation</t>
        </is>
      </c>
      <c r="D306" s="83" t="inlineStr">
        <is>
          <t>Rail transportation</t>
        </is>
      </c>
      <c r="E306" s="84" t="inlineStr">
        <is>
          <t>482000</t>
        </is>
      </c>
      <c r="F306" s="83" t="n">
        <v>20701</v>
      </c>
      <c r="G306" s="83" t="n">
        <v>-570</v>
      </c>
      <c r="H306" s="83" t="n">
        <v>31349</v>
      </c>
      <c r="I306" s="92" t="n">
        <v>21893</v>
      </c>
      <c r="J306" s="83" t="n">
        <v>1436</v>
      </c>
      <c r="K306" s="83" t="n">
        <v>-1476</v>
      </c>
      <c r="L306" s="93" t="n">
        <v>22481</v>
      </c>
    </row>
    <row r="307" ht="13.8" customHeight="1" s="82">
      <c r="A307" s="83" t="inlineStr">
        <is>
          <t>483000</t>
        </is>
      </c>
      <c r="B307" s="83" t="inlineStr">
        <is>
          <t>483</t>
        </is>
      </c>
      <c r="C307" s="83" t="inlineStr">
        <is>
          <t>Water transportation</t>
        </is>
      </c>
      <c r="D307" s="83" t="inlineStr">
        <is>
          <t>Water transportation</t>
        </is>
      </c>
      <c r="E307" s="84" t="inlineStr">
        <is>
          <t>483000</t>
        </is>
      </c>
      <c r="F307" s="83" t="n">
        <v>8343</v>
      </c>
      <c r="G307" s="83" t="n">
        <v>1250</v>
      </c>
      <c r="H307" s="83" t="n">
        <v>11384</v>
      </c>
      <c r="I307" s="92" t="n">
        <v>7144</v>
      </c>
      <c r="J307" s="83" t="n">
        <v>807</v>
      </c>
      <c r="K307" s="83" t="n">
        <v>177</v>
      </c>
      <c r="L307" s="93" t="n">
        <v>5828</v>
      </c>
    </row>
    <row r="308" ht="13.8" customHeight="1" s="82">
      <c r="A308" s="83" t="inlineStr">
        <is>
          <t>484000</t>
        </is>
      </c>
      <c r="B308" s="83" t="inlineStr">
        <is>
          <t>484</t>
        </is>
      </c>
      <c r="C308" s="83" t="inlineStr">
        <is>
          <t>Truck transportation</t>
        </is>
      </c>
      <c r="D308" s="83" t="inlineStr">
        <is>
          <t>Truck transportation</t>
        </is>
      </c>
      <c r="E308" s="84" t="inlineStr">
        <is>
          <t>484000</t>
        </is>
      </c>
      <c r="F308" s="83" t="n">
        <v>130652</v>
      </c>
      <c r="G308" s="83" t="n">
        <v>5637</v>
      </c>
      <c r="H308" s="83" t="n">
        <v>126983</v>
      </c>
      <c r="I308" s="92" t="n">
        <v>96307</v>
      </c>
      <c r="J308" s="83" t="n">
        <v>3965</v>
      </c>
      <c r="K308" s="83" t="n">
        <v>535</v>
      </c>
      <c r="L308" s="93" t="n">
        <v>77160</v>
      </c>
    </row>
    <row r="309" ht="13.8" customHeight="1" s="82">
      <c r="A309" s="83" t="inlineStr">
        <is>
          <t>485000</t>
        </is>
      </c>
      <c r="B309" s="83" t="inlineStr">
        <is>
          <t>485</t>
        </is>
      </c>
      <c r="C309" s="83" t="inlineStr">
        <is>
          <t>Transit and ground passenger transportation</t>
        </is>
      </c>
      <c r="D309" s="83" t="inlineStr">
        <is>
          <t>Transit and ground passenger transportation</t>
        </is>
      </c>
      <c r="E309" s="84" t="inlineStr">
        <is>
          <t>485000</t>
        </is>
      </c>
      <c r="F309" s="83" t="n">
        <v>27665</v>
      </c>
      <c r="G309" s="83" t="n">
        <v>2414</v>
      </c>
      <c r="H309" s="83" t="n">
        <v>26880</v>
      </c>
      <c r="I309" s="92" t="n">
        <v>21954</v>
      </c>
      <c r="J309" s="83" t="n">
        <v>861</v>
      </c>
      <c r="K309" s="83" t="n">
        <v>1017</v>
      </c>
      <c r="L309" s="93" t="n">
        <v>19576</v>
      </c>
    </row>
    <row r="310" ht="13.8" customHeight="1" s="82">
      <c r="A310" s="83" t="inlineStr">
        <is>
          <t>486000</t>
        </is>
      </c>
      <c r="B310" s="83" t="inlineStr">
        <is>
          <t>486</t>
        </is>
      </c>
      <c r="C310" s="83" t="inlineStr">
        <is>
          <t>Pipeline transportation</t>
        </is>
      </c>
      <c r="D310" s="83" t="inlineStr">
        <is>
          <t>Pipeline transportation</t>
        </is>
      </c>
      <c r="E310" s="84" t="inlineStr">
        <is>
          <t>486000</t>
        </is>
      </c>
      <c r="F310" s="83" t="n">
        <v>9002</v>
      </c>
      <c r="G310" s="83" t="n">
        <v>4322</v>
      </c>
      <c r="H310" s="83" t="n">
        <v>36475</v>
      </c>
      <c r="I310" s="92" t="n">
        <v>7617</v>
      </c>
      <c r="J310" s="83" t="n">
        <v>3256</v>
      </c>
      <c r="K310" s="83" t="n">
        <v>77</v>
      </c>
      <c r="L310" s="93" t="n">
        <v>30054</v>
      </c>
    </row>
    <row r="311" ht="13.8" customHeight="1" s="82">
      <c r="A311" s="83" t="inlineStr">
        <is>
          <t>48A000</t>
        </is>
      </c>
      <c r="B311" s="83" t="inlineStr">
        <is>
          <t>487OS</t>
        </is>
      </c>
      <c r="C311" s="83" t="inlineStr">
        <is>
          <t>Other transportation and support activities</t>
        </is>
      </c>
      <c r="D311" s="83" t="inlineStr">
        <is>
          <t>Scenic and sightseeing transportation and support activities for transportation</t>
        </is>
      </c>
      <c r="E311" s="84" t="inlineStr">
        <is>
          <t>48A000</t>
        </is>
      </c>
      <c r="F311" s="83" t="n">
        <v>70901</v>
      </c>
      <c r="G311" s="83" t="n">
        <v>1697</v>
      </c>
      <c r="H311" s="83" t="n">
        <v>37182</v>
      </c>
      <c r="I311" s="92" t="n">
        <v>47282</v>
      </c>
      <c r="J311" s="83" t="n">
        <v>1290</v>
      </c>
      <c r="K311" s="83" t="n">
        <v>153</v>
      </c>
      <c r="L311" s="93" t="n">
        <v>19739</v>
      </c>
    </row>
    <row r="312" ht="13.8" customHeight="1" s="82">
      <c r="A312" s="83" t="inlineStr">
        <is>
          <t>492000</t>
        </is>
      </c>
      <c r="B312" s="83" t="inlineStr">
        <is>
          <t>487OS</t>
        </is>
      </c>
      <c r="C312" s="83" t="inlineStr">
        <is>
          <t>Other transportation and support activities</t>
        </is>
      </c>
      <c r="D312" s="83" t="inlineStr">
        <is>
          <t>Couriers and messengers</t>
        </is>
      </c>
      <c r="E312" s="84" t="inlineStr">
        <is>
          <t>492000</t>
        </is>
      </c>
      <c r="F312" s="83" t="n">
        <v>65691</v>
      </c>
      <c r="G312" s="83" t="n">
        <v>1572</v>
      </c>
      <c r="H312" s="83" t="n">
        <v>34449</v>
      </c>
      <c r="I312" s="92" t="n">
        <v>38870</v>
      </c>
      <c r="J312" s="83" t="n">
        <v>933</v>
      </c>
      <c r="K312" s="83" t="n">
        <v>132</v>
      </c>
      <c r="L312" s="93" t="n">
        <v>16597</v>
      </c>
    </row>
    <row r="313" ht="13.8" customHeight="1" s="82">
      <c r="A313" s="83" t="inlineStr">
        <is>
          <t>493000</t>
        </is>
      </c>
      <c r="B313" s="83" t="inlineStr">
        <is>
          <t>493</t>
        </is>
      </c>
      <c r="C313" s="83" t="inlineStr">
        <is>
          <t>Warehousing and storage</t>
        </is>
      </c>
      <c r="D313" s="83" t="inlineStr">
        <is>
          <t>Warehousing and storage</t>
        </is>
      </c>
      <c r="E313" s="84" t="inlineStr">
        <is>
          <t>493000</t>
        </is>
      </c>
      <c r="F313" s="83" t="n">
        <v>109054</v>
      </c>
      <c r="G313" s="83" t="n">
        <v>1238</v>
      </c>
      <c r="H313" s="83" t="n">
        <v>4247</v>
      </c>
      <c r="I313" s="92" t="n">
        <v>53892</v>
      </c>
      <c r="J313" s="83" t="n">
        <v>771</v>
      </c>
      <c r="K313" s="83" t="n">
        <v>133</v>
      </c>
      <c r="L313" s="93" t="n">
        <v>6319</v>
      </c>
    </row>
    <row r="314" ht="13.8" customHeight="1" s="82">
      <c r="A314" s="83" t="inlineStr">
        <is>
          <t>511110</t>
        </is>
      </c>
      <c r="B314" s="83" t="inlineStr">
        <is>
          <t>511</t>
        </is>
      </c>
      <c r="C314" s="83" t="inlineStr">
        <is>
          <t>Publishing industries, except internet (includes software)</t>
        </is>
      </c>
      <c r="D314" s="83" t="inlineStr">
        <is>
          <t>Newspaper publishers</t>
        </is>
      </c>
      <c r="E314" s="84" t="inlineStr">
        <is>
          <t>511110</t>
        </is>
      </c>
      <c r="F314" s="83" t="n">
        <v>8775</v>
      </c>
      <c r="G314" s="83" t="n">
        <v>432</v>
      </c>
      <c r="H314" s="83" t="n">
        <v>10206</v>
      </c>
      <c r="I314" s="92" t="n">
        <v>9580</v>
      </c>
      <c r="J314" s="83" t="n">
        <v>295</v>
      </c>
      <c r="K314" s="83" t="n">
        <v>66</v>
      </c>
      <c r="L314" s="93" t="n">
        <v>7987</v>
      </c>
    </row>
    <row r="315" ht="13.8" customHeight="1" s="82">
      <c r="A315" s="83" t="inlineStr">
        <is>
          <t>511120</t>
        </is>
      </c>
      <c r="B315" s="83" t="inlineStr">
        <is>
          <t>511</t>
        </is>
      </c>
      <c r="C315" s="83" t="inlineStr">
        <is>
          <t>Publishing industries, except internet (includes software)</t>
        </is>
      </c>
      <c r="D315" s="83" t="inlineStr">
        <is>
          <t>Periodical Publishers</t>
        </is>
      </c>
      <c r="E315" s="84" t="inlineStr">
        <is>
          <t>511120</t>
        </is>
      </c>
      <c r="F315" s="83" t="n">
        <v>8906</v>
      </c>
      <c r="G315" s="83" t="n">
        <v>438</v>
      </c>
      <c r="H315" s="83" t="n">
        <v>10359</v>
      </c>
      <c r="I315" s="92" t="n">
        <v>10016</v>
      </c>
      <c r="J315" s="83" t="n">
        <v>311</v>
      </c>
      <c r="K315" s="83" t="n">
        <v>38</v>
      </c>
      <c r="L315" s="93" t="n">
        <v>6702</v>
      </c>
    </row>
    <row r="316" ht="13.8" customHeight="1" s="82">
      <c r="A316" s="83" t="inlineStr">
        <is>
          <t>511130</t>
        </is>
      </c>
      <c r="B316" s="83" t="inlineStr">
        <is>
          <t>511</t>
        </is>
      </c>
      <c r="C316" s="83" t="inlineStr">
        <is>
          <t>Publishing industries, except internet (includes software)</t>
        </is>
      </c>
      <c r="D316" s="83" t="inlineStr">
        <is>
          <t>Book publishers</t>
        </is>
      </c>
      <c r="E316" s="84" t="inlineStr">
        <is>
          <t>511130</t>
        </is>
      </c>
      <c r="F316" s="83" t="n">
        <v>6498</v>
      </c>
      <c r="G316" s="83" t="n">
        <v>320</v>
      </c>
      <c r="H316" s="83" t="n">
        <v>7557</v>
      </c>
      <c r="I316" s="92" t="n">
        <v>5911</v>
      </c>
      <c r="J316" s="83" t="n">
        <v>418</v>
      </c>
      <c r="K316" s="83" t="n">
        <v>85</v>
      </c>
      <c r="L316" s="93" t="n">
        <v>11737</v>
      </c>
    </row>
    <row r="317" ht="13.8" customHeight="1" s="82">
      <c r="A317" s="83" t="inlineStr">
        <is>
          <t>5111A0</t>
        </is>
      </c>
      <c r="B317" s="83" t="inlineStr">
        <is>
          <t>511</t>
        </is>
      </c>
      <c r="C317" s="83" t="inlineStr">
        <is>
          <t>Publishing industries, except internet (includes software)</t>
        </is>
      </c>
      <c r="D317" s="83" t="inlineStr">
        <is>
          <t>Directory, mailing list, and other publishers</t>
        </is>
      </c>
      <c r="E317" s="84" t="inlineStr">
        <is>
          <t>5111A0</t>
        </is>
      </c>
      <c r="F317" s="83" t="n">
        <v>10541</v>
      </c>
      <c r="G317" s="83" t="n">
        <v>518</v>
      </c>
      <c r="H317" s="83" t="n">
        <v>12259</v>
      </c>
      <c r="I317" s="92" t="n">
        <v>2805</v>
      </c>
      <c r="J317" s="83" t="n">
        <v>123</v>
      </c>
      <c r="K317" s="83" t="n">
        <v>19</v>
      </c>
      <c r="L317" s="93" t="n">
        <v>3445</v>
      </c>
    </row>
    <row r="318" ht="13.8" customHeight="1" s="82">
      <c r="A318" s="83" t="inlineStr">
        <is>
          <t>511200</t>
        </is>
      </c>
      <c r="B318" s="83" t="inlineStr">
        <is>
          <t>511</t>
        </is>
      </c>
      <c r="C318" s="83" t="inlineStr">
        <is>
          <t>Publishing industries, except internet (includes software)</t>
        </is>
      </c>
      <c r="D318" s="83" t="inlineStr">
        <is>
          <t>Software publishers</t>
        </is>
      </c>
      <c r="E318" s="84" t="inlineStr">
        <is>
          <t>511200</t>
        </is>
      </c>
      <c r="F318" s="83" t="n">
        <v>127197</v>
      </c>
      <c r="G318" s="83" t="n">
        <v>6256</v>
      </c>
      <c r="H318" s="83" t="n">
        <v>147938</v>
      </c>
      <c r="I318" s="92" t="n">
        <v>71879</v>
      </c>
      <c r="J318" s="83" t="n">
        <v>3677</v>
      </c>
      <c r="K318" s="83" t="n">
        <v>958</v>
      </c>
      <c r="L318" s="93" t="n">
        <v>99964</v>
      </c>
    </row>
    <row r="319" ht="13.8" customHeight="1" s="82">
      <c r="A319" s="83" t="inlineStr">
        <is>
          <t>512100</t>
        </is>
      </c>
      <c r="B319" s="83" t="inlineStr">
        <is>
          <t>512</t>
        </is>
      </c>
      <c r="C319" s="83" t="inlineStr">
        <is>
          <t>Motion picture and sound recording industries</t>
        </is>
      </c>
      <c r="D319" s="83" t="inlineStr">
        <is>
          <t>Motion picture and video industries</t>
        </is>
      </c>
      <c r="E319" s="84" t="inlineStr">
        <is>
          <t>512100</t>
        </is>
      </c>
      <c r="F319" s="83" t="n">
        <v>43191</v>
      </c>
      <c r="G319" s="83" t="n">
        <v>4832</v>
      </c>
      <c r="H319" s="83" t="n">
        <v>45862</v>
      </c>
      <c r="I319" s="92" t="n">
        <v>33679</v>
      </c>
      <c r="J319" s="83" t="n">
        <v>2627</v>
      </c>
      <c r="K319" s="83" t="n">
        <v>2624</v>
      </c>
      <c r="L319" s="93" t="n">
        <v>45022</v>
      </c>
    </row>
    <row r="320" ht="13.8" customHeight="1" s="82">
      <c r="A320" s="83" t="inlineStr">
        <is>
          <t>512200</t>
        </is>
      </c>
      <c r="B320" s="83" t="inlineStr">
        <is>
          <t>512</t>
        </is>
      </c>
      <c r="C320" s="83" t="inlineStr">
        <is>
          <t>Motion picture and sound recording industries</t>
        </is>
      </c>
      <c r="D320" s="83" t="inlineStr">
        <is>
          <t>Sound recording industries</t>
        </is>
      </c>
      <c r="E320" s="84" t="inlineStr">
        <is>
          <t>512200</t>
        </is>
      </c>
      <c r="F320" s="83" t="n">
        <v>2987</v>
      </c>
      <c r="G320" s="83" t="n">
        <v>334</v>
      </c>
      <c r="H320" s="83" t="n">
        <v>3172</v>
      </c>
      <c r="I320" s="92" t="n">
        <v>1757</v>
      </c>
      <c r="J320" s="83" t="n">
        <v>975</v>
      </c>
      <c r="K320" s="83" t="n">
        <v>134</v>
      </c>
      <c r="L320" s="93" t="n">
        <v>10907</v>
      </c>
    </row>
    <row r="321" ht="13.8" customHeight="1" s="82">
      <c r="A321" s="83" t="inlineStr">
        <is>
          <t>515100</t>
        </is>
      </c>
      <c r="B321" s="83" t="inlineStr">
        <is>
          <t>513</t>
        </is>
      </c>
      <c r="C321" s="83" t="inlineStr">
        <is>
          <t>Broadcasting and telecommunications</t>
        </is>
      </c>
      <c r="D321" s="83" t="inlineStr">
        <is>
          <t>Radio and television broadcasting</t>
        </is>
      </c>
      <c r="E321" s="84" t="inlineStr">
        <is>
          <t>515100</t>
        </is>
      </c>
      <c r="F321" s="83" t="n">
        <v>32691</v>
      </c>
      <c r="G321" s="83" t="n">
        <v>13368</v>
      </c>
      <c r="H321" s="83" t="n">
        <v>94020</v>
      </c>
      <c r="I321" s="92" t="n">
        <v>17950</v>
      </c>
      <c r="J321" s="83" t="n">
        <v>209</v>
      </c>
      <c r="K321" s="83" t="n">
        <v>2011</v>
      </c>
      <c r="L321" s="93" t="n">
        <v>22637</v>
      </c>
    </row>
    <row r="322" ht="13.8" customHeight="1" s="82">
      <c r="A322" s="83" t="inlineStr">
        <is>
          <t>515200</t>
        </is>
      </c>
      <c r="B322" s="83" t="inlineStr">
        <is>
          <t>513</t>
        </is>
      </c>
      <c r="C322" s="83" t="inlineStr">
        <is>
          <t>Broadcasting and telecommunications</t>
        </is>
      </c>
      <c r="D322" s="83" t="inlineStr">
        <is>
          <t>Cable and other subscription programming</t>
        </is>
      </c>
      <c r="E322" s="84" t="inlineStr">
        <is>
          <t>515200</t>
        </is>
      </c>
      <c r="F322" s="83" t="n">
        <v>0</v>
      </c>
      <c r="G322" s="83" t="n">
        <v>0</v>
      </c>
      <c r="H322" s="83" t="n">
        <v>0</v>
      </c>
      <c r="I322" s="92" t="n">
        <v>10426</v>
      </c>
      <c r="J322" s="83" t="n">
        <v>654</v>
      </c>
      <c r="K322" s="83" t="n">
        <v>764</v>
      </c>
      <c r="L322" s="93" t="n">
        <v>49756</v>
      </c>
    </row>
    <row r="323" ht="13.8" customHeight="1" s="82">
      <c r="A323" s="83" t="inlineStr">
        <is>
          <t>517110</t>
        </is>
      </c>
      <c r="B323" s="83" t="inlineStr">
        <is>
          <t>513</t>
        </is>
      </c>
      <c r="C323" s="83" t="inlineStr">
        <is>
          <t>Broadcasting and telecommunications</t>
        </is>
      </c>
      <c r="D323" s="83" t="inlineStr">
        <is>
          <t>Wired telecommunications carriers</t>
        </is>
      </c>
      <c r="E323" s="84" t="inlineStr">
        <is>
          <t>517110</t>
        </is>
      </c>
      <c r="F323" s="83" t="n">
        <v>61340</v>
      </c>
      <c r="G323" s="83" t="n">
        <v>25083</v>
      </c>
      <c r="H323" s="83" t="n">
        <v>176414</v>
      </c>
      <c r="I323" s="92" t="n">
        <v>61328</v>
      </c>
      <c r="J323" s="83" t="n">
        <v>1608</v>
      </c>
      <c r="K323" s="83" t="n">
        <v>17233</v>
      </c>
      <c r="L323" s="93" t="n">
        <v>109598</v>
      </c>
    </row>
    <row r="324" ht="13.8" customHeight="1" s="82">
      <c r="A324" s="83" t="inlineStr">
        <is>
          <t>517210</t>
        </is>
      </c>
      <c r="B324" s="83" t="inlineStr">
        <is>
          <t>513</t>
        </is>
      </c>
      <c r="C324" s="83" t="inlineStr">
        <is>
          <t>Broadcasting and telecommunications</t>
        </is>
      </c>
      <c r="D324" s="83" t="inlineStr">
        <is>
          <t>Wireless telecommunications carriers (except satellite)</t>
        </is>
      </c>
      <c r="E324" s="84" t="inlineStr">
        <is>
          <t>517210</t>
        </is>
      </c>
      <c r="F324" s="83" t="n">
        <v>16724</v>
      </c>
      <c r="G324" s="83" t="n">
        <v>6839</v>
      </c>
      <c r="H324" s="83" t="n">
        <v>48098</v>
      </c>
      <c r="I324" s="92" t="n">
        <v>12221</v>
      </c>
      <c r="J324" s="83" t="n">
        <v>1171</v>
      </c>
      <c r="K324" s="83" t="n">
        <v>12438</v>
      </c>
      <c r="L324" s="93" t="n">
        <v>116524</v>
      </c>
    </row>
    <row r="325" ht="13.8" customHeight="1" s="82">
      <c r="A325" s="83" t="inlineStr">
        <is>
          <t>517A00</t>
        </is>
      </c>
      <c r="B325" s="83" t="inlineStr">
        <is>
          <t>513</t>
        </is>
      </c>
      <c r="C325" s="83" t="inlineStr">
        <is>
          <t>Broadcasting and telecommunications</t>
        </is>
      </c>
      <c r="D325" s="83" t="inlineStr">
        <is>
          <t>Satellite, telecommunications resellers, and all other telecommunications</t>
        </is>
      </c>
      <c r="E325" s="84" t="inlineStr">
        <is>
          <t>517A00</t>
        </is>
      </c>
      <c r="F325" s="83" t="n">
        <v>8855</v>
      </c>
      <c r="G325" s="83" t="n">
        <v>3621</v>
      </c>
      <c r="H325" s="83" t="n">
        <v>25466</v>
      </c>
      <c r="I325" s="92" t="n">
        <v>10248</v>
      </c>
      <c r="J325" s="83" t="n">
        <v>119</v>
      </c>
      <c r="K325" s="83" t="n">
        <v>4886</v>
      </c>
      <c r="L325" s="93" t="n">
        <v>10336</v>
      </c>
    </row>
    <row r="326" ht="13.8" customHeight="1" s="82">
      <c r="A326" s="83" t="inlineStr">
        <is>
          <t>518200</t>
        </is>
      </c>
      <c r="B326" s="83" t="inlineStr">
        <is>
          <t>514</t>
        </is>
      </c>
      <c r="C326" s="83" t="inlineStr">
        <is>
          <t>Data processing, internet publishing, and other information services</t>
        </is>
      </c>
      <c r="D326" s="83" t="inlineStr">
        <is>
          <t>Data processing, hosting, and related services</t>
        </is>
      </c>
      <c r="E326" s="84" t="inlineStr">
        <is>
          <t>518200</t>
        </is>
      </c>
      <c r="F326" s="83" t="n">
        <v>89582</v>
      </c>
      <c r="G326" s="83" t="n">
        <v>3737</v>
      </c>
      <c r="H326" s="83" t="n">
        <v>109092</v>
      </c>
      <c r="I326" s="92" t="n">
        <v>42813</v>
      </c>
      <c r="J326" s="83" t="n">
        <v>1696</v>
      </c>
      <c r="K326" s="83" t="n">
        <v>990</v>
      </c>
      <c r="L326" s="93" t="n">
        <v>50886</v>
      </c>
    </row>
    <row r="327" ht="13.8" customHeight="1" s="82">
      <c r="A327" s="83" t="inlineStr">
        <is>
          <t>519130</t>
        </is>
      </c>
      <c r="B327" s="83" t="inlineStr">
        <is>
          <t>514</t>
        </is>
      </c>
      <c r="C327" s="83" t="inlineStr">
        <is>
          <t>Data processing, internet publishing, and other information services</t>
        </is>
      </c>
      <c r="D327" s="83" t="inlineStr">
        <is>
          <t>Internet publishing and broadcasting and Web search portals</t>
        </is>
      </c>
      <c r="E327" s="84" t="inlineStr">
        <is>
          <t>519130</t>
        </is>
      </c>
      <c r="F327" s="83" t="n">
        <v>84600</v>
      </c>
      <c r="G327" s="83" t="n">
        <v>3529</v>
      </c>
      <c r="H327" s="83" t="n">
        <v>103025</v>
      </c>
      <c r="I327" s="92" t="n">
        <v>52084</v>
      </c>
      <c r="J327" s="83" t="n">
        <v>1808</v>
      </c>
      <c r="K327" s="83" t="n">
        <v>525</v>
      </c>
      <c r="L327" s="93" t="n">
        <v>55437</v>
      </c>
    </row>
    <row r="328" ht="13.8" customHeight="1" s="82">
      <c r="A328" s="83" t="inlineStr">
        <is>
          <t>5191A0</t>
        </is>
      </c>
      <c r="B328" s="83" t="inlineStr">
        <is>
          <t>514</t>
        </is>
      </c>
      <c r="C328" s="83" t="inlineStr">
        <is>
          <t>Data processing, internet publishing, and other information services</t>
        </is>
      </c>
      <c r="D328" s="83" t="inlineStr">
        <is>
          <t>News syndicates, libraries, archives and all other information services</t>
        </is>
      </c>
      <c r="E328" s="84" t="inlineStr">
        <is>
          <t>5191A0</t>
        </is>
      </c>
      <c r="F328" s="83" t="n">
        <v>12441</v>
      </c>
      <c r="G328" s="83" t="n">
        <v>519</v>
      </c>
      <c r="H328" s="83" t="n">
        <v>15150</v>
      </c>
      <c r="I328" s="92" t="n">
        <v>6076</v>
      </c>
      <c r="J328" s="83" t="n">
        <v>94</v>
      </c>
      <c r="K328" s="83" t="n">
        <v>14</v>
      </c>
      <c r="L328" s="93" t="n">
        <v>1740</v>
      </c>
    </row>
    <row r="329" ht="13.8" customHeight="1" s="82">
      <c r="A329" s="83" t="inlineStr">
        <is>
          <t>522A00</t>
        </is>
      </c>
      <c r="B329" s="83" t="inlineStr">
        <is>
          <t>521CI</t>
        </is>
      </c>
      <c r="C329" s="83" t="inlineStr">
        <is>
          <t>Federal Reserve banks, credit intermediation, and related activities</t>
        </is>
      </c>
      <c r="D329" s="83" t="inlineStr">
        <is>
          <t>Nondepository credit intermediation and related activities</t>
        </is>
      </c>
      <c r="E329" s="84" t="inlineStr">
        <is>
          <t>522A00</t>
        </is>
      </c>
      <c r="F329" s="83" t="n">
        <v>340702</v>
      </c>
      <c r="G329" s="83" t="n">
        <v>23806</v>
      </c>
      <c r="H329" s="83" t="n">
        <v>483544</v>
      </c>
      <c r="I329" s="92" t="n">
        <v>97437</v>
      </c>
      <c r="J329" s="83" t="n">
        <v>5896</v>
      </c>
      <c r="K329" s="83" t="n">
        <v>2524</v>
      </c>
      <c r="L329" s="93" t="n">
        <v>105317</v>
      </c>
    </row>
    <row r="330" ht="13.8" customHeight="1" s="82">
      <c r="A330" s="83" t="inlineStr">
        <is>
          <t>523900</t>
        </is>
      </c>
      <c r="B330" s="83" t="inlineStr">
        <is>
          <t>523</t>
        </is>
      </c>
      <c r="C330" s="83" t="inlineStr">
        <is>
          <t>Securities, commodity contracts, and investments</t>
        </is>
      </c>
      <c r="D330" s="83" t="inlineStr">
        <is>
          <t>Other financial investment activities</t>
        </is>
      </c>
      <c r="E330" s="84" t="inlineStr">
        <is>
          <t>523900</t>
        </is>
      </c>
      <c r="F330" s="83" t="n">
        <v>172808</v>
      </c>
      <c r="G330" s="83" t="n">
        <v>3901</v>
      </c>
      <c r="H330" s="83" t="n">
        <v>12484</v>
      </c>
      <c r="I330" s="92" t="n">
        <v>153414</v>
      </c>
      <c r="J330" s="83" t="n">
        <v>3013</v>
      </c>
      <c r="K330" s="83" t="n">
        <v>1182</v>
      </c>
      <c r="L330" s="93" t="n">
        <v>20528</v>
      </c>
    </row>
    <row r="331" ht="13.8" customHeight="1" s="82">
      <c r="A331" s="83" t="inlineStr">
        <is>
          <t>523A00</t>
        </is>
      </c>
      <c r="B331" s="83" t="inlineStr">
        <is>
          <t>523</t>
        </is>
      </c>
      <c r="C331" s="83" t="inlineStr">
        <is>
          <t>Securities, commodity contracts, and investments</t>
        </is>
      </c>
      <c r="D331" s="83" t="inlineStr">
        <is>
          <t>Securities and commodity contracts intermediation and brokerage</t>
        </is>
      </c>
      <c r="E331" s="84" t="inlineStr">
        <is>
          <t>523A00</t>
        </is>
      </c>
      <c r="F331" s="83" t="n">
        <v>156401</v>
      </c>
      <c r="G331" s="83" t="n">
        <v>3530</v>
      </c>
      <c r="H331" s="83" t="n">
        <v>11299</v>
      </c>
      <c r="I331" s="92" t="n">
        <v>97818</v>
      </c>
      <c r="J331" s="83" t="n">
        <v>1290</v>
      </c>
      <c r="K331" s="83" t="n">
        <v>99</v>
      </c>
      <c r="L331" s="93" t="n">
        <v>6083</v>
      </c>
    </row>
    <row r="332" ht="13.8" customHeight="1" s="82">
      <c r="A332" s="83" t="inlineStr">
        <is>
          <t>524113</t>
        </is>
      </c>
      <c r="B332" s="83" t="inlineStr">
        <is>
          <t>524</t>
        </is>
      </c>
      <c r="C332" s="83" t="inlineStr">
        <is>
          <t>Insurance carriers and related activities</t>
        </is>
      </c>
      <c r="D332" s="83" t="inlineStr">
        <is>
          <t>Direct life insurance carriers</t>
        </is>
      </c>
      <c r="E332" s="84" t="inlineStr">
        <is>
          <t>524113</t>
        </is>
      </c>
      <c r="F332" s="83" t="n">
        <v>36153</v>
      </c>
      <c r="G332" s="83" t="n">
        <v>4284</v>
      </c>
      <c r="H332" s="83" t="n">
        <v>30904</v>
      </c>
      <c r="I332" s="92" t="n">
        <v>34310</v>
      </c>
      <c r="J332" s="83" t="n">
        <v>595</v>
      </c>
      <c r="K332" s="83" t="n">
        <v>3405</v>
      </c>
      <c r="L332" s="93" t="n">
        <v>16487</v>
      </c>
    </row>
    <row r="333" ht="13.8" customHeight="1" s="82">
      <c r="A333" s="83" t="inlineStr">
        <is>
          <t>5241XX</t>
        </is>
      </c>
      <c r="B333" s="83" t="inlineStr">
        <is>
          <t>524</t>
        </is>
      </c>
      <c r="C333" s="83" t="inlineStr">
        <is>
          <t>Insurance carriers and related activities</t>
        </is>
      </c>
      <c r="D333" s="83" t="inlineStr">
        <is>
          <t>Insurance carriers, except direct life</t>
        </is>
      </c>
      <c r="E333" s="84" t="inlineStr">
        <is>
          <t>5241XX</t>
        </is>
      </c>
      <c r="F333" s="83" t="n">
        <v>143772</v>
      </c>
      <c r="G333" s="83" t="n">
        <v>17038</v>
      </c>
      <c r="H333" s="83" t="n">
        <v>122898</v>
      </c>
      <c r="I333" s="92" t="n">
        <v>116031</v>
      </c>
      <c r="J333" s="83" t="n">
        <v>3740</v>
      </c>
      <c r="K333" s="83" t="n">
        <v>20469</v>
      </c>
      <c r="L333" s="93" t="n">
        <v>174298</v>
      </c>
    </row>
    <row r="334" ht="13.8" customHeight="1" s="82">
      <c r="A334" s="83" t="inlineStr">
        <is>
          <t>524200</t>
        </is>
      </c>
      <c r="B334" s="83" t="inlineStr">
        <is>
          <t>524</t>
        </is>
      </c>
      <c r="C334" s="83" t="inlineStr">
        <is>
          <t>Insurance carriers and related activities</t>
        </is>
      </c>
      <c r="D334" s="83" t="inlineStr">
        <is>
          <t>Insurance agencies, brokerages, and related activities</t>
        </is>
      </c>
      <c r="E334" s="84" t="inlineStr">
        <is>
          <t>524200</t>
        </is>
      </c>
      <c r="F334" s="83" t="n">
        <v>168366</v>
      </c>
      <c r="G334" s="83" t="n">
        <v>19953</v>
      </c>
      <c r="H334" s="83" t="n">
        <v>143921</v>
      </c>
      <c r="I334" s="92" t="n">
        <v>120664</v>
      </c>
      <c r="J334" s="83" t="n">
        <v>2373</v>
      </c>
      <c r="K334" s="83" t="n">
        <v>0</v>
      </c>
      <c r="L334" s="93" t="n">
        <v>76517</v>
      </c>
    </row>
    <row r="335" ht="13.8" customHeight="1" s="82">
      <c r="A335" s="83" t="inlineStr">
        <is>
          <t>525000</t>
        </is>
      </c>
      <c r="B335" s="83" t="inlineStr">
        <is>
          <t>525</t>
        </is>
      </c>
      <c r="C335" s="83" t="inlineStr">
        <is>
          <t>Funds, trusts, and other financial vehicles</t>
        </is>
      </c>
      <c r="D335" s="83" t="inlineStr">
        <is>
          <t>Funds, trusts, and other financial vehicles</t>
        </is>
      </c>
      <c r="E335" s="84" t="inlineStr">
        <is>
          <t>525000</t>
        </is>
      </c>
      <c r="F335" s="83" t="n">
        <v>5366</v>
      </c>
      <c r="G335" s="83" t="n">
        <v>704</v>
      </c>
      <c r="H335" s="83" t="n">
        <v>22273</v>
      </c>
      <c r="I335" s="92" t="n">
        <v>2059</v>
      </c>
      <c r="J335" s="83" t="n">
        <v>701</v>
      </c>
      <c r="K335" s="83" t="n">
        <v>38</v>
      </c>
      <c r="L335" s="93" t="n">
        <v>4036</v>
      </c>
    </row>
    <row r="336" ht="13.8" customHeight="1" s="82">
      <c r="A336" s="83" t="inlineStr">
        <is>
          <t>52A000</t>
        </is>
      </c>
      <c r="B336" s="83" t="inlineStr">
        <is>
          <t>521CI</t>
        </is>
      </c>
      <c r="C336" s="83" t="inlineStr">
        <is>
          <t>Federal Reserve banks, credit intermediation, and related activities</t>
        </is>
      </c>
      <c r="D336" s="83" t="inlineStr">
        <is>
          <t>Monetary authorities and depository credit intermediation</t>
        </is>
      </c>
      <c r="E336" s="84" t="inlineStr">
        <is>
          <t>52A000</t>
        </is>
      </c>
      <c r="F336" s="83" t="n">
        <v>3533</v>
      </c>
      <c r="G336" s="83" t="n">
        <v>247</v>
      </c>
      <c r="H336" s="83" t="n">
        <v>5014</v>
      </c>
      <c r="I336" s="92" t="n">
        <v>165916</v>
      </c>
      <c r="J336" s="83" t="n">
        <v>11505</v>
      </c>
      <c r="K336" s="83" t="n">
        <v>-500</v>
      </c>
      <c r="L336" s="93" t="n">
        <v>260765</v>
      </c>
    </row>
    <row r="337" ht="13.8" customHeight="1" s="82">
      <c r="A337" s="83" t="inlineStr">
        <is>
          <t>532100</t>
        </is>
      </c>
      <c r="B337" s="83" t="inlineStr">
        <is>
          <t>532RL</t>
        </is>
      </c>
      <c r="C337" s="83" t="inlineStr">
        <is>
          <t>Rental and leasing services and lessors of intangible assets</t>
        </is>
      </c>
      <c r="D337" s="83" t="inlineStr">
        <is>
          <t>Automotive equipment rental and leasing</t>
        </is>
      </c>
      <c r="E337" s="84" t="inlineStr">
        <is>
          <t>532100</t>
        </is>
      </c>
      <c r="F337" s="83" t="n">
        <v>14254</v>
      </c>
      <c r="G337" s="83" t="n">
        <v>8371</v>
      </c>
      <c r="H337" s="83" t="n">
        <v>75899</v>
      </c>
      <c r="I337" s="92" t="n">
        <v>11024</v>
      </c>
      <c r="J337" s="83" t="n">
        <v>1616</v>
      </c>
      <c r="K337" s="83" t="n">
        <v>4637</v>
      </c>
      <c r="L337" s="93" t="n">
        <v>20862</v>
      </c>
    </row>
    <row r="338" ht="13.8" customHeight="1" s="82">
      <c r="A338" s="83" t="inlineStr">
        <is>
          <t>532400</t>
        </is>
      </c>
      <c r="B338" s="83" t="inlineStr">
        <is>
          <t>532RL</t>
        </is>
      </c>
      <c r="C338" s="83" t="inlineStr">
        <is>
          <t>Rental and leasing services and lessors of intangible assets</t>
        </is>
      </c>
      <c r="D338" s="83" t="inlineStr">
        <is>
          <t>Commercial and industrial machinery and equipment rental and leasing</t>
        </is>
      </c>
      <c r="E338" s="84" t="inlineStr">
        <is>
          <t>532400</t>
        </is>
      </c>
      <c r="F338" s="83" t="n">
        <v>17549</v>
      </c>
      <c r="G338" s="83" t="n">
        <v>10306</v>
      </c>
      <c r="H338" s="83" t="n">
        <v>93450</v>
      </c>
      <c r="I338" s="92" t="n">
        <v>13103</v>
      </c>
      <c r="J338" s="83" t="n">
        <v>2234</v>
      </c>
      <c r="K338" s="83" t="n">
        <v>5531</v>
      </c>
      <c r="L338" s="93" t="n">
        <v>33201</v>
      </c>
    </row>
    <row r="339" ht="13.8" customHeight="1" s="82">
      <c r="A339" s="83" t="inlineStr">
        <is>
          <t>532A00</t>
        </is>
      </c>
      <c r="B339" s="83" t="inlineStr">
        <is>
          <t>532RL</t>
        </is>
      </c>
      <c r="C339" s="83" t="inlineStr">
        <is>
          <t>Rental and leasing services and lessors of intangible assets</t>
        </is>
      </c>
      <c r="D339" s="83" t="inlineStr">
        <is>
          <t>General and consumer goods rental</t>
        </is>
      </c>
      <c r="E339" s="84" t="inlineStr">
        <is>
          <t>532A00</t>
        </is>
      </c>
      <c r="F339" s="83" t="n">
        <v>10336</v>
      </c>
      <c r="G339" s="83" t="n">
        <v>6070</v>
      </c>
      <c r="H339" s="83" t="n">
        <v>55041</v>
      </c>
      <c r="I339" s="92" t="n">
        <v>9111</v>
      </c>
      <c r="J339" s="83" t="n">
        <v>641</v>
      </c>
      <c r="K339" s="83" t="n">
        <v>2082</v>
      </c>
      <c r="L339" s="93" t="n">
        <v>5895</v>
      </c>
    </row>
    <row r="340" ht="13.8" customHeight="1" s="82">
      <c r="A340" s="83" t="inlineStr">
        <is>
          <t>533000</t>
        </is>
      </c>
      <c r="B340" s="83" t="inlineStr">
        <is>
          <t>532RL</t>
        </is>
      </c>
      <c r="C340" s="83" t="inlineStr">
        <is>
          <t>Rental and leasing services and lessors of intangible assets</t>
        </is>
      </c>
      <c r="D340" s="83" t="inlineStr">
        <is>
          <t>Lessors of nonfinancial intangible assets</t>
        </is>
      </c>
      <c r="E340" s="84" t="inlineStr">
        <is>
          <t>533000</t>
        </is>
      </c>
      <c r="F340" s="83" t="n">
        <v>3656</v>
      </c>
      <c r="G340" s="83" t="n">
        <v>2147</v>
      </c>
      <c r="H340" s="83" t="n">
        <v>19469</v>
      </c>
      <c r="I340" s="92" t="n">
        <v>2990</v>
      </c>
      <c r="J340" s="83" t="n">
        <v>4292</v>
      </c>
      <c r="K340" s="83" t="n">
        <v>2</v>
      </c>
      <c r="L340" s="93" t="n">
        <v>95037</v>
      </c>
    </row>
    <row r="341" ht="13.8" customHeight="1" s="82">
      <c r="A341" s="83" t="inlineStr">
        <is>
          <t>541100</t>
        </is>
      </c>
      <c r="B341" s="83" t="inlineStr">
        <is>
          <t>5411</t>
        </is>
      </c>
      <c r="C341" s="83" t="inlineStr">
        <is>
          <t>Legal services</t>
        </is>
      </c>
      <c r="D341" s="83" t="inlineStr">
        <is>
          <t>Legal services</t>
        </is>
      </c>
      <c r="E341" s="84" t="inlineStr">
        <is>
          <t>541100</t>
        </is>
      </c>
      <c r="F341" s="83" t="n">
        <v>169203</v>
      </c>
      <c r="G341" s="83" t="n">
        <v>25991</v>
      </c>
      <c r="H341" s="83" t="n">
        <v>133740</v>
      </c>
      <c r="I341" s="92" t="n">
        <v>131525</v>
      </c>
      <c r="J341" s="83" t="n">
        <v>1243</v>
      </c>
      <c r="K341" s="83" t="n">
        <v>15394</v>
      </c>
      <c r="L341" s="93" t="n">
        <v>118269</v>
      </c>
    </row>
    <row r="342" ht="13.8" customHeight="1" s="82">
      <c r="A342" s="83" t="inlineStr">
        <is>
          <t>541200</t>
        </is>
      </c>
      <c r="B342" s="83" t="inlineStr">
        <is>
          <t>5412OP</t>
        </is>
      </c>
      <c r="C342" s="83" t="inlineStr">
        <is>
          <t>Miscellaneous professional, scientific, and technical services</t>
        </is>
      </c>
      <c r="D342" s="83" t="inlineStr">
        <is>
          <t>Accounting, tax preparation, bookkeeping, and payroll services</t>
        </is>
      </c>
      <c r="E342" s="84" t="inlineStr">
        <is>
          <t>541200</t>
        </is>
      </c>
      <c r="F342" s="83" t="n">
        <v>121725</v>
      </c>
      <c r="G342" s="83" t="n">
        <v>2875</v>
      </c>
      <c r="H342" s="83" t="n">
        <v>47481</v>
      </c>
      <c r="I342" s="92" t="n">
        <v>88558</v>
      </c>
      <c r="J342" s="83" t="n">
        <v>1175</v>
      </c>
      <c r="K342" s="83" t="n">
        <v>449</v>
      </c>
      <c r="L342" s="93" t="n">
        <v>34999</v>
      </c>
    </row>
    <row r="343" ht="13.8" customHeight="1" s="82">
      <c r="A343" s="83" t="inlineStr">
        <is>
          <t>541300</t>
        </is>
      </c>
      <c r="B343" s="83" t="inlineStr">
        <is>
          <t>5412OP</t>
        </is>
      </c>
      <c r="C343" s="83" t="inlineStr">
        <is>
          <t>Miscellaneous professional, scientific, and technical services</t>
        </is>
      </c>
      <c r="D343" s="83" t="inlineStr">
        <is>
          <t>Architectural, engineering, and related services</t>
        </is>
      </c>
      <c r="E343" s="84" t="inlineStr">
        <is>
          <t>541300</t>
        </is>
      </c>
      <c r="F343" s="83" t="n">
        <v>209009</v>
      </c>
      <c r="G343" s="83" t="n">
        <v>4936</v>
      </c>
      <c r="H343" s="83" t="n">
        <v>81528</v>
      </c>
      <c r="I343" s="92" t="n">
        <v>149700</v>
      </c>
      <c r="J343" s="83" t="n">
        <v>2363</v>
      </c>
      <c r="K343" s="83" t="n">
        <v>1363</v>
      </c>
      <c r="L343" s="93" t="n">
        <v>56463</v>
      </c>
    </row>
    <row r="344" ht="13.8" customHeight="1" s="82">
      <c r="A344" s="83" t="inlineStr">
        <is>
          <t>541400</t>
        </is>
      </c>
      <c r="B344" s="83" t="inlineStr">
        <is>
          <t>5412OP</t>
        </is>
      </c>
      <c r="C344" s="83" t="inlineStr">
        <is>
          <t>Miscellaneous professional, scientific, and technical services</t>
        </is>
      </c>
      <c r="D344" s="83" t="inlineStr">
        <is>
          <t>Specialized design services</t>
        </is>
      </c>
      <c r="E344" s="84" t="inlineStr">
        <is>
          <t>541400</t>
        </is>
      </c>
      <c r="F344" s="83" t="n">
        <v>14576</v>
      </c>
      <c r="G344" s="83" t="n">
        <v>344</v>
      </c>
      <c r="H344" s="83" t="n">
        <v>5686</v>
      </c>
      <c r="I344" s="92" t="n">
        <v>11468</v>
      </c>
      <c r="J344" s="83" t="n">
        <v>254</v>
      </c>
      <c r="K344" s="83" t="n">
        <v>934</v>
      </c>
      <c r="L344" s="93" t="n">
        <v>12365</v>
      </c>
    </row>
    <row r="345" ht="13.8" customHeight="1" s="82">
      <c r="A345" s="83" t="inlineStr">
        <is>
          <t>541511</t>
        </is>
      </c>
      <c r="B345" s="83" t="inlineStr">
        <is>
          <t>5415</t>
        </is>
      </c>
      <c r="C345" s="83" t="inlineStr">
        <is>
          <t>Computer systems design and related services</t>
        </is>
      </c>
      <c r="D345" s="83" t="inlineStr">
        <is>
          <t>Custom computer programming services</t>
        </is>
      </c>
      <c r="E345" s="84" t="inlineStr">
        <is>
          <t>541511</t>
        </is>
      </c>
      <c r="F345" s="83" t="n">
        <v>193560</v>
      </c>
      <c r="G345" s="83" t="n">
        <v>4835</v>
      </c>
      <c r="H345" s="83" t="n">
        <v>23737</v>
      </c>
      <c r="I345" s="92" t="n">
        <v>99401</v>
      </c>
      <c r="J345" s="83" t="n">
        <v>646</v>
      </c>
      <c r="K345" s="83" t="n">
        <v>1360</v>
      </c>
      <c r="L345" s="93" t="n">
        <v>14390</v>
      </c>
    </row>
    <row r="346" ht="13.8" customHeight="1" s="82">
      <c r="A346" s="83" t="inlineStr">
        <is>
          <t>541512</t>
        </is>
      </c>
      <c r="B346" s="83" t="inlineStr">
        <is>
          <t>5415</t>
        </is>
      </c>
      <c r="C346" s="83" t="inlineStr">
        <is>
          <t>Computer systems design and related services</t>
        </is>
      </c>
      <c r="D346" s="83" t="inlineStr">
        <is>
          <t>Computer systems design services</t>
        </is>
      </c>
      <c r="E346" s="84" t="inlineStr">
        <is>
          <t>541512</t>
        </is>
      </c>
      <c r="F346" s="83" t="n">
        <v>170895</v>
      </c>
      <c r="G346" s="83" t="n">
        <v>4269</v>
      </c>
      <c r="H346" s="83" t="n">
        <v>20958</v>
      </c>
      <c r="I346" s="92" t="n">
        <v>140481</v>
      </c>
      <c r="J346" s="83" t="n">
        <v>1122</v>
      </c>
      <c r="K346" s="83" t="n">
        <v>2828</v>
      </c>
      <c r="L346" s="93" t="n">
        <v>34127</v>
      </c>
    </row>
    <row r="347" ht="13.8" customHeight="1" s="82">
      <c r="A347" s="83" t="inlineStr">
        <is>
          <t>54151A</t>
        </is>
      </c>
      <c r="B347" s="83" t="inlineStr">
        <is>
          <t>5415</t>
        </is>
      </c>
      <c r="C347" s="83" t="inlineStr">
        <is>
          <t>Computer systems design and related services</t>
        </is>
      </c>
      <c r="D347" s="83" t="inlineStr">
        <is>
          <t>Other computer related services, including facilities management</t>
        </is>
      </c>
      <c r="E347" s="84" t="inlineStr">
        <is>
          <t>54151A</t>
        </is>
      </c>
      <c r="F347" s="83" t="n">
        <v>34653</v>
      </c>
      <c r="G347" s="83" t="n">
        <v>866</v>
      </c>
      <c r="H347" s="83" t="n">
        <v>4250</v>
      </c>
      <c r="I347" s="92" t="n">
        <v>24875</v>
      </c>
      <c r="J347" s="83" t="n">
        <v>207</v>
      </c>
      <c r="K347" s="83" t="n">
        <v>524</v>
      </c>
      <c r="L347" s="93" t="n">
        <v>6412</v>
      </c>
    </row>
    <row r="348" ht="13.8" customHeight="1" s="82">
      <c r="A348" s="83" t="inlineStr">
        <is>
          <t>541610</t>
        </is>
      </c>
      <c r="B348" s="83" t="inlineStr">
        <is>
          <t>5412OP</t>
        </is>
      </c>
      <c r="C348" s="83" t="inlineStr">
        <is>
          <t>Miscellaneous professional, scientific, and technical services</t>
        </is>
      </c>
      <c r="D348" s="83" t="inlineStr">
        <is>
          <t>Management consulting services</t>
        </is>
      </c>
      <c r="E348" s="84" t="inlineStr">
        <is>
          <t>541610</t>
        </is>
      </c>
      <c r="F348" s="83" t="n">
        <v>193328</v>
      </c>
      <c r="G348" s="83" t="n">
        <v>4566</v>
      </c>
      <c r="H348" s="83" t="n">
        <v>75411</v>
      </c>
      <c r="I348" s="92" t="n">
        <v>125104</v>
      </c>
      <c r="J348" s="83" t="n">
        <v>1813</v>
      </c>
      <c r="K348" s="83" t="n">
        <v>938</v>
      </c>
      <c r="L348" s="93" t="n">
        <v>45077</v>
      </c>
    </row>
    <row r="349" ht="13.8" customHeight="1" s="82">
      <c r="A349" s="83" t="inlineStr">
        <is>
          <t>5416A0</t>
        </is>
      </c>
      <c r="B349" s="83" t="inlineStr">
        <is>
          <t>5412OP</t>
        </is>
      </c>
      <c r="C349" s="83" t="inlineStr">
        <is>
          <t>Miscellaneous professional, scientific, and technical services</t>
        </is>
      </c>
      <c r="D349" s="83" t="inlineStr">
        <is>
          <t>Environmental and other technical consulting services</t>
        </is>
      </c>
      <c r="E349" s="84" t="inlineStr">
        <is>
          <t>5416A0</t>
        </is>
      </c>
      <c r="F349" s="83" t="n">
        <v>35661</v>
      </c>
      <c r="G349" s="83" t="n">
        <v>842</v>
      </c>
      <c r="H349" s="83" t="n">
        <v>13910</v>
      </c>
      <c r="I349" s="92" t="n">
        <v>27523</v>
      </c>
      <c r="J349" s="83" t="n">
        <v>390</v>
      </c>
      <c r="K349" s="83" t="n">
        <v>106</v>
      </c>
      <c r="L349" s="93" t="n">
        <v>3399</v>
      </c>
    </row>
    <row r="350" ht="13.8" customHeight="1" s="82">
      <c r="A350" s="83" t="inlineStr">
        <is>
          <t>541700</t>
        </is>
      </c>
      <c r="B350" s="83" t="inlineStr">
        <is>
          <t>5412OP</t>
        </is>
      </c>
      <c r="C350" s="83" t="inlineStr">
        <is>
          <t>Miscellaneous professional, scientific, and technical services</t>
        </is>
      </c>
      <c r="D350" s="83" t="inlineStr">
        <is>
          <t>Scientific research and development services</t>
        </is>
      </c>
      <c r="E350" s="84" t="inlineStr">
        <is>
          <t>541700</t>
        </is>
      </c>
      <c r="F350" s="83" t="n">
        <v>170557</v>
      </c>
      <c r="G350" s="83" t="n">
        <v>4028</v>
      </c>
      <c r="H350" s="83" t="n">
        <v>66529</v>
      </c>
      <c r="I350" s="92" t="n">
        <v>97150</v>
      </c>
      <c r="J350" s="83" t="n">
        <v>1553</v>
      </c>
      <c r="K350" s="83" t="n">
        <v>87</v>
      </c>
      <c r="L350" s="93" t="n">
        <v>22155</v>
      </c>
    </row>
    <row r="351" ht="13.8" customHeight="1" s="82">
      <c r="A351" s="83" t="inlineStr">
        <is>
          <t>541800</t>
        </is>
      </c>
      <c r="B351" s="83" t="inlineStr">
        <is>
          <t>5412OP</t>
        </is>
      </c>
      <c r="C351" s="83" t="inlineStr">
        <is>
          <t>Miscellaneous professional, scientific, and technical services</t>
        </is>
      </c>
      <c r="D351" s="83" t="inlineStr">
        <is>
          <t>Advertising, public relations, and related services</t>
        </is>
      </c>
      <c r="E351" s="84" t="inlineStr">
        <is>
          <t>541800</t>
        </is>
      </c>
      <c r="F351" s="83" t="n">
        <v>58166</v>
      </c>
      <c r="G351" s="83" t="n">
        <v>1374</v>
      </c>
      <c r="H351" s="83" t="n">
        <v>22689</v>
      </c>
      <c r="I351" s="92" t="n">
        <v>45888</v>
      </c>
      <c r="J351" s="83" t="n">
        <v>893</v>
      </c>
      <c r="K351" s="83" t="n">
        <v>830</v>
      </c>
      <c r="L351" s="93" t="n">
        <v>41656</v>
      </c>
    </row>
    <row r="352" ht="13.8" customHeight="1" s="82">
      <c r="A352" s="83" t="inlineStr">
        <is>
          <t>541920</t>
        </is>
      </c>
      <c r="B352" s="83" t="inlineStr">
        <is>
          <t>5412OP</t>
        </is>
      </c>
      <c r="C352" s="83" t="inlineStr">
        <is>
          <t>Miscellaneous professional, scientific, and technical services</t>
        </is>
      </c>
      <c r="D352" s="83" t="inlineStr">
        <is>
          <t>Photographic services</t>
        </is>
      </c>
      <c r="E352" s="84" t="inlineStr">
        <is>
          <t>541920</t>
        </is>
      </c>
      <c r="F352" s="83" t="n">
        <v>2234</v>
      </c>
      <c r="G352" s="83" t="n">
        <v>53</v>
      </c>
      <c r="H352" s="83" t="n">
        <v>872</v>
      </c>
      <c r="I352" s="92" t="n">
        <v>2172</v>
      </c>
      <c r="J352" s="83" t="n">
        <v>56</v>
      </c>
      <c r="K352" s="83" t="n">
        <v>443</v>
      </c>
      <c r="L352" s="93" t="n">
        <v>5073</v>
      </c>
    </row>
    <row r="353" ht="13.8" customHeight="1" s="82">
      <c r="A353" s="83" t="inlineStr">
        <is>
          <t>541940</t>
        </is>
      </c>
      <c r="B353" s="83" t="inlineStr">
        <is>
          <t>5412OP</t>
        </is>
      </c>
      <c r="C353" s="83" t="inlineStr">
        <is>
          <t>Miscellaneous professional, scientific, and technical services</t>
        </is>
      </c>
      <c r="D353" s="83" t="inlineStr">
        <is>
          <t>Veterinary services</t>
        </is>
      </c>
      <c r="E353" s="84" t="inlineStr">
        <is>
          <t>541940</t>
        </is>
      </c>
      <c r="F353" s="83" t="n">
        <v>28619</v>
      </c>
      <c r="G353" s="83" t="n">
        <v>676</v>
      </c>
      <c r="H353" s="83" t="n">
        <v>11163</v>
      </c>
      <c r="I353" s="92" t="n">
        <v>19253</v>
      </c>
      <c r="J353" s="83" t="n">
        <v>285</v>
      </c>
      <c r="K353" s="83" t="n">
        <v>123</v>
      </c>
      <c r="L353" s="93" t="n">
        <v>10043</v>
      </c>
    </row>
    <row r="354" ht="13.8" customHeight="1" s="82">
      <c r="A354" s="83" t="inlineStr">
        <is>
          <t>5419A0</t>
        </is>
      </c>
      <c r="B354" s="83" t="inlineStr">
        <is>
          <t>5412OP</t>
        </is>
      </c>
      <c r="C354" s="83" t="inlineStr">
        <is>
          <t>Miscellaneous professional, scientific, and technical services</t>
        </is>
      </c>
      <c r="D354" s="83" t="inlineStr">
        <is>
          <t xml:space="preserve">All other miscellaneous professional, scientific, and technical services </t>
        </is>
      </c>
      <c r="E354" s="84" t="inlineStr">
        <is>
          <t>5419A0</t>
        </is>
      </c>
      <c r="F354" s="83" t="n">
        <v>33646</v>
      </c>
      <c r="G354" s="83" t="n">
        <v>795</v>
      </c>
      <c r="H354" s="83" t="n">
        <v>13124</v>
      </c>
      <c r="I354" s="92" t="n">
        <v>27448</v>
      </c>
      <c r="J354" s="83" t="n">
        <v>619</v>
      </c>
      <c r="K354" s="83" t="n">
        <v>120</v>
      </c>
      <c r="L354" s="93" t="n">
        <v>27553</v>
      </c>
    </row>
    <row r="355" ht="13.8" customHeight="1" s="82">
      <c r="A355" s="83" t="inlineStr">
        <is>
          <t>550000</t>
        </is>
      </c>
      <c r="B355" s="83" t="inlineStr">
        <is>
          <t>55</t>
        </is>
      </c>
      <c r="C355" s="83" t="inlineStr">
        <is>
          <t>Management of companies and enterprises</t>
        </is>
      </c>
      <c r="D355" s="83" t="inlineStr">
        <is>
          <t>Management of companies and enterprises</t>
        </is>
      </c>
      <c r="E355" s="84" t="inlineStr">
        <is>
          <t>550000</t>
        </is>
      </c>
      <c r="F355" s="83" t="n">
        <v>425100</v>
      </c>
      <c r="G355" s="83" t="n">
        <v>11869</v>
      </c>
      <c r="H355" s="83" t="n">
        <v>43434</v>
      </c>
      <c r="I355" s="92" t="n">
        <v>324518</v>
      </c>
      <c r="J355" s="83" t="n">
        <v>7648</v>
      </c>
      <c r="K355" s="83" t="n">
        <v>1509</v>
      </c>
      <c r="L355" s="93" t="n">
        <v>36459</v>
      </c>
    </row>
    <row r="356" ht="13.8" customHeight="1" s="82">
      <c r="A356" s="83" t="inlineStr">
        <is>
          <t>561100</t>
        </is>
      </c>
      <c r="B356" s="83" t="inlineStr">
        <is>
          <t>561</t>
        </is>
      </c>
      <c r="C356" s="83" t="inlineStr">
        <is>
          <t>Administrative and support services</t>
        </is>
      </c>
      <c r="D356" s="83" t="inlineStr">
        <is>
          <t>Office administrative services</t>
        </is>
      </c>
      <c r="E356" s="84" t="inlineStr">
        <is>
          <t>561100</t>
        </is>
      </c>
      <c r="F356" s="83" t="n">
        <v>72701</v>
      </c>
      <c r="G356" s="83" t="n">
        <v>1795</v>
      </c>
      <c r="H356" s="83" t="n">
        <v>20619</v>
      </c>
      <c r="I356" s="92" t="n">
        <v>38562</v>
      </c>
      <c r="J356" s="83" t="n">
        <v>271</v>
      </c>
      <c r="K356" s="83" t="n">
        <v>214</v>
      </c>
      <c r="L356" s="93" t="n">
        <v>2442</v>
      </c>
    </row>
    <row r="357" ht="13.8" customHeight="1" s="82">
      <c r="A357" s="83" t="inlineStr">
        <is>
          <t>561200</t>
        </is>
      </c>
      <c r="B357" s="83" t="inlineStr">
        <is>
          <t>561</t>
        </is>
      </c>
      <c r="C357" s="83" t="inlineStr">
        <is>
          <t>Administrative and support services</t>
        </is>
      </c>
      <c r="D357" s="83" t="inlineStr">
        <is>
          <t>Facilities support services</t>
        </is>
      </c>
      <c r="E357" s="84" t="inlineStr">
        <is>
          <t>561200</t>
        </is>
      </c>
      <c r="F357" s="83" t="n">
        <v>12363</v>
      </c>
      <c r="G357" s="83" t="n">
        <v>305</v>
      </c>
      <c r="H357" s="83" t="n">
        <v>3506</v>
      </c>
      <c r="I357" s="92" t="n">
        <v>8062</v>
      </c>
      <c r="J357" s="83" t="n">
        <v>145</v>
      </c>
      <c r="K357" s="83" t="n">
        <v>102</v>
      </c>
      <c r="L357" s="93" t="n">
        <v>5037</v>
      </c>
    </row>
    <row r="358" ht="13.8" customHeight="1" s="82">
      <c r="A358" s="83" t="inlineStr">
        <is>
          <t>561300</t>
        </is>
      </c>
      <c r="B358" s="83" t="inlineStr">
        <is>
          <t>561</t>
        </is>
      </c>
      <c r="C358" s="83" t="inlineStr">
        <is>
          <t>Administrative and support services</t>
        </is>
      </c>
      <c r="D358" s="83" t="inlineStr">
        <is>
          <t>Employment services</t>
        </is>
      </c>
      <c r="E358" s="84" t="inlineStr">
        <is>
          <t>561300</t>
        </is>
      </c>
      <c r="F358" s="83" t="n">
        <v>222595</v>
      </c>
      <c r="G358" s="83" t="n">
        <v>5495</v>
      </c>
      <c r="H358" s="83" t="n">
        <v>63131</v>
      </c>
      <c r="I358" s="92" t="n">
        <v>176327</v>
      </c>
      <c r="J358" s="83" t="n">
        <v>1547</v>
      </c>
      <c r="K358" s="83" t="n">
        <v>781</v>
      </c>
      <c r="L358" s="93" t="n">
        <v>70536</v>
      </c>
    </row>
    <row r="359" ht="13.8" customHeight="1" s="82">
      <c r="A359" s="83" t="inlineStr">
        <is>
          <t>561400</t>
        </is>
      </c>
      <c r="B359" s="83" t="inlineStr">
        <is>
          <t>561</t>
        </is>
      </c>
      <c r="C359" s="83" t="inlineStr">
        <is>
          <t>Administrative and support services</t>
        </is>
      </c>
      <c r="D359" s="83" t="inlineStr">
        <is>
          <t>Business support services</t>
        </is>
      </c>
      <c r="E359" s="84" t="inlineStr">
        <is>
          <t>561400</t>
        </is>
      </c>
      <c r="F359" s="83" t="n">
        <v>54201</v>
      </c>
      <c r="G359" s="83" t="n">
        <v>1338</v>
      </c>
      <c r="H359" s="83" t="n">
        <v>15372</v>
      </c>
      <c r="I359" s="92" t="n">
        <v>33176</v>
      </c>
      <c r="J359" s="83" t="n">
        <v>384</v>
      </c>
      <c r="K359" s="83" t="n">
        <v>806</v>
      </c>
      <c r="L359" s="93" t="n">
        <v>8578</v>
      </c>
    </row>
    <row r="360" ht="13.8" customHeight="1" s="82">
      <c r="A360" s="83" t="inlineStr">
        <is>
          <t>561500</t>
        </is>
      </c>
      <c r="B360" s="83" t="inlineStr">
        <is>
          <t>561</t>
        </is>
      </c>
      <c r="C360" s="83" t="inlineStr">
        <is>
          <t>Administrative and support services</t>
        </is>
      </c>
      <c r="D360" s="83" t="inlineStr">
        <is>
          <t>Travel arrangement and reservation services</t>
        </is>
      </c>
      <c r="E360" s="84" t="inlineStr">
        <is>
          <t>561500</t>
        </is>
      </c>
      <c r="F360" s="83" t="n">
        <v>19289</v>
      </c>
      <c r="G360" s="83" t="n">
        <v>476</v>
      </c>
      <c r="H360" s="83" t="n">
        <v>5471</v>
      </c>
      <c r="I360" s="92" t="n">
        <v>17878</v>
      </c>
      <c r="J360" s="83" t="n">
        <v>258</v>
      </c>
      <c r="K360" s="83" t="n">
        <v>340</v>
      </c>
      <c r="L360" s="93" t="n">
        <v>7663</v>
      </c>
    </row>
    <row r="361" ht="13.8" customHeight="1" s="82">
      <c r="A361" s="83" t="inlineStr">
        <is>
          <t>561600</t>
        </is>
      </c>
      <c r="B361" s="83" t="inlineStr">
        <is>
          <t>561</t>
        </is>
      </c>
      <c r="C361" s="83" t="inlineStr">
        <is>
          <t>Administrative and support services</t>
        </is>
      </c>
      <c r="D361" s="83" t="inlineStr">
        <is>
          <t>Investigation and security services</t>
        </is>
      </c>
      <c r="E361" s="84" t="inlineStr">
        <is>
          <t>561600</t>
        </is>
      </c>
      <c r="F361" s="83" t="n">
        <v>54182</v>
      </c>
      <c r="G361" s="83" t="n">
        <v>1337</v>
      </c>
      <c r="H361" s="83" t="n">
        <v>15367</v>
      </c>
      <c r="I361" s="92" t="n">
        <v>37273</v>
      </c>
      <c r="J361" s="83" t="n">
        <v>285</v>
      </c>
      <c r="K361" s="83" t="n">
        <v>1118</v>
      </c>
      <c r="L361" s="93" t="n">
        <v>5324</v>
      </c>
    </row>
    <row r="362" ht="13.8" customHeight="1" s="82">
      <c r="A362" s="83" t="inlineStr">
        <is>
          <t>561700</t>
        </is>
      </c>
      <c r="B362" s="83" t="inlineStr">
        <is>
          <t>561</t>
        </is>
      </c>
      <c r="C362" s="83" t="inlineStr">
        <is>
          <t>Administrative and support services</t>
        </is>
      </c>
      <c r="D362" s="83" t="inlineStr">
        <is>
          <t>Services to buildings and dwellings</t>
        </is>
      </c>
      <c r="E362" s="84" t="inlineStr">
        <is>
          <t>561700</t>
        </is>
      </c>
      <c r="F362" s="83" t="n">
        <v>114022</v>
      </c>
      <c r="G362" s="83" t="n">
        <v>2815</v>
      </c>
      <c r="H362" s="83" t="n">
        <v>32338</v>
      </c>
      <c r="I362" s="92" t="n">
        <v>75161</v>
      </c>
      <c r="J362" s="83" t="n">
        <v>805</v>
      </c>
      <c r="K362" s="83" t="n">
        <v>2489</v>
      </c>
      <c r="L362" s="93" t="n">
        <v>23875</v>
      </c>
    </row>
    <row r="363" ht="13.8" customHeight="1" s="82">
      <c r="A363" s="83" t="inlineStr">
        <is>
          <t>561900</t>
        </is>
      </c>
      <c r="B363" s="83" t="inlineStr">
        <is>
          <t>561</t>
        </is>
      </c>
      <c r="C363" s="83" t="inlineStr">
        <is>
          <t>Administrative and support services</t>
        </is>
      </c>
      <c r="D363" s="83" t="inlineStr">
        <is>
          <t>Other support services</t>
        </is>
      </c>
      <c r="E363" s="84" t="inlineStr">
        <is>
          <t>561900</t>
        </is>
      </c>
      <c r="F363" s="83" t="n">
        <v>23428</v>
      </c>
      <c r="G363" s="83" t="n">
        <v>578</v>
      </c>
      <c r="H363" s="83" t="n">
        <v>6645</v>
      </c>
      <c r="I363" s="92" t="n">
        <v>22892</v>
      </c>
      <c r="J363" s="83" t="n">
        <v>241</v>
      </c>
      <c r="K363" s="83" t="n">
        <v>450</v>
      </c>
      <c r="L363" s="93" t="n">
        <v>6684</v>
      </c>
    </row>
    <row r="364" ht="13.8" customHeight="1" s="82">
      <c r="A364" s="83" t="inlineStr">
        <is>
          <t>562000</t>
        </is>
      </c>
      <c r="B364" s="83" t="inlineStr">
        <is>
          <t>562</t>
        </is>
      </c>
      <c r="C364" s="83" t="inlineStr">
        <is>
          <t>Waste management and remediation services</t>
        </is>
      </c>
      <c r="D364" s="83" t="inlineStr">
        <is>
          <t>Waste management and remediation services</t>
        </is>
      </c>
      <c r="E364" s="84" t="inlineStr">
        <is>
          <t>562000</t>
        </is>
      </c>
      <c r="F364" s="83" t="n">
        <v>41119</v>
      </c>
      <c r="G364" s="83" t="n">
        <v>4808</v>
      </c>
      <c r="H364" s="83" t="n">
        <v>25296</v>
      </c>
      <c r="I364" s="92" t="n">
        <v>30195</v>
      </c>
      <c r="J364" s="83" t="n">
        <v>1896</v>
      </c>
      <c r="K364" s="83" t="n">
        <v>1751</v>
      </c>
      <c r="L364" s="93" t="n">
        <v>19317</v>
      </c>
    </row>
    <row r="365" ht="13.8" customHeight="1" s="82">
      <c r="A365" s="83" t="inlineStr">
        <is>
          <t>611100</t>
        </is>
      </c>
      <c r="B365" s="83" t="inlineStr">
        <is>
          <t>61</t>
        </is>
      </c>
      <c r="C365" s="83" t="inlineStr">
        <is>
          <t>Educational services</t>
        </is>
      </c>
      <c r="D365" s="83" t="inlineStr">
        <is>
          <t>Elementary and secondary schools</t>
        </is>
      </c>
      <c r="E365" s="84" t="inlineStr">
        <is>
          <t>611100</t>
        </is>
      </c>
      <c r="F365" s="83" t="n">
        <v>61721</v>
      </c>
      <c r="G365" s="83" t="n">
        <v>3003</v>
      </c>
      <c r="H365" s="83" t="n">
        <v>10311</v>
      </c>
      <c r="I365" s="92" t="n">
        <v>34563</v>
      </c>
      <c r="J365" s="83" t="n">
        <v>1206</v>
      </c>
      <c r="K365" s="83" t="n">
        <v>4</v>
      </c>
      <c r="L365" s="93" t="n">
        <v>1265</v>
      </c>
    </row>
    <row r="366" ht="13.8" customHeight="1" s="82">
      <c r="A366" s="83" t="inlineStr">
        <is>
          <t>611A00</t>
        </is>
      </c>
      <c r="B366" s="83" t="inlineStr">
        <is>
          <t>61</t>
        </is>
      </c>
      <c r="C366" s="83" t="inlineStr">
        <is>
          <t>Educational services</t>
        </is>
      </c>
      <c r="D366" s="83" t="inlineStr">
        <is>
          <t>Junior colleges, colleges, universities, and professional schools</t>
        </is>
      </c>
      <c r="E366" s="84" t="inlineStr">
        <is>
          <t>611A00</t>
        </is>
      </c>
      <c r="F366" s="83" t="n">
        <v>131340</v>
      </c>
      <c r="G366" s="83" t="n">
        <v>6390</v>
      </c>
      <c r="H366" s="83" t="n">
        <v>21942</v>
      </c>
      <c r="I366" s="92" t="n">
        <v>121810</v>
      </c>
      <c r="J366" s="83" t="n">
        <v>5200</v>
      </c>
      <c r="K366" s="83" t="n">
        <v>459</v>
      </c>
      <c r="L366" s="93" t="n">
        <v>41574</v>
      </c>
    </row>
    <row r="367" ht="13.8" customHeight="1" s="82">
      <c r="A367" s="83" t="inlineStr">
        <is>
          <t>611B00</t>
        </is>
      </c>
      <c r="B367" s="83" t="inlineStr">
        <is>
          <t>61</t>
        </is>
      </c>
      <c r="C367" s="83" t="inlineStr">
        <is>
          <t>Educational services</t>
        </is>
      </c>
      <c r="D367" s="83" t="inlineStr">
        <is>
          <t>Other educational services</t>
        </is>
      </c>
      <c r="E367" s="84" t="inlineStr">
        <is>
          <t>611B00</t>
        </is>
      </c>
      <c r="F367" s="83" t="n">
        <v>48320</v>
      </c>
      <c r="G367" s="83" t="n">
        <v>2351</v>
      </c>
      <c r="H367" s="83" t="n">
        <v>8072</v>
      </c>
      <c r="I367" s="92" t="n">
        <v>36048</v>
      </c>
      <c r="J367" s="83" t="n">
        <v>1954</v>
      </c>
      <c r="K367" s="83" t="n">
        <v>414</v>
      </c>
      <c r="L367" s="93" t="n">
        <v>1090</v>
      </c>
    </row>
    <row r="368" ht="13.8" customHeight="1" s="82">
      <c r="A368" s="83" t="inlineStr">
        <is>
          <t>621100</t>
        </is>
      </c>
      <c r="B368" s="83" t="inlineStr">
        <is>
          <t>621</t>
        </is>
      </c>
      <c r="C368" s="83" t="inlineStr">
        <is>
          <t>Ambulatory health care services</t>
        </is>
      </c>
      <c r="D368" s="83" t="inlineStr">
        <is>
          <t>Offices of physicians</t>
        </is>
      </c>
      <c r="E368" s="84" t="inlineStr">
        <is>
          <t>621100</t>
        </is>
      </c>
      <c r="F368" s="83" t="n">
        <v>362351</v>
      </c>
      <c r="G368" s="83" t="n">
        <v>2652</v>
      </c>
      <c r="H368" s="83" t="n">
        <v>86497</v>
      </c>
      <c r="I368" s="92" t="n">
        <v>279251</v>
      </c>
      <c r="J368" s="83" t="n">
        <v>4095</v>
      </c>
      <c r="K368" s="83" t="n">
        <v>308</v>
      </c>
      <c r="L368" s="93" t="n">
        <v>24262</v>
      </c>
    </row>
    <row r="369" ht="13.8" customHeight="1" s="82">
      <c r="A369" s="83" t="inlineStr">
        <is>
          <t>621200</t>
        </is>
      </c>
      <c r="B369" s="83" t="inlineStr">
        <is>
          <t>621</t>
        </is>
      </c>
      <c r="C369" s="83" t="inlineStr">
        <is>
          <t>Ambulatory health care services</t>
        </is>
      </c>
      <c r="D369" s="83" t="inlineStr">
        <is>
          <t>Offices of dentists</t>
        </is>
      </c>
      <c r="E369" s="84" t="inlineStr">
        <is>
          <t>621200</t>
        </is>
      </c>
      <c r="F369" s="83" t="n">
        <v>74387</v>
      </c>
      <c r="G369" s="83" t="n">
        <v>544</v>
      </c>
      <c r="H369" s="83" t="n">
        <v>17757</v>
      </c>
      <c r="I369" s="92" t="n">
        <v>57872</v>
      </c>
      <c r="J369" s="83" t="n">
        <v>966</v>
      </c>
      <c r="K369" s="83" t="n">
        <v>4</v>
      </c>
      <c r="L369" s="93" t="n">
        <v>40384</v>
      </c>
    </row>
    <row r="370" ht="13.8" customHeight="1" s="82">
      <c r="A370" s="83" t="inlineStr">
        <is>
          <t>621300</t>
        </is>
      </c>
      <c r="B370" s="83" t="inlineStr">
        <is>
          <t>621</t>
        </is>
      </c>
      <c r="C370" s="83" t="inlineStr">
        <is>
          <t>Ambulatory health care services</t>
        </is>
      </c>
      <c r="D370" s="83" t="inlineStr">
        <is>
          <t>Offices of other health practitioners</t>
        </is>
      </c>
      <c r="E370" s="84" t="inlineStr">
        <is>
          <t>621300</t>
        </is>
      </c>
      <c r="F370" s="83" t="n">
        <v>63606</v>
      </c>
      <c r="G370" s="83" t="n">
        <v>465</v>
      </c>
      <c r="H370" s="83" t="n">
        <v>15183</v>
      </c>
      <c r="I370" s="92" t="n">
        <v>43302</v>
      </c>
      <c r="J370" s="83" t="n">
        <v>641</v>
      </c>
      <c r="K370" s="83" t="n">
        <v>679</v>
      </c>
      <c r="L370" s="93" t="n">
        <v>33720</v>
      </c>
    </row>
    <row r="371" ht="13.8" customHeight="1" s="82">
      <c r="A371" s="83" t="inlineStr">
        <is>
          <t>621400</t>
        </is>
      </c>
      <c r="B371" s="83" t="inlineStr">
        <is>
          <t>621</t>
        </is>
      </c>
      <c r="C371" s="83" t="inlineStr">
        <is>
          <t>Ambulatory health care services</t>
        </is>
      </c>
      <c r="D371" s="83" t="inlineStr">
        <is>
          <t>Outpatient care centers</t>
        </is>
      </c>
      <c r="E371" s="84" t="inlineStr">
        <is>
          <t>621400</t>
        </is>
      </c>
      <c r="F371" s="83" t="n">
        <v>96074</v>
      </c>
      <c r="G371" s="83" t="n">
        <v>703</v>
      </c>
      <c r="H371" s="83" t="n">
        <v>22934</v>
      </c>
      <c r="I371" s="92" t="n">
        <v>73909</v>
      </c>
      <c r="J371" s="83" t="n">
        <v>960</v>
      </c>
      <c r="K371" s="83" t="n">
        <v>241</v>
      </c>
      <c r="L371" s="93" t="n">
        <v>25868</v>
      </c>
    </row>
    <row r="372" ht="13.8" customHeight="1" s="82">
      <c r="A372" s="83" t="inlineStr">
        <is>
          <t>621500</t>
        </is>
      </c>
      <c r="B372" s="83" t="inlineStr">
        <is>
          <t>621</t>
        </is>
      </c>
      <c r="C372" s="83" t="inlineStr">
        <is>
          <t>Ambulatory health care services</t>
        </is>
      </c>
      <c r="D372" s="83" t="inlineStr">
        <is>
          <t>Medical and diagnostic laboratories</t>
        </is>
      </c>
      <c r="E372" s="84" t="inlineStr">
        <is>
          <t>621500</t>
        </is>
      </c>
      <c r="F372" s="83" t="n">
        <v>28979</v>
      </c>
      <c r="G372" s="83" t="n">
        <v>212</v>
      </c>
      <c r="H372" s="83" t="n">
        <v>6918</v>
      </c>
      <c r="I372" s="92" t="n">
        <v>20867</v>
      </c>
      <c r="J372" s="83" t="n">
        <v>408</v>
      </c>
      <c r="K372" s="83" t="n">
        <v>54</v>
      </c>
      <c r="L372" s="93" t="n">
        <v>18285</v>
      </c>
    </row>
    <row r="373" ht="13.8" customHeight="1" s="82">
      <c r="A373" s="83" t="inlineStr">
        <is>
          <t>621600</t>
        </is>
      </c>
      <c r="B373" s="83" t="inlineStr">
        <is>
          <t>621</t>
        </is>
      </c>
      <c r="C373" s="83" t="inlineStr">
        <is>
          <t>Ambulatory health care services</t>
        </is>
      </c>
      <c r="D373" s="83" t="inlineStr">
        <is>
          <t>Home health care services</t>
        </is>
      </c>
      <c r="E373" s="84" t="inlineStr">
        <is>
          <t>621600</t>
        </is>
      </c>
      <c r="F373" s="83" t="n">
        <v>70978</v>
      </c>
      <c r="G373" s="83" t="n">
        <v>519</v>
      </c>
      <c r="H373" s="83" t="n">
        <v>16943</v>
      </c>
      <c r="I373" s="92" t="n">
        <v>52907</v>
      </c>
      <c r="J373" s="83" t="n">
        <v>725</v>
      </c>
      <c r="K373" s="83" t="n">
        <v>129</v>
      </c>
      <c r="L373" s="93" t="n">
        <v>11531</v>
      </c>
    </row>
    <row r="374" ht="13.8" customHeight="1" s="82">
      <c r="A374" s="83" t="inlineStr">
        <is>
          <t>621900</t>
        </is>
      </c>
      <c r="B374" s="83" t="inlineStr">
        <is>
          <t>621</t>
        </is>
      </c>
      <c r="C374" s="83" t="inlineStr">
        <is>
          <t>Ambulatory health care services</t>
        </is>
      </c>
      <c r="D374" s="83" t="inlineStr">
        <is>
          <t>Other ambulatory health care services</t>
        </is>
      </c>
      <c r="E374" s="84" t="inlineStr">
        <is>
          <t>621900</t>
        </is>
      </c>
      <c r="F374" s="83" t="n">
        <v>23041</v>
      </c>
      <c r="G374" s="83" t="n">
        <v>169</v>
      </c>
      <c r="H374" s="83" t="n">
        <v>5500</v>
      </c>
      <c r="I374" s="92" t="n">
        <v>17101</v>
      </c>
      <c r="J374" s="83" t="n">
        <v>300</v>
      </c>
      <c r="K374" s="83" t="n">
        <v>59</v>
      </c>
      <c r="L374" s="93" t="n">
        <v>833</v>
      </c>
    </row>
    <row r="375" ht="13.8" customHeight="1" s="82">
      <c r="A375" s="83" t="inlineStr">
        <is>
          <t>622000</t>
        </is>
      </c>
      <c r="B375" s="83" t="inlineStr">
        <is>
          <t>622</t>
        </is>
      </c>
      <c r="C375" s="83" t="inlineStr">
        <is>
          <t>Hospitals</t>
        </is>
      </c>
      <c r="D375" s="83" t="inlineStr">
        <is>
          <t>Hospitals</t>
        </is>
      </c>
      <c r="E375" s="84" t="inlineStr">
        <is>
          <t>622000</t>
        </is>
      </c>
      <c r="F375" s="83" t="n">
        <v>495496</v>
      </c>
      <c r="G375" s="83" t="n">
        <v>15059</v>
      </c>
      <c r="H375" s="83" t="n">
        <v>89000</v>
      </c>
      <c r="I375" s="92" t="n">
        <v>396274</v>
      </c>
      <c r="J375" s="83" t="n">
        <v>11590</v>
      </c>
      <c r="K375" s="83" t="n">
        <v>2241</v>
      </c>
      <c r="L375" s="93" t="n">
        <v>76051</v>
      </c>
    </row>
    <row r="376" ht="13.8" customHeight="1" s="82">
      <c r="A376" s="83" t="inlineStr">
        <is>
          <t>623A00</t>
        </is>
      </c>
      <c r="B376" s="83" t="inlineStr">
        <is>
          <t>623</t>
        </is>
      </c>
      <c r="C376" s="83" t="inlineStr">
        <is>
          <t>Nursing and residential care facilities</t>
        </is>
      </c>
      <c r="D376" s="83" t="inlineStr">
        <is>
          <t>Nursing and community care facilities</t>
        </is>
      </c>
      <c r="E376" s="84" t="inlineStr">
        <is>
          <t>623A00</t>
        </is>
      </c>
      <c r="F376" s="83" t="n">
        <v>113244</v>
      </c>
      <c r="G376" s="83" t="n">
        <v>5178</v>
      </c>
      <c r="H376" s="83" t="n">
        <v>6837</v>
      </c>
      <c r="I376" s="92" t="n">
        <v>98255</v>
      </c>
      <c r="J376" s="83" t="n">
        <v>2678</v>
      </c>
      <c r="K376" s="83" t="n">
        <v>2532</v>
      </c>
      <c r="L376" s="93" t="n">
        <v>7290</v>
      </c>
    </row>
    <row r="377" ht="13.8" customHeight="1" s="82">
      <c r="A377" s="83" t="inlineStr">
        <is>
          <t>623B00</t>
        </is>
      </c>
      <c r="B377" s="83" t="inlineStr">
        <is>
          <t>623</t>
        </is>
      </c>
      <c r="C377" s="83" t="inlineStr">
        <is>
          <t>Nursing and residential care facilities</t>
        </is>
      </c>
      <c r="D377" s="83" t="inlineStr">
        <is>
          <t>Residential mental health, substance abuse, and other residential care facilities</t>
        </is>
      </c>
      <c r="E377" s="84" t="inlineStr">
        <is>
          <t>623B00</t>
        </is>
      </c>
      <c r="F377" s="83" t="n">
        <v>47660</v>
      </c>
      <c r="G377" s="83" t="n">
        <v>2179</v>
      </c>
      <c r="H377" s="83" t="n">
        <v>2877</v>
      </c>
      <c r="I377" s="92" t="n">
        <v>33285</v>
      </c>
      <c r="J377" s="83" t="n">
        <v>760</v>
      </c>
      <c r="K377" s="83" t="n">
        <v>431</v>
      </c>
      <c r="L377" s="93" t="n">
        <v>2136</v>
      </c>
    </row>
    <row r="378" ht="13.8" customHeight="1" s="82">
      <c r="A378" s="83" t="inlineStr">
        <is>
          <t>624100</t>
        </is>
      </c>
      <c r="B378" s="83" t="inlineStr">
        <is>
          <t>624</t>
        </is>
      </c>
      <c r="C378" s="83" t="inlineStr">
        <is>
          <t>Social assistance</t>
        </is>
      </c>
      <c r="D378" s="83" t="inlineStr">
        <is>
          <t>Individual and family services</t>
        </is>
      </c>
      <c r="E378" s="84" t="inlineStr">
        <is>
          <t>624100</t>
        </is>
      </c>
      <c r="F378" s="83" t="n">
        <v>109383</v>
      </c>
      <c r="G378" s="83" t="n">
        <v>-3587</v>
      </c>
      <c r="H378" s="83" t="n">
        <v>13789</v>
      </c>
      <c r="I378" s="92" t="n">
        <v>68790</v>
      </c>
      <c r="J378" s="83" t="n">
        <v>606</v>
      </c>
      <c r="K378" s="83" t="n">
        <v>408</v>
      </c>
      <c r="L378" s="93" t="n">
        <v>6311</v>
      </c>
    </row>
    <row r="379" ht="13.8" customHeight="1" s="82">
      <c r="A379" s="83" t="inlineStr">
        <is>
          <t>624400</t>
        </is>
      </c>
      <c r="B379" s="83" t="inlineStr">
        <is>
          <t>624</t>
        </is>
      </c>
      <c r="C379" s="83" t="inlineStr">
        <is>
          <t>Social assistance</t>
        </is>
      </c>
      <c r="D379" s="83" t="inlineStr">
        <is>
          <t>Child day care services</t>
        </is>
      </c>
      <c r="E379" s="84" t="inlineStr">
        <is>
          <t>624400</t>
        </is>
      </c>
      <c r="F379" s="83" t="n">
        <v>32732</v>
      </c>
      <c r="G379" s="83" t="n">
        <v>-1073</v>
      </c>
      <c r="H379" s="83" t="n">
        <v>4126</v>
      </c>
      <c r="I379" s="92" t="n">
        <v>25402</v>
      </c>
      <c r="J379" s="83" t="n">
        <v>285</v>
      </c>
      <c r="K379" s="83" t="n">
        <v>383</v>
      </c>
      <c r="L379" s="93" t="n">
        <v>2826</v>
      </c>
    </row>
    <row r="380" ht="13.8" customHeight="1" s="82">
      <c r="A380" s="83" t="inlineStr">
        <is>
          <t>624A00</t>
        </is>
      </c>
      <c r="B380" s="83" t="inlineStr">
        <is>
          <t>624</t>
        </is>
      </c>
      <c r="C380" s="83" t="inlineStr">
        <is>
          <t>Social assistance</t>
        </is>
      </c>
      <c r="D380" s="83" t="inlineStr">
        <is>
          <t>Community food, housing, and other relief services, including rehabilitation services</t>
        </is>
      </c>
      <c r="E380" s="84" t="inlineStr">
        <is>
          <t>624A00</t>
        </is>
      </c>
      <c r="F380" s="83" t="n">
        <v>24735</v>
      </c>
      <c r="G380" s="83" t="n">
        <v>-811</v>
      </c>
      <c r="H380" s="83" t="n">
        <v>3118</v>
      </c>
      <c r="I380" s="92" t="n">
        <v>19894</v>
      </c>
      <c r="J380" s="83" t="n">
        <v>259</v>
      </c>
      <c r="K380" s="83" t="n">
        <v>162</v>
      </c>
      <c r="L380" s="93" t="n">
        <v>2828</v>
      </c>
    </row>
    <row r="381" ht="13.8" customHeight="1" s="82">
      <c r="A381" s="83" t="inlineStr">
        <is>
          <t>711100</t>
        </is>
      </c>
      <c r="B381" s="83" t="inlineStr">
        <is>
          <t>711AS</t>
        </is>
      </c>
      <c r="C381" s="83" t="inlineStr">
        <is>
          <t>Performing arts, spectator sports, museums, and related activities</t>
        </is>
      </c>
      <c r="D381" s="83" t="inlineStr">
        <is>
          <t>Performing arts companies</t>
        </is>
      </c>
      <c r="E381" s="84" t="inlineStr">
        <is>
          <t>711100</t>
        </is>
      </c>
      <c r="F381" s="83" t="n">
        <v>7892</v>
      </c>
      <c r="G381" s="83" t="n">
        <v>583</v>
      </c>
      <c r="H381" s="83" t="n">
        <v>8263</v>
      </c>
      <c r="I381" s="92" t="n">
        <v>7264</v>
      </c>
      <c r="J381" s="83" t="n">
        <v>346</v>
      </c>
      <c r="K381" s="83" t="n">
        <v>972</v>
      </c>
      <c r="L381" s="93" t="n">
        <v>8020</v>
      </c>
    </row>
    <row r="382" ht="13.8" customHeight="1" s="82">
      <c r="A382" s="83" t="inlineStr">
        <is>
          <t>711200</t>
        </is>
      </c>
      <c r="B382" s="83" t="inlineStr">
        <is>
          <t>711AS</t>
        </is>
      </c>
      <c r="C382" s="83" t="inlineStr">
        <is>
          <t>Performing arts, spectator sports, museums, and related activities</t>
        </is>
      </c>
      <c r="D382" s="83" t="inlineStr">
        <is>
          <t>Spectator sports</t>
        </is>
      </c>
      <c r="E382" s="84" t="inlineStr">
        <is>
          <t>711200</t>
        </is>
      </c>
      <c r="F382" s="83" t="n">
        <v>33639</v>
      </c>
      <c r="G382" s="83" t="n">
        <v>2486</v>
      </c>
      <c r="H382" s="83" t="n">
        <v>35220</v>
      </c>
      <c r="I382" s="92" t="n">
        <v>25961</v>
      </c>
      <c r="J382" s="83" t="n">
        <v>676</v>
      </c>
      <c r="K382" s="83" t="n">
        <v>1899</v>
      </c>
      <c r="L382" s="93" t="n">
        <v>9100</v>
      </c>
    </row>
    <row r="383" ht="13.8" customHeight="1" s="82">
      <c r="A383" s="83" t="inlineStr">
        <is>
          <t>711500</t>
        </is>
      </c>
      <c r="B383" s="83" t="inlineStr">
        <is>
          <t>711AS</t>
        </is>
      </c>
      <c r="C383" s="83" t="inlineStr">
        <is>
          <t>Performing arts, spectator sports, museums, and related activities</t>
        </is>
      </c>
      <c r="D383" s="83" t="inlineStr">
        <is>
          <t>Independent artists, writers, and performers</t>
        </is>
      </c>
      <c r="E383" s="84" t="inlineStr">
        <is>
          <t>711500</t>
        </is>
      </c>
      <c r="F383" s="83" t="n">
        <v>10897</v>
      </c>
      <c r="G383" s="83" t="n">
        <v>805</v>
      </c>
      <c r="H383" s="83" t="n">
        <v>11409</v>
      </c>
      <c r="I383" s="92" t="n">
        <v>9125</v>
      </c>
      <c r="J383" s="83" t="n">
        <v>596</v>
      </c>
      <c r="K383" s="83" t="n">
        <v>1247</v>
      </c>
      <c r="L383" s="93" t="n">
        <v>21794</v>
      </c>
    </row>
    <row r="384" ht="13.8" customHeight="1" s="82">
      <c r="A384" s="83" t="inlineStr">
        <is>
          <t>711A00</t>
        </is>
      </c>
      <c r="B384" s="83" t="inlineStr">
        <is>
          <t>711AS</t>
        </is>
      </c>
      <c r="C384" s="83" t="inlineStr">
        <is>
          <t>Performing arts, spectator sports, museums, and related activities</t>
        </is>
      </c>
      <c r="D384" s="83" t="inlineStr">
        <is>
          <t>Promoters of performing arts and sports and agents for public figures</t>
        </is>
      </c>
      <c r="E384" s="84" t="inlineStr">
        <is>
          <t>711A00</t>
        </is>
      </c>
      <c r="F384" s="83" t="n">
        <v>14201</v>
      </c>
      <c r="G384" s="83" t="n">
        <v>1050</v>
      </c>
      <c r="H384" s="83" t="n">
        <v>14868</v>
      </c>
      <c r="I384" s="92" t="n">
        <v>10192</v>
      </c>
      <c r="J384" s="83" t="n">
        <v>685</v>
      </c>
      <c r="K384" s="83" t="n">
        <v>1462</v>
      </c>
      <c r="L384" s="93" t="n">
        <v>15172</v>
      </c>
    </row>
    <row r="385" ht="13.8" customHeight="1" s="82">
      <c r="A385" s="83" t="inlineStr">
        <is>
          <t>712000</t>
        </is>
      </c>
      <c r="B385" s="83" t="inlineStr">
        <is>
          <t>711AS</t>
        </is>
      </c>
      <c r="C385" s="83" t="inlineStr">
        <is>
          <t>Performing arts, spectator sports, museums, and related activities</t>
        </is>
      </c>
      <c r="D385" s="83" t="inlineStr">
        <is>
          <t>Museums, historical sites, zoos, and parks</t>
        </is>
      </c>
      <c r="E385" s="84" t="inlineStr">
        <is>
          <t>712000</t>
        </is>
      </c>
      <c r="F385" s="83" t="n">
        <v>8837</v>
      </c>
      <c r="G385" s="83" t="n">
        <v>653</v>
      </c>
      <c r="H385" s="83" t="n">
        <v>9253</v>
      </c>
      <c r="I385" s="92" t="n">
        <v>6975</v>
      </c>
      <c r="J385" s="83" t="n">
        <v>265</v>
      </c>
      <c r="K385" s="83" t="n">
        <v>472</v>
      </c>
      <c r="L385" s="93" t="n">
        <v>4580</v>
      </c>
    </row>
    <row r="386" ht="13.8" customHeight="1" s="82">
      <c r="A386" s="83" t="inlineStr">
        <is>
          <t>713100</t>
        </is>
      </c>
      <c r="B386" s="83" t="inlineStr">
        <is>
          <t>713</t>
        </is>
      </c>
      <c r="C386" s="83" t="inlineStr">
        <is>
          <t>Amusements, gambling, and recreation industries</t>
        </is>
      </c>
      <c r="D386" s="83" t="inlineStr">
        <is>
          <t>Amusement parks and arcades</t>
        </is>
      </c>
      <c r="E386" s="84" t="inlineStr">
        <is>
          <t>713100</t>
        </is>
      </c>
      <c r="F386" s="83" t="n">
        <v>8822</v>
      </c>
      <c r="G386" s="83" t="n">
        <v>2884</v>
      </c>
      <c r="H386" s="83" t="n">
        <v>2797</v>
      </c>
      <c r="I386" s="92" t="n">
        <v>8012</v>
      </c>
      <c r="J386" s="83" t="n">
        <v>602</v>
      </c>
      <c r="K386" s="83" t="n">
        <v>2811</v>
      </c>
      <c r="L386" s="93" t="n">
        <v>4595</v>
      </c>
    </row>
    <row r="387" ht="13.8" customHeight="1" s="82">
      <c r="A387" s="83" t="inlineStr">
        <is>
          <t>713200</t>
        </is>
      </c>
      <c r="B387" s="83" t="inlineStr">
        <is>
          <t>713</t>
        </is>
      </c>
      <c r="C387" s="83" t="inlineStr">
        <is>
          <t>Amusements, gambling, and recreation industries</t>
        </is>
      </c>
      <c r="D387" s="83" t="inlineStr">
        <is>
          <t>Gambling industries (except casino hotels)</t>
        </is>
      </c>
      <c r="E387" s="84" t="inlineStr">
        <is>
          <t>713200</t>
        </is>
      </c>
      <c r="F387" s="83" t="n">
        <v>12115</v>
      </c>
      <c r="G387" s="83" t="n">
        <v>3960</v>
      </c>
      <c r="H387" s="83" t="n">
        <v>3842</v>
      </c>
      <c r="I387" s="92" t="n">
        <v>9103</v>
      </c>
      <c r="J387" s="83" t="n">
        <v>737</v>
      </c>
      <c r="K387" s="83" t="n">
        <v>1393</v>
      </c>
      <c r="L387" s="93" t="n">
        <v>9413</v>
      </c>
    </row>
    <row r="388" ht="13.8" customHeight="1" s="82">
      <c r="A388" s="83" t="inlineStr">
        <is>
          <t>713900</t>
        </is>
      </c>
      <c r="B388" s="83" t="inlineStr">
        <is>
          <t>713</t>
        </is>
      </c>
      <c r="C388" s="83" t="inlineStr">
        <is>
          <t>Amusements, gambling, and recreation industries</t>
        </is>
      </c>
      <c r="D388" s="83" t="inlineStr">
        <is>
          <t>Other amusement and recreation industries</t>
        </is>
      </c>
      <c r="E388" s="84" t="inlineStr">
        <is>
          <t>713900</t>
        </is>
      </c>
      <c r="F388" s="83" t="n">
        <v>46687</v>
      </c>
      <c r="G388" s="83" t="n">
        <v>15261</v>
      </c>
      <c r="H388" s="83" t="n">
        <v>14803</v>
      </c>
      <c r="I388" s="92" t="n">
        <v>37082</v>
      </c>
      <c r="J388" s="83" t="n">
        <v>2310</v>
      </c>
      <c r="K388" s="83" t="n">
        <v>5677</v>
      </c>
      <c r="L388" s="93" t="n">
        <v>5216</v>
      </c>
    </row>
    <row r="389" ht="13.8" customHeight="1" s="82">
      <c r="A389" s="83" t="inlineStr">
        <is>
          <t>721000</t>
        </is>
      </c>
      <c r="B389" s="83" t="inlineStr">
        <is>
          <t>721</t>
        </is>
      </c>
      <c r="C389" s="83" t="inlineStr">
        <is>
          <t>Accommodation</t>
        </is>
      </c>
      <c r="D389" s="83" t="inlineStr">
        <is>
          <t>Accommodation</t>
        </is>
      </c>
      <c r="E389" s="84" t="inlineStr">
        <is>
          <t>721000</t>
        </is>
      </c>
      <c r="F389" s="83" t="n">
        <v>92853</v>
      </c>
      <c r="G389" s="83" t="n">
        <v>35686</v>
      </c>
      <c r="H389" s="83" t="n">
        <v>87293</v>
      </c>
      <c r="I389" s="92" t="n">
        <v>82723</v>
      </c>
      <c r="J389" s="83" t="n">
        <v>5831</v>
      </c>
      <c r="K389" s="83" t="n">
        <v>24709</v>
      </c>
      <c r="L389" s="93" t="n">
        <v>63036</v>
      </c>
    </row>
    <row r="390" ht="13.8" customHeight="1" s="82">
      <c r="A390" s="83" t="inlineStr">
        <is>
          <t>722110</t>
        </is>
      </c>
      <c r="B390" s="83" t="inlineStr">
        <is>
          <t>722</t>
        </is>
      </c>
      <c r="C390" s="83" t="inlineStr">
        <is>
          <t>Food services and drinking places</t>
        </is>
      </c>
      <c r="D390" s="83" t="inlineStr">
        <is>
          <t>Full-service restaurants</t>
        </is>
      </c>
      <c r="E390" s="84" t="inlineStr">
        <is>
          <t>722110</t>
        </is>
      </c>
      <c r="F390" s="83" t="n">
        <v>199080</v>
      </c>
      <c r="G390" s="83" t="n">
        <v>35931</v>
      </c>
      <c r="H390" s="83" t="n">
        <v>58835</v>
      </c>
      <c r="I390" s="92" t="n">
        <v>153383</v>
      </c>
      <c r="J390" s="83" t="n">
        <v>1911</v>
      </c>
      <c r="K390" s="83" t="n">
        <v>24646</v>
      </c>
      <c r="L390" s="93" t="n">
        <v>39297</v>
      </c>
    </row>
    <row r="391" ht="13.8" customHeight="1" s="82">
      <c r="A391" s="83" t="inlineStr">
        <is>
          <t>722211</t>
        </is>
      </c>
      <c r="B391" s="83" t="inlineStr">
        <is>
          <t>722</t>
        </is>
      </c>
      <c r="C391" s="83" t="inlineStr">
        <is>
          <t>Food services and drinking places</t>
        </is>
      </c>
      <c r="D391" s="83" t="inlineStr">
        <is>
          <t>Limited-service restaurants</t>
        </is>
      </c>
      <c r="E391" s="84" t="inlineStr">
        <is>
          <t>722211</t>
        </is>
      </c>
      <c r="F391" s="83" t="n">
        <v>130385</v>
      </c>
      <c r="G391" s="83" t="n">
        <v>23533</v>
      </c>
      <c r="H391" s="83" t="n">
        <v>38533</v>
      </c>
      <c r="I391" s="92" t="n">
        <v>92629</v>
      </c>
      <c r="J391" s="83" t="n">
        <v>1751</v>
      </c>
      <c r="K391" s="83" t="n">
        <v>23633</v>
      </c>
      <c r="L391" s="93" t="n">
        <v>38095</v>
      </c>
    </row>
    <row r="392" ht="13.8" customHeight="1" s="82">
      <c r="A392" s="83" t="inlineStr">
        <is>
          <t>722A00</t>
        </is>
      </c>
      <c r="B392" s="83" t="inlineStr">
        <is>
          <t>722</t>
        </is>
      </c>
      <c r="C392" s="83" t="inlineStr">
        <is>
          <t>Food services and drinking places</t>
        </is>
      </c>
      <c r="D392" s="83" t="inlineStr">
        <is>
          <t>All other food and drinking places</t>
        </is>
      </c>
      <c r="E392" s="84" t="inlineStr">
        <is>
          <t>722A00</t>
        </is>
      </c>
      <c r="F392" s="83" t="n">
        <v>73359</v>
      </c>
      <c r="G392" s="83" t="n">
        <v>13240</v>
      </c>
      <c r="H392" s="83" t="n">
        <v>21680</v>
      </c>
      <c r="I392" s="92" t="n">
        <v>52024</v>
      </c>
      <c r="J392" s="83" t="n">
        <v>540</v>
      </c>
      <c r="K392" s="83" t="n">
        <v>4112</v>
      </c>
      <c r="L392" s="93" t="n">
        <v>9080</v>
      </c>
    </row>
    <row r="393" ht="13.8" customHeight="1" s="82">
      <c r="A393" s="83" t="inlineStr">
        <is>
          <t>811100</t>
        </is>
      </c>
      <c r="B393" s="83" t="inlineStr">
        <is>
          <t>81</t>
        </is>
      </c>
      <c r="C393" s="83" t="inlineStr">
        <is>
          <t>Other services, except government</t>
        </is>
      </c>
      <c r="D393" s="83" t="inlineStr">
        <is>
          <t>Automotive repair and maintenance (including car washes)</t>
        </is>
      </c>
      <c r="E393" s="84" t="inlineStr">
        <is>
          <t>811100</t>
        </is>
      </c>
      <c r="F393" s="83" t="n">
        <v>60123</v>
      </c>
      <c r="G393" s="83" t="n">
        <v>4775</v>
      </c>
      <c r="H393" s="83" t="n">
        <v>18404</v>
      </c>
      <c r="I393" s="92" t="n">
        <v>45483</v>
      </c>
      <c r="J393" s="83" t="n">
        <v>2155</v>
      </c>
      <c r="K393" s="83" t="n">
        <v>6420</v>
      </c>
      <c r="L393" s="93" t="n">
        <v>23211</v>
      </c>
    </row>
    <row r="394" ht="13.8" customHeight="1" s="82">
      <c r="A394" s="83" t="inlineStr">
        <is>
          <t>811200</t>
        </is>
      </c>
      <c r="B394" s="83" t="inlineStr">
        <is>
          <t>81</t>
        </is>
      </c>
      <c r="C394" s="83" t="inlineStr">
        <is>
          <t>Other services, except government</t>
        </is>
      </c>
      <c r="D394" s="83" t="inlineStr">
        <is>
          <t>Electronic and precision equipment repair and maintenance</t>
        </is>
      </c>
      <c r="E394" s="84" t="inlineStr">
        <is>
          <t>811200</t>
        </is>
      </c>
      <c r="F394" s="83" t="n">
        <v>8083</v>
      </c>
      <c r="G394" s="83" t="n">
        <v>642</v>
      </c>
      <c r="H394" s="83" t="n">
        <v>2474</v>
      </c>
      <c r="I394" s="92" t="n">
        <v>8659</v>
      </c>
      <c r="J394" s="83" t="n">
        <v>345</v>
      </c>
      <c r="K394" s="83" t="n">
        <v>466</v>
      </c>
      <c r="L394" s="93" t="n">
        <v>4176</v>
      </c>
    </row>
    <row r="395" ht="13.8" customHeight="1" s="82">
      <c r="A395" s="83" t="inlineStr">
        <is>
          <t>811300</t>
        </is>
      </c>
      <c r="B395" s="83" t="inlineStr">
        <is>
          <t>81</t>
        </is>
      </c>
      <c r="C395" s="83" t="inlineStr">
        <is>
          <t>Other services, except government</t>
        </is>
      </c>
      <c r="D395" s="83" t="inlineStr">
        <is>
          <t>Commercial and industrial machinery and equipment repair and maintenance</t>
        </is>
      </c>
      <c r="E395" s="84" t="inlineStr">
        <is>
          <t>811300</t>
        </is>
      </c>
      <c r="F395" s="83" t="n">
        <v>20084</v>
      </c>
      <c r="G395" s="83" t="n">
        <v>1595</v>
      </c>
      <c r="H395" s="83" t="n">
        <v>6148</v>
      </c>
      <c r="I395" s="92" t="n">
        <v>15059</v>
      </c>
      <c r="J395" s="83" t="n">
        <v>814</v>
      </c>
      <c r="K395" s="83" t="n">
        <v>741</v>
      </c>
      <c r="L395" s="93" t="n">
        <v>8394</v>
      </c>
    </row>
    <row r="396" ht="13.8" customHeight="1" s="82">
      <c r="A396" s="83" t="inlineStr">
        <is>
          <t>811400</t>
        </is>
      </c>
      <c r="B396" s="83" t="inlineStr">
        <is>
          <t>81</t>
        </is>
      </c>
      <c r="C396" s="83" t="inlineStr">
        <is>
          <t>Other services, except government</t>
        </is>
      </c>
      <c r="D396" s="83" t="inlineStr">
        <is>
          <t>Personal and household goods repair and maintenance</t>
        </is>
      </c>
      <c r="E396" s="84" t="inlineStr">
        <is>
          <t>811400</t>
        </is>
      </c>
      <c r="F396" s="83" t="n">
        <v>4673</v>
      </c>
      <c r="G396" s="83" t="n">
        <v>371</v>
      </c>
      <c r="H396" s="83" t="n">
        <v>1430</v>
      </c>
      <c r="I396" s="92" t="n">
        <v>6344</v>
      </c>
      <c r="J396" s="83" t="n">
        <v>438</v>
      </c>
      <c r="K396" s="83" t="n">
        <v>990</v>
      </c>
      <c r="L396" s="93" t="n">
        <v>5625</v>
      </c>
    </row>
    <row r="397" ht="13.8" customHeight="1" s="82">
      <c r="A397" s="83" t="inlineStr">
        <is>
          <t>812100</t>
        </is>
      </c>
      <c r="B397" s="83" t="inlineStr">
        <is>
          <t>81</t>
        </is>
      </c>
      <c r="C397" s="83" t="inlineStr">
        <is>
          <t>Other services, except government</t>
        </is>
      </c>
      <c r="D397" s="83" t="inlineStr">
        <is>
          <t>Personal care services</t>
        </is>
      </c>
      <c r="E397" s="84" t="inlineStr">
        <is>
          <t>812100</t>
        </is>
      </c>
      <c r="F397" s="83" t="n">
        <v>34195</v>
      </c>
      <c r="G397" s="83" t="n">
        <v>2716</v>
      </c>
      <c r="H397" s="83" t="n">
        <v>10467</v>
      </c>
      <c r="I397" s="92" t="n">
        <v>29909</v>
      </c>
      <c r="J397" s="83" t="n">
        <v>1515</v>
      </c>
      <c r="K397" s="83" t="n">
        <v>1407</v>
      </c>
      <c r="L397" s="93" t="n">
        <v>11995</v>
      </c>
    </row>
    <row r="398" ht="13.8" customHeight="1" s="82">
      <c r="A398" s="83" t="inlineStr">
        <is>
          <t>812200</t>
        </is>
      </c>
      <c r="B398" s="83" t="inlineStr">
        <is>
          <t>81</t>
        </is>
      </c>
      <c r="C398" s="83" t="inlineStr">
        <is>
          <t>Other services, except government</t>
        </is>
      </c>
      <c r="D398" s="83" t="inlineStr">
        <is>
          <t>Death care services</t>
        </is>
      </c>
      <c r="E398" s="84" t="inlineStr">
        <is>
          <t>812200</t>
        </is>
      </c>
      <c r="F398" s="83" t="n">
        <v>10154</v>
      </c>
      <c r="G398" s="83" t="n">
        <v>807</v>
      </c>
      <c r="H398" s="83" t="n">
        <v>3108</v>
      </c>
      <c r="I398" s="92" t="n">
        <v>7741</v>
      </c>
      <c r="J398" s="83" t="n">
        <v>391</v>
      </c>
      <c r="K398" s="83" t="n">
        <v>482</v>
      </c>
      <c r="L398" s="93" t="n">
        <v>5520</v>
      </c>
    </row>
    <row r="399" ht="13.8" customHeight="1" s="82">
      <c r="A399" s="83" t="inlineStr">
        <is>
          <t>812300</t>
        </is>
      </c>
      <c r="B399" s="83" t="inlineStr">
        <is>
          <t>81</t>
        </is>
      </c>
      <c r="C399" s="83" t="inlineStr">
        <is>
          <t>Other services, except government</t>
        </is>
      </c>
      <c r="D399" s="83" t="inlineStr">
        <is>
          <t>Dry-cleaning and laundry services</t>
        </is>
      </c>
      <c r="E399" s="84" t="inlineStr">
        <is>
          <t>812300</t>
        </is>
      </c>
      <c r="F399" s="83" t="n">
        <v>15122</v>
      </c>
      <c r="G399" s="83" t="n">
        <v>1201</v>
      </c>
      <c r="H399" s="83" t="n">
        <v>4629</v>
      </c>
      <c r="I399" s="92" t="n">
        <v>13444</v>
      </c>
      <c r="J399" s="83" t="n">
        <v>479</v>
      </c>
      <c r="K399" s="83" t="n">
        <v>1220</v>
      </c>
      <c r="L399" s="93" t="n">
        <v>4365</v>
      </c>
    </row>
    <row r="400" ht="13.8" customHeight="1" s="82">
      <c r="A400" s="83" t="inlineStr">
        <is>
          <t>812900</t>
        </is>
      </c>
      <c r="B400" s="83" t="inlineStr">
        <is>
          <t>81</t>
        </is>
      </c>
      <c r="C400" s="83" t="inlineStr">
        <is>
          <t>Other services, except government</t>
        </is>
      </c>
      <c r="D400" s="83" t="inlineStr">
        <is>
          <t>Other personal services</t>
        </is>
      </c>
      <c r="E400" s="84" t="inlineStr">
        <is>
          <t>812900</t>
        </is>
      </c>
      <c r="F400" s="83" t="n">
        <v>20228</v>
      </c>
      <c r="G400" s="83" t="n">
        <v>1607</v>
      </c>
      <c r="H400" s="83" t="n">
        <v>6192</v>
      </c>
      <c r="I400" s="92" t="n">
        <v>18426</v>
      </c>
      <c r="J400" s="83" t="n">
        <v>1367</v>
      </c>
      <c r="K400" s="83" t="n">
        <v>1338</v>
      </c>
      <c r="L400" s="93" t="n">
        <v>15077</v>
      </c>
    </row>
    <row r="401" ht="13.8" customHeight="1" s="82">
      <c r="A401" s="83" t="inlineStr">
        <is>
          <t>813100</t>
        </is>
      </c>
      <c r="B401" s="83" t="inlineStr">
        <is>
          <t>81</t>
        </is>
      </c>
      <c r="C401" s="83" t="inlineStr">
        <is>
          <t>Other services, except government</t>
        </is>
      </c>
      <c r="D401" s="83" t="inlineStr">
        <is>
          <t>Religious organizations</t>
        </is>
      </c>
      <c r="E401" s="84" t="inlineStr">
        <is>
          <t>813100</t>
        </is>
      </c>
      <c r="F401" s="83" t="n">
        <v>37222</v>
      </c>
      <c r="G401" s="83" t="n">
        <v>2956</v>
      </c>
      <c r="H401" s="83" t="n">
        <v>11394</v>
      </c>
      <c r="I401" s="92" t="n">
        <v>57158</v>
      </c>
      <c r="J401" s="83" t="n">
        <v>234</v>
      </c>
      <c r="K401" s="83" t="n">
        <v>0</v>
      </c>
      <c r="L401" s="93" t="n">
        <v>11860</v>
      </c>
    </row>
    <row r="402" ht="13.8" customHeight="1" s="82">
      <c r="A402" s="83" t="inlineStr">
        <is>
          <t>813A00</t>
        </is>
      </c>
      <c r="B402" s="83" t="inlineStr">
        <is>
          <t>81</t>
        </is>
      </c>
      <c r="C402" s="83" t="inlineStr">
        <is>
          <t>Other services, except government</t>
        </is>
      </c>
      <c r="D402" s="83" t="inlineStr">
        <is>
          <t>Grantmaking, giving, and social advocacy organizations</t>
        </is>
      </c>
      <c r="E402" s="84" t="inlineStr">
        <is>
          <t>813A00</t>
        </is>
      </c>
      <c r="F402" s="83" t="n">
        <v>64291</v>
      </c>
      <c r="G402" s="83" t="n">
        <v>5106</v>
      </c>
      <c r="H402" s="83" t="n">
        <v>19680</v>
      </c>
      <c r="I402" s="92" t="n">
        <v>29428</v>
      </c>
      <c r="J402" s="83" t="n">
        <v>918</v>
      </c>
      <c r="K402" s="83" t="n">
        <v>10</v>
      </c>
      <c r="L402" s="93" t="n">
        <v>8858</v>
      </c>
    </row>
    <row r="403" ht="13.8" customHeight="1" s="82">
      <c r="A403" s="83" t="inlineStr">
        <is>
          <t>813B00</t>
        </is>
      </c>
      <c r="B403" s="83" t="inlineStr">
        <is>
          <t>81</t>
        </is>
      </c>
      <c r="C403" s="83" t="inlineStr">
        <is>
          <t>Other services, except government</t>
        </is>
      </c>
      <c r="D403" s="83" t="inlineStr">
        <is>
          <t>Civic, social, professional, and similar organizations</t>
        </is>
      </c>
      <c r="E403" s="84" t="inlineStr">
        <is>
          <t>813B00</t>
        </is>
      </c>
      <c r="F403" s="83" t="n">
        <v>93670</v>
      </c>
      <c r="G403" s="83" t="n">
        <v>7440</v>
      </c>
      <c r="H403" s="83" t="n">
        <v>28673</v>
      </c>
      <c r="I403" s="92" t="n">
        <v>55157</v>
      </c>
      <c r="J403" s="83" t="n">
        <v>1637</v>
      </c>
      <c r="K403" s="83" t="n">
        <v>323</v>
      </c>
      <c r="L403" s="93" t="n">
        <v>4905</v>
      </c>
    </row>
    <row r="404" ht="13.8" customHeight="1" s="82">
      <c r="A404" s="83" t="inlineStr">
        <is>
          <t>814000</t>
        </is>
      </c>
      <c r="B404" s="83" t="inlineStr">
        <is>
          <t>81</t>
        </is>
      </c>
      <c r="C404" s="83" t="inlineStr">
        <is>
          <t>Other services, except government</t>
        </is>
      </c>
      <c r="D404" s="83" t="inlineStr">
        <is>
          <t>Private households</t>
        </is>
      </c>
      <c r="E404" s="84" t="inlineStr">
        <is>
          <t>814000</t>
        </is>
      </c>
      <c r="F404" s="83" t="n">
        <v>25097</v>
      </c>
      <c r="G404" s="83" t="n">
        <v>1993</v>
      </c>
      <c r="H404" s="83" t="n">
        <v>7682</v>
      </c>
      <c r="I404" s="92" t="n">
        <v>18684</v>
      </c>
      <c r="J404" s="83" t="n">
        <v>0</v>
      </c>
      <c r="K404" s="83" t="n">
        <v>0</v>
      </c>
      <c r="L404" s="93" t="n">
        <v>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5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I22" activeCellId="0" sqref="I22"/>
    </sheetView>
  </sheetViews>
  <sheetFormatPr baseColWidth="8" defaultColWidth="11.53515625" defaultRowHeight="12.8" zeroHeight="0" outlineLevelRow="0"/>
  <sheetData>
    <row r="1" ht="12.8" customHeight="1" s="82">
      <c r="B1" s="92" t="inlineStr">
        <is>
          <t>bea</t>
        </is>
      </c>
      <c r="C1" s="83" t="inlineStr">
        <is>
          <t>bea</t>
        </is>
      </c>
      <c r="D1" s="93" t="inlineStr">
        <is>
          <t>bea</t>
        </is>
      </c>
      <c r="E1" s="92" t="inlineStr">
        <is>
          <t>overseas</t>
        </is>
      </c>
      <c r="F1" s="83" t="inlineStr">
        <is>
          <t>overseas</t>
        </is>
      </c>
      <c r="G1" s="93" t="inlineStr">
        <is>
          <t>overseas</t>
        </is>
      </c>
      <c r="H1" s="83" t="inlineStr">
        <is>
          <t>sut</t>
        </is>
      </c>
      <c r="I1" s="83" t="inlineStr">
        <is>
          <t>sut</t>
        </is>
      </c>
      <c r="J1" s="83" t="inlineStr">
        <is>
          <t>sut</t>
        </is>
      </c>
      <c r="K1" s="92" t="inlineStr">
        <is>
          <t>ratio</t>
        </is>
      </c>
      <c r="L1" s="83" t="inlineStr">
        <is>
          <t>ratio</t>
        </is>
      </c>
      <c r="M1" s="93" t="inlineStr">
        <is>
          <t>ratio</t>
        </is>
      </c>
      <c r="N1" s="83" t="inlineStr">
        <is>
          <t>diff</t>
        </is>
      </c>
      <c r="O1" s="83" t="inlineStr">
        <is>
          <t>diff</t>
        </is>
      </c>
      <c r="P1" s="83" t="inlineStr">
        <is>
          <t>diff</t>
        </is>
      </c>
    </row>
    <row r="2" ht="12.8" customHeight="1" s="82">
      <c r="A2" s="94" t="inlineStr">
        <is>
          <t>code</t>
        </is>
      </c>
      <c r="B2" s="95" t="inlineStr">
        <is>
          <t>wages</t>
        </is>
      </c>
      <c r="C2" s="94" t="inlineStr">
        <is>
          <t>nettax</t>
        </is>
      </c>
      <c r="D2" s="96" t="inlineStr">
        <is>
          <t>surplus</t>
        </is>
      </c>
      <c r="E2" s="95" t="inlineStr">
        <is>
          <t>wages</t>
        </is>
      </c>
      <c r="F2" s="94" t="inlineStr">
        <is>
          <t>extratax</t>
        </is>
      </c>
      <c r="G2" s="96" t="inlineStr">
        <is>
          <t>surplus</t>
        </is>
      </c>
      <c r="H2" s="94" t="inlineStr">
        <is>
          <t>wages</t>
        </is>
      </c>
      <c r="I2" s="94" t="inlineStr">
        <is>
          <t>extratax</t>
        </is>
      </c>
      <c r="J2" s="94" t="inlineStr">
        <is>
          <t>surplus</t>
        </is>
      </c>
      <c r="K2" s="95" t="inlineStr">
        <is>
          <t>wages</t>
        </is>
      </c>
      <c r="L2" s="94" t="inlineStr">
        <is>
          <t>nettax</t>
        </is>
      </c>
      <c r="M2" s="96" t="inlineStr">
        <is>
          <t>surplus</t>
        </is>
      </c>
      <c r="N2" s="94" t="inlineStr">
        <is>
          <t>wages</t>
        </is>
      </c>
      <c r="O2" s="94" t="inlineStr">
        <is>
          <t>nettax</t>
        </is>
      </c>
      <c r="P2" s="94" t="inlineStr">
        <is>
          <t>surplus</t>
        </is>
      </c>
    </row>
    <row r="3" ht="12.8" customHeight="1" s="82">
      <c r="A3" s="108" t="inlineStr">
        <is>
          <t>GFGD</t>
        </is>
      </c>
      <c r="B3" s="109" t="n">
        <v>157200</v>
      </c>
      <c r="C3" s="108" t="n">
        <v>1</v>
      </c>
      <c r="D3" s="110" t="n">
        <v>82327</v>
      </c>
      <c r="E3" s="109" t="n">
        <v>32115</v>
      </c>
      <c r="F3" s="108" t="n">
        <v>0</v>
      </c>
      <c r="G3" s="110" t="n">
        <v>108617</v>
      </c>
      <c r="H3" s="108" t="n">
        <v>301498</v>
      </c>
      <c r="I3" s="108" t="n">
        <v>0</v>
      </c>
      <c r="J3" s="108" t="n">
        <v>190944</v>
      </c>
      <c r="K3" s="111">
        <f>H3/(E3+B3)</f>
        <v/>
      </c>
      <c r="L3" s="112">
        <f>I3/(F3+C3)</f>
        <v/>
      </c>
      <c r="M3" s="113">
        <f>J3/(G3+D3)</f>
        <v/>
      </c>
      <c r="N3" s="108">
        <f>(H3-E3-B3)</f>
        <v/>
      </c>
      <c r="O3" s="108">
        <f>(I3-F3-C3)</f>
        <v/>
      </c>
      <c r="P3" s="108">
        <f>(J3-G3-D3)</f>
        <v/>
      </c>
    </row>
    <row r="4" ht="12.8" customHeight="1" s="82">
      <c r="A4" s="108" t="inlineStr">
        <is>
          <t>GFGN</t>
        </is>
      </c>
      <c r="B4" s="109" t="n">
        <v>312258</v>
      </c>
      <c r="C4" s="108" t="n">
        <v>-9371</v>
      </c>
      <c r="D4" s="110" t="n">
        <v>131460</v>
      </c>
      <c r="E4" s="109" t="n">
        <v>5761</v>
      </c>
      <c r="F4" s="108" t="n">
        <v>0</v>
      </c>
      <c r="G4" s="110" t="n">
        <v>0</v>
      </c>
      <c r="H4" s="108" t="n">
        <v>223249</v>
      </c>
      <c r="I4" s="108" t="n">
        <v>0</v>
      </c>
      <c r="J4" s="108" t="n">
        <v>148857</v>
      </c>
      <c r="K4" s="111">
        <f>H4/(E4+B4)</f>
        <v/>
      </c>
      <c r="L4" s="112">
        <f>I4/(F4+C4)</f>
        <v/>
      </c>
      <c r="M4" s="113">
        <f>J4/(G4+D4)</f>
        <v/>
      </c>
      <c r="N4" s="108">
        <f>(H4-E4-B4)</f>
        <v/>
      </c>
      <c r="O4" s="108">
        <f>(I4-F4-C4)</f>
        <v/>
      </c>
      <c r="P4" s="108">
        <f>(J4-G4-D4)</f>
        <v/>
      </c>
    </row>
    <row r="5" ht="12.8" customHeight="1" s="82">
      <c r="A5" s="108" t="inlineStr">
        <is>
          <t>GFE</t>
        </is>
      </c>
      <c r="B5" s="109" t="n">
        <v>85583</v>
      </c>
      <c r="C5" s="108" t="n">
        <v>-2569</v>
      </c>
      <c r="D5" s="110" t="n">
        <v>36030</v>
      </c>
      <c r="E5" s="109" t="n">
        <v>0</v>
      </c>
      <c r="F5" s="108" t="n">
        <v>0</v>
      </c>
      <c r="G5" s="110" t="n">
        <v>0</v>
      </c>
      <c r="H5" s="108" t="n">
        <v>68173</v>
      </c>
      <c r="I5" s="108" t="n">
        <v>-11939</v>
      </c>
      <c r="J5" s="108" t="n">
        <v>18630</v>
      </c>
      <c r="K5" s="111">
        <f>H5/(E5+B5)</f>
        <v/>
      </c>
      <c r="L5" s="112">
        <f>I5/(F5+C5)</f>
        <v/>
      </c>
      <c r="M5" s="113">
        <f>J5/(G5+D5)</f>
        <v/>
      </c>
      <c r="N5" s="108">
        <f>(H5-E5-B5)</f>
        <v/>
      </c>
      <c r="O5" s="108">
        <f>(I5-F5-C5)</f>
        <v/>
      </c>
      <c r="P5" s="108">
        <f>(J5-G5-D5)</f>
        <v/>
      </c>
    </row>
    <row r="6" ht="12.8" customHeight="1" s="82">
      <c r="A6" s="108" t="inlineStr">
        <is>
          <t>GSLE</t>
        </is>
      </c>
      <c r="B6" s="109" t="n">
        <v>39858</v>
      </c>
      <c r="C6" s="108" t="n">
        <v>-1138</v>
      </c>
      <c r="D6" s="110" t="n">
        <v>8756</v>
      </c>
      <c r="E6" s="109" t="n">
        <v>0</v>
      </c>
      <c r="F6" s="108" t="n">
        <v>0</v>
      </c>
      <c r="G6" s="110" t="n">
        <v>0</v>
      </c>
      <c r="H6" s="108" t="n">
        <v>123019</v>
      </c>
      <c r="I6" s="108" t="n">
        <v>-47865</v>
      </c>
      <c r="J6" s="108" t="n">
        <v>83487</v>
      </c>
      <c r="K6" s="111">
        <f>H6/(E6+B6)</f>
        <v/>
      </c>
      <c r="L6" s="112">
        <f>I6/(F6+C6)</f>
        <v/>
      </c>
      <c r="M6" s="113">
        <f>J6/(G6+D6)</f>
        <v/>
      </c>
      <c r="N6" s="108">
        <f>(H6-E6-B6)</f>
        <v/>
      </c>
      <c r="O6" s="108">
        <f>(I6-F6-C6)</f>
        <v/>
      </c>
      <c r="P6" s="108">
        <f>(J6-G6-D6)</f>
        <v/>
      </c>
    </row>
    <row r="7" ht="12.8" customHeight="1" s="82">
      <c r="A7" s="108" t="inlineStr">
        <is>
          <t>GSLG</t>
        </is>
      </c>
      <c r="B7" s="109" t="n">
        <v>1636879</v>
      </c>
      <c r="C7" s="108" t="n">
        <v>-46726</v>
      </c>
      <c r="D7" s="110" t="n">
        <v>359574</v>
      </c>
      <c r="E7" s="109" t="n">
        <v>0</v>
      </c>
      <c r="F7" s="108" t="n">
        <v>0</v>
      </c>
      <c r="G7" s="110" t="n">
        <v>0</v>
      </c>
      <c r="H7" s="108" t="n">
        <v>1553722</v>
      </c>
      <c r="I7" s="108" t="n">
        <v>0</v>
      </c>
      <c r="J7" s="108" t="n">
        <v>284838</v>
      </c>
      <c r="K7" s="111">
        <f>H7/(E7+B7)</f>
        <v/>
      </c>
      <c r="L7" s="112">
        <f>I7/(F7+C7)</f>
        <v/>
      </c>
      <c r="M7" s="113">
        <f>J7/(G7+D7)</f>
        <v/>
      </c>
      <c r="N7" s="108">
        <f>(H7-E7-B7)</f>
        <v/>
      </c>
      <c r="O7" s="108">
        <f>(I7-F7-C7)</f>
        <v/>
      </c>
      <c r="P7" s="108">
        <f>(J7-G7-D7)</f>
        <v/>
      </c>
    </row>
    <row r="8" ht="12.8" customHeight="1" s="82">
      <c r="B8" s="83">
        <f>SUM(B3:B7)</f>
        <v/>
      </c>
      <c r="C8" s="83">
        <f>SUM(C3:C7)</f>
        <v/>
      </c>
      <c r="D8" s="83">
        <f>SUM(D3:D7)</f>
        <v/>
      </c>
      <c r="E8" s="83">
        <f>SUM(E3:E7)</f>
        <v/>
      </c>
      <c r="F8" s="83">
        <f>SUM(F3:F7)</f>
        <v/>
      </c>
      <c r="G8" s="83">
        <f>SUM(G3:G7)</f>
        <v/>
      </c>
      <c r="H8" s="83">
        <f>SUM(H3:H7)</f>
        <v/>
      </c>
      <c r="I8" s="83">
        <f>SUM(I3:I7)</f>
        <v/>
      </c>
      <c r="J8" s="83">
        <f>SUM(J3:J7)</f>
        <v/>
      </c>
      <c r="K8" s="83" t="n"/>
      <c r="L8" s="83" t="n"/>
      <c r="M8" s="83" t="n"/>
      <c r="N8" s="83">
        <f>SUM(N3:N7)</f>
        <v/>
      </c>
      <c r="O8" s="83">
        <f>SUM(O3:O7)</f>
        <v/>
      </c>
      <c r="P8" s="83">
        <f>SUM(P3:P7)</f>
        <v/>
      </c>
    </row>
    <row r="10" ht="12.8" customHeight="1" s="82">
      <c r="I10" s="83" t="inlineStr">
        <is>
          <t>overseas</t>
        </is>
      </c>
      <c r="J10" s="83" t="inlineStr">
        <is>
          <t>overseas</t>
        </is>
      </c>
      <c r="K10" s="83" t="inlineStr">
        <is>
          <t>overseas</t>
        </is>
      </c>
      <c r="L10" s="83" t="n">
        <v>2017</v>
      </c>
      <c r="M10" s="83" t="n">
        <v>2017</v>
      </c>
      <c r="N10" s="83" t="n">
        <v>2017</v>
      </c>
      <c r="Q10" s="83">
        <f>F15+N5</f>
        <v/>
      </c>
    </row>
    <row r="11" ht="13.8" customHeight="1" s="82">
      <c r="A11" s="87" t="inlineStr">
        <is>
          <t>offspring_code</t>
        </is>
      </c>
      <c r="B11" s="87" t="inlineStr">
        <is>
          <t>parent_code</t>
        </is>
      </c>
      <c r="C11" s="87" t="inlineStr">
        <is>
          <t>parent_title</t>
        </is>
      </c>
      <c r="D11" s="87" t="inlineStr">
        <is>
          <t>offspring_title</t>
        </is>
      </c>
      <c r="E11" s="84" t="inlineStr">
        <is>
          <t>code</t>
        </is>
      </c>
      <c r="F11" s="84" t="inlineStr">
        <is>
          <t>wages</t>
        </is>
      </c>
      <c r="G11" s="84" t="inlineStr">
        <is>
          <t>nettax</t>
        </is>
      </c>
      <c r="H11" s="84" t="inlineStr">
        <is>
          <t>surplus</t>
        </is>
      </c>
      <c r="I11" s="84" t="inlineStr">
        <is>
          <t>wages</t>
        </is>
      </c>
      <c r="J11" s="84" t="inlineStr">
        <is>
          <t>extratax</t>
        </is>
      </c>
      <c r="K11" s="84" t="inlineStr">
        <is>
          <t>surplus</t>
        </is>
      </c>
      <c r="L11" s="84" t="inlineStr">
        <is>
          <t>wages</t>
        </is>
      </c>
      <c r="M11" s="84" t="inlineStr">
        <is>
          <t>extratax</t>
        </is>
      </c>
      <c r="N11" s="84" t="inlineStr">
        <is>
          <t>surplus</t>
        </is>
      </c>
      <c r="Q11" s="83">
        <f>F16</f>
        <v/>
      </c>
    </row>
    <row r="12" ht="13.8" customHeight="1" s="82">
      <c r="A12" s="121" t="inlineStr">
        <is>
          <t>GSLGE</t>
        </is>
      </c>
      <c r="B12" s="121" t="inlineStr">
        <is>
          <t>GSLG</t>
        </is>
      </c>
      <c r="C12" s="121" t="inlineStr">
        <is>
          <t>State and local general government</t>
        </is>
      </c>
      <c r="D12" s="121" t="inlineStr">
        <is>
          <t>State and local government (educational services)</t>
        </is>
      </c>
      <c r="E12" s="122" t="inlineStr">
        <is>
          <t>GSLGE</t>
        </is>
      </c>
      <c r="F12" s="121" t="n">
        <v>849716</v>
      </c>
      <c r="G12" s="121" t="n">
        <v>-24256</v>
      </c>
      <c r="H12" s="121" t="n">
        <v>186657</v>
      </c>
      <c r="I12" s="123" t="n">
        <v>0</v>
      </c>
      <c r="J12" s="121" t="n">
        <v>0</v>
      </c>
      <c r="K12" s="124" t="n">
        <v>0</v>
      </c>
      <c r="L12" s="123" t="n">
        <v>731648</v>
      </c>
      <c r="M12" s="121" t="n">
        <v>0</v>
      </c>
      <c r="N12" s="124" t="n">
        <v>76537</v>
      </c>
      <c r="O12" s="83" t="inlineStr">
        <is>
          <t>diff GSLG to S00203</t>
        </is>
      </c>
      <c r="Q12" s="85">
        <f>H15/Q10</f>
        <v/>
      </c>
    </row>
    <row r="13" ht="13.8" customHeight="1" s="82">
      <c r="A13" s="121" t="inlineStr">
        <is>
          <t>GSLGH</t>
        </is>
      </c>
      <c r="B13" s="121" t="inlineStr">
        <is>
          <t>GSLG</t>
        </is>
      </c>
      <c r="C13" s="121" t="inlineStr">
        <is>
          <t>State and local general government</t>
        </is>
      </c>
      <c r="D13" s="121" t="inlineStr">
        <is>
          <t>State and local government (hospitals and health services)</t>
        </is>
      </c>
      <c r="E13" s="122" t="inlineStr">
        <is>
          <t>GSLGH</t>
        </is>
      </c>
      <c r="F13" s="121" t="n">
        <v>187958</v>
      </c>
      <c r="G13" s="121" t="n">
        <v>-5365</v>
      </c>
      <c r="H13" s="121" t="n">
        <v>41289</v>
      </c>
      <c r="I13" s="123" t="n">
        <v>0</v>
      </c>
      <c r="J13" s="121" t="n">
        <v>0</v>
      </c>
      <c r="K13" s="124" t="n">
        <v>0</v>
      </c>
      <c r="L13" s="123" t="n">
        <v>139316</v>
      </c>
      <c r="M13" s="121" t="n">
        <v>0</v>
      </c>
      <c r="N13" s="124" t="n">
        <v>17879</v>
      </c>
    </row>
    <row r="14" ht="13.8" customHeight="1" s="82">
      <c r="A14" s="121" t="inlineStr">
        <is>
          <t>GSLGO</t>
        </is>
      </c>
      <c r="B14" s="121" t="inlineStr">
        <is>
          <t>GSLG</t>
        </is>
      </c>
      <c r="C14" s="121" t="inlineStr">
        <is>
          <t>State and local general government</t>
        </is>
      </c>
      <c r="D14" s="121" t="inlineStr">
        <is>
          <t>State and local government (other services)</t>
        </is>
      </c>
      <c r="E14" s="122" t="inlineStr">
        <is>
          <t>GSLGO</t>
        </is>
      </c>
      <c r="F14" s="121" t="n">
        <v>599205</v>
      </c>
      <c r="G14" s="121" t="n">
        <v>-17105</v>
      </c>
      <c r="H14" s="121" t="n">
        <v>131628</v>
      </c>
      <c r="I14" s="123" t="n">
        <v>0</v>
      </c>
      <c r="J14" s="121" t="n">
        <v>0</v>
      </c>
      <c r="K14" s="124" t="n">
        <v>111540</v>
      </c>
      <c r="L14" s="123" t="n">
        <v>467952</v>
      </c>
      <c r="M14" s="121" t="n">
        <v>0</v>
      </c>
      <c r="N14" s="124" t="n">
        <v>111540</v>
      </c>
      <c r="Q14" s="88">
        <f>N15/L15</f>
        <v/>
      </c>
    </row>
    <row r="15" ht="13.8" customHeight="1" s="82">
      <c r="A15" s="83" t="inlineStr">
        <is>
          <t>491000</t>
        </is>
      </c>
      <c r="B15" s="83" t="inlineStr">
        <is>
          <t>GFE</t>
        </is>
      </c>
      <c r="C15" s="83" t="inlineStr">
        <is>
          <t>Federal government enterprises</t>
        </is>
      </c>
      <c r="D15" s="83" t="inlineStr">
        <is>
          <t>Postal service</t>
        </is>
      </c>
      <c r="E15" s="84" t="inlineStr">
        <is>
          <t>491000</t>
        </is>
      </c>
      <c r="F15" s="83" t="n">
        <v>82566</v>
      </c>
      <c r="G15" s="83" t="n">
        <v>-2478</v>
      </c>
      <c r="H15" s="83" t="n">
        <v>34760</v>
      </c>
      <c r="I15" s="92" t="n">
        <v>0</v>
      </c>
      <c r="J15" s="83" t="n">
        <v>0</v>
      </c>
      <c r="K15" s="93" t="n">
        <v>0</v>
      </c>
      <c r="L15" s="92" t="n">
        <v>54249</v>
      </c>
      <c r="M15" s="83" t="n">
        <v>0</v>
      </c>
      <c r="N15" s="93" t="n">
        <v>2781</v>
      </c>
      <c r="O15" s="83" t="inlineStr">
        <is>
          <t>diff GFE wages to S00500, full tax to S00102 and same fraction to S00102</t>
        </is>
      </c>
    </row>
    <row r="16" ht="13.8" customHeight="1" s="82">
      <c r="A16" s="83" t="inlineStr">
        <is>
          <t>S00101</t>
        </is>
      </c>
      <c r="B16" s="83" t="inlineStr">
        <is>
          <t>GFE</t>
        </is>
      </c>
      <c r="C16" s="83" t="inlineStr">
        <is>
          <t>Federal government enterprises</t>
        </is>
      </c>
      <c r="D16" s="83" t="inlineStr">
        <is>
          <t>Federal electric utilities</t>
        </is>
      </c>
      <c r="E16" s="84" t="inlineStr">
        <is>
          <t>S00101</t>
        </is>
      </c>
      <c r="F16" s="83" t="n">
        <v>3017</v>
      </c>
      <c r="G16" s="83" t="n">
        <v>-91</v>
      </c>
      <c r="H16" s="83" t="n">
        <v>1270</v>
      </c>
      <c r="I16" s="92" t="n">
        <v>0</v>
      </c>
      <c r="J16" s="83" t="n">
        <v>0</v>
      </c>
      <c r="K16" s="93" t="n">
        <v>0</v>
      </c>
      <c r="L16" s="92" t="n">
        <v>1997</v>
      </c>
      <c r="M16" s="83" t="n">
        <v>0</v>
      </c>
      <c r="N16" s="93" t="n">
        <v>4566</v>
      </c>
      <c r="O16" s="83" t="inlineStr">
        <is>
          <t>full tax to S00102</t>
        </is>
      </c>
    </row>
    <row r="17" ht="13.8" customHeight="1" s="82">
      <c r="A17" s="83" t="inlineStr">
        <is>
          <t>S00102</t>
        </is>
      </c>
      <c r="B17" s="83" t="inlineStr">
        <is>
          <t>GFE</t>
        </is>
      </c>
      <c r="C17" s="83" t="inlineStr">
        <is>
          <t>Federal government enterprises</t>
        </is>
      </c>
      <c r="D17" s="83" t="inlineStr">
        <is>
          <t>Other federal government enterprises</t>
        </is>
      </c>
      <c r="E17" s="84" t="inlineStr">
        <is>
          <t>S00102</t>
        </is>
      </c>
      <c r="F17" s="83" t="n">
        <v>0</v>
      </c>
      <c r="G17" s="83" t="n">
        <v>0</v>
      </c>
      <c r="H17" s="83" t="n">
        <v>0</v>
      </c>
      <c r="I17" s="92" t="n">
        <v>0</v>
      </c>
      <c r="J17" s="83" t="n">
        <v>0</v>
      </c>
      <c r="K17" s="93" t="n">
        <v>0</v>
      </c>
      <c r="L17" s="92" t="n">
        <v>2973</v>
      </c>
      <c r="M17" s="83" t="n">
        <v>-6339</v>
      </c>
      <c r="N17" s="93" t="n">
        <v>4080</v>
      </c>
    </row>
    <row r="18" ht="13.8" customHeight="1" s="82">
      <c r="A18" s="121" t="inlineStr">
        <is>
          <t>S00201</t>
        </is>
      </c>
      <c r="B18" s="121" t="inlineStr">
        <is>
          <t>GSLE</t>
        </is>
      </c>
      <c r="C18" s="121" t="inlineStr">
        <is>
          <t>State and local government enterprises</t>
        </is>
      </c>
      <c r="D18" s="121" t="inlineStr">
        <is>
          <t>State and local government passenger transit</t>
        </is>
      </c>
      <c r="E18" s="122" t="inlineStr">
        <is>
          <t>S00201</t>
        </is>
      </c>
      <c r="F18" s="121" t="n">
        <v>27466</v>
      </c>
      <c r="G18" s="121" t="n">
        <v>-784</v>
      </c>
      <c r="H18" s="121" t="n">
        <v>6034</v>
      </c>
      <c r="I18" s="123" t="n">
        <v>0</v>
      </c>
      <c r="J18" s="121" t="n">
        <v>0</v>
      </c>
      <c r="K18" s="124" t="n">
        <v>0</v>
      </c>
      <c r="L18" s="123" t="n">
        <v>26850</v>
      </c>
      <c r="M18" s="121" t="n">
        <v>0</v>
      </c>
      <c r="N18" s="124" t="n">
        <v>-36919</v>
      </c>
      <c r="O18" s="83" t="inlineStr">
        <is>
          <t>all tax to S00203, fraction of wages and surplus too</t>
        </is>
      </c>
    </row>
    <row r="19" ht="13.8" customHeight="1" s="82">
      <c r="A19" s="121" t="inlineStr">
        <is>
          <t>S00202</t>
        </is>
      </c>
      <c r="B19" s="121" t="inlineStr">
        <is>
          <t>GSLE</t>
        </is>
      </c>
      <c r="C19" s="121" t="inlineStr">
        <is>
          <t>State and local government enterprises</t>
        </is>
      </c>
      <c r="D19" s="121" t="inlineStr">
        <is>
          <t>State and local government electric utilities</t>
        </is>
      </c>
      <c r="E19" s="122" t="inlineStr">
        <is>
          <t>S00202</t>
        </is>
      </c>
      <c r="F19" s="121" t="n">
        <v>12392</v>
      </c>
      <c r="G19" s="121" t="n">
        <v>-354</v>
      </c>
      <c r="H19" s="121" t="n">
        <v>2722</v>
      </c>
      <c r="I19" s="123" t="n">
        <v>0</v>
      </c>
      <c r="J19" s="121" t="n">
        <v>0</v>
      </c>
      <c r="K19" s="124" t="n">
        <v>0</v>
      </c>
      <c r="L19" s="123" t="n">
        <v>10203</v>
      </c>
      <c r="M19" s="121" t="n">
        <v>0</v>
      </c>
      <c r="N19" s="124" t="n">
        <v>19288</v>
      </c>
    </row>
    <row r="20" ht="13.8" customHeight="1" s="82">
      <c r="A20" s="121" t="inlineStr">
        <is>
          <t>S00203</t>
        </is>
      </c>
      <c r="B20" s="121" t="inlineStr">
        <is>
          <t>GSLE</t>
        </is>
      </c>
      <c r="C20" s="121" t="inlineStr">
        <is>
          <t>State and local government enterprises</t>
        </is>
      </c>
      <c r="D20" s="121" t="inlineStr">
        <is>
          <t>Other state and local government enterprises</t>
        </is>
      </c>
      <c r="E20" s="122" t="inlineStr">
        <is>
          <t>S00203</t>
        </is>
      </c>
      <c r="F20" s="121" t="n">
        <v>0</v>
      </c>
      <c r="G20" s="121" t="n">
        <v>0</v>
      </c>
      <c r="H20" s="121" t="n">
        <v>0</v>
      </c>
      <c r="I20" s="123" t="n">
        <v>0</v>
      </c>
      <c r="J20" s="121" t="n">
        <v>0</v>
      </c>
      <c r="K20" s="124" t="n">
        <v>0</v>
      </c>
      <c r="L20" s="123" t="n">
        <v>69979</v>
      </c>
      <c r="M20" s="121" t="n">
        <v>-18933</v>
      </c>
      <c r="N20" s="124" t="n">
        <v>74058</v>
      </c>
    </row>
    <row r="21" ht="13.8" customHeight="1" s="82">
      <c r="A21" s="83" t="inlineStr">
        <is>
          <t>S00500</t>
        </is>
      </c>
      <c r="B21" s="83" t="inlineStr">
        <is>
          <t>GFGD</t>
        </is>
      </c>
      <c r="C21" s="83" t="inlineStr">
        <is>
          <t>Federal general government (defense)</t>
        </is>
      </c>
      <c r="D21" s="83" t="inlineStr">
        <is>
          <t>Federal general government (defense)</t>
        </is>
      </c>
      <c r="E21" s="84" t="inlineStr">
        <is>
          <t>S00500</t>
        </is>
      </c>
      <c r="F21" s="83" t="n">
        <v>157200</v>
      </c>
      <c r="G21" s="83" t="n">
        <v>1</v>
      </c>
      <c r="H21" s="83" t="n">
        <v>82327</v>
      </c>
      <c r="I21" s="92" t="n">
        <v>32115</v>
      </c>
      <c r="J21" s="83" t="n">
        <v>0</v>
      </c>
      <c r="K21" s="93" t="n">
        <v>108617</v>
      </c>
      <c r="L21" s="92" t="n">
        <v>246097</v>
      </c>
      <c r="M21" s="83" t="n">
        <v>0</v>
      </c>
      <c r="N21" s="93" t="n">
        <v>159521</v>
      </c>
    </row>
    <row r="22" ht="13.8" customHeight="1" s="82">
      <c r="A22" s="83" t="inlineStr">
        <is>
          <t>S00600</t>
        </is>
      </c>
      <c r="B22" s="83" t="inlineStr">
        <is>
          <t>GFGN</t>
        </is>
      </c>
      <c r="C22" s="83" t="inlineStr">
        <is>
          <t>Federal general government (nondefense)</t>
        </is>
      </c>
      <c r="D22" s="83" t="inlineStr">
        <is>
          <t>Federal general government (nondefense)</t>
        </is>
      </c>
      <c r="E22" s="84" t="inlineStr">
        <is>
          <t>S00600</t>
        </is>
      </c>
      <c r="F22" s="83" t="n">
        <v>312258</v>
      </c>
      <c r="G22" s="83" t="n">
        <v>-9371</v>
      </c>
      <c r="H22" s="83" t="n">
        <v>131460</v>
      </c>
      <c r="I22" s="92" t="n">
        <v>5761</v>
      </c>
      <c r="J22" s="83" t="n">
        <v>0</v>
      </c>
      <c r="K22" s="93" t="n">
        <v>0</v>
      </c>
      <c r="L22" s="92" t="n">
        <v>184220</v>
      </c>
      <c r="M22" s="83" t="n">
        <v>0</v>
      </c>
      <c r="N22" s="93" t="n">
        <v>112305</v>
      </c>
      <c r="O22" s="83" t="inlineStr">
        <is>
          <t>diff GFGN wages to S00500, tax, surplus to S00102</t>
        </is>
      </c>
    </row>
    <row r="23" ht="12.8" customHeight="1" s="82">
      <c r="F23" s="83">
        <f>SUM(F12:F22)</f>
        <v/>
      </c>
      <c r="G23" s="83">
        <f>SUM(G12:G22)</f>
        <v/>
      </c>
      <c r="H23" s="83">
        <f>SUM(H12:H22)</f>
        <v/>
      </c>
      <c r="I23" s="83">
        <f>SUM(I12:I22)</f>
        <v/>
      </c>
      <c r="J23" s="83">
        <f>SUM(J12:J22)</f>
        <v/>
      </c>
      <c r="K23" s="83">
        <f>SUM(K12:K22)</f>
        <v/>
      </c>
      <c r="L23" s="83">
        <f>SUM(L12:L22)</f>
        <v/>
      </c>
      <c r="M23" s="83">
        <f>SUM(M12:M22)</f>
        <v/>
      </c>
      <c r="N23" s="83">
        <f>SUM(N12:N22)</f>
        <v/>
      </c>
    </row>
    <row r="24" ht="12.8" customHeight="1" s="82">
      <c r="B24" s="88">
        <f>(F15+N5)/(SUM(F$15:F$17)+N$5)</f>
        <v/>
      </c>
      <c r="C24" s="88">
        <f>L15/SUM(L$15:L$17)</f>
        <v/>
      </c>
      <c r="F24" s="83">
        <f>F12-N6</f>
        <v/>
      </c>
      <c r="G24" s="83">
        <f>SUM(G12:G14)</f>
        <v/>
      </c>
      <c r="H24" s="83">
        <f>SUM(H12:H14)</f>
        <v/>
      </c>
    </row>
    <row r="25" ht="12.8" customHeight="1" s="82">
      <c r="B25" s="88">
        <f>(F16)/(SUM(F$15:F$17)+N$5)</f>
        <v/>
      </c>
      <c r="C25" s="88">
        <f>L16/SUM(L$15:L$17)</f>
        <v/>
      </c>
      <c r="G25" s="83">
        <f>G24+SUM(G18:G19)</f>
        <v/>
      </c>
    </row>
    <row r="26" ht="12.8" customHeight="1" s="82">
      <c r="B26" s="88">
        <f>(F17)/(SUM(F$15:F$17)+N$5)</f>
        <v/>
      </c>
      <c r="C26" s="88">
        <f>L17/SUM(L$15:L$17)</f>
        <v/>
      </c>
    </row>
    <row r="27" ht="12.8" customHeight="1" s="82">
      <c r="L27" s="83" t="inlineStr">
        <is>
          <t>domestic</t>
        </is>
      </c>
      <c r="O27" s="83" t="inlineStr">
        <is>
          <t>overseas</t>
        </is>
      </c>
    </row>
    <row r="28" ht="13.8" customHeight="1" s="82">
      <c r="A28" s="87" t="inlineStr">
        <is>
          <t>sut_code</t>
        </is>
      </c>
      <c r="B28" s="87" t="inlineStr">
        <is>
          <t>sut_title</t>
        </is>
      </c>
      <c r="C28" s="87" t="inlineStr">
        <is>
          <t>base_code</t>
        </is>
      </c>
      <c r="D28" s="87" t="inlineStr">
        <is>
          <t>base_title</t>
        </is>
      </c>
      <c r="H28" s="87" t="inlineStr">
        <is>
          <t>gdp_code</t>
        </is>
      </c>
      <c r="I28" s="87" t="inlineStr">
        <is>
          <t>gdp_title</t>
        </is>
      </c>
      <c r="J28" s="87" t="inlineStr">
        <is>
          <t>base_code</t>
        </is>
      </c>
      <c r="K28" s="87" t="inlineStr">
        <is>
          <t>base_title</t>
        </is>
      </c>
      <c r="L28" s="83" t="inlineStr">
        <is>
          <t>value_wages</t>
        </is>
      </c>
      <c r="M28" s="83" t="inlineStr">
        <is>
          <t>value_nettax</t>
        </is>
      </c>
      <c r="N28" s="83" t="inlineStr">
        <is>
          <t>value_surplus</t>
        </is>
      </c>
      <c r="O28" s="83" t="inlineStr">
        <is>
          <t>value_wages</t>
        </is>
      </c>
      <c r="P28" s="83" t="inlineStr">
        <is>
          <t>value_nettax</t>
        </is>
      </c>
      <c r="Q28" s="83" t="inlineStr">
        <is>
          <t>value_surplus</t>
        </is>
      </c>
    </row>
    <row r="29" ht="12.8" customHeight="1" s="82">
      <c r="A29" s="83" t="inlineStr">
        <is>
          <t>491000</t>
        </is>
      </c>
      <c r="B29" s="83" t="inlineStr">
        <is>
          <t>Postal service</t>
        </is>
      </c>
      <c r="C29" s="83" t="inlineStr">
        <is>
          <t>GC</t>
        </is>
      </c>
      <c r="D29" s="83" t="inlineStr">
        <is>
          <t>Federal civilian</t>
        </is>
      </c>
      <c r="H29" s="83" t="inlineStr">
        <is>
          <t>GC</t>
        </is>
      </c>
      <c r="I29" s="83" t="inlineStr">
        <is>
          <t>Federal civilian</t>
        </is>
      </c>
      <c r="J29" s="83" t="inlineStr">
        <is>
          <t>GC</t>
        </is>
      </c>
      <c r="K29" s="83" t="inlineStr">
        <is>
          <t>Federal civilian</t>
        </is>
      </c>
      <c r="L29" s="83" t="n">
        <v>397841</v>
      </c>
      <c r="M29" s="83" t="n">
        <v>-11939</v>
      </c>
      <c r="N29" s="83" t="n">
        <v>167488</v>
      </c>
      <c r="O29" s="83" t="n">
        <v>5761</v>
      </c>
      <c r="P29" s="83" t="n">
        <v>0</v>
      </c>
      <c r="Q29" s="83" t="n">
        <v>0</v>
      </c>
    </row>
    <row r="30" ht="12.8" customHeight="1" s="82">
      <c r="A30" s="83" t="inlineStr">
        <is>
          <t>S00101</t>
        </is>
      </c>
      <c r="B30" s="83" t="inlineStr">
        <is>
          <t>Federal electric utilities</t>
        </is>
      </c>
      <c r="C30" s="83" t="inlineStr">
        <is>
          <t>GC</t>
        </is>
      </c>
      <c r="D30" s="83" t="inlineStr">
        <is>
          <t>Federal civilian</t>
        </is>
      </c>
      <c r="H30" s="83" t="inlineStr">
        <is>
          <t>GM</t>
        </is>
      </c>
      <c r="I30" s="83" t="inlineStr">
        <is>
          <t>Military</t>
        </is>
      </c>
      <c r="J30" s="83" t="inlineStr">
        <is>
          <t>GM</t>
        </is>
      </c>
      <c r="K30" s="83" t="inlineStr">
        <is>
          <t>Military</t>
        </is>
      </c>
      <c r="L30" s="83" t="n">
        <v>157200</v>
      </c>
      <c r="M30" s="83" t="n">
        <v>0</v>
      </c>
      <c r="N30" s="83" t="n">
        <v>82326</v>
      </c>
      <c r="O30" s="83" t="n">
        <v>32115</v>
      </c>
      <c r="P30" s="83" t="n">
        <v>0</v>
      </c>
      <c r="Q30" s="83" t="n">
        <v>108617</v>
      </c>
    </row>
    <row r="31" ht="12.8" customHeight="1" s="82">
      <c r="A31" s="83" t="inlineStr">
        <is>
          <t>S00102</t>
        </is>
      </c>
      <c r="B31" s="83" t="inlineStr">
        <is>
          <t>Other federal government enterprises</t>
        </is>
      </c>
      <c r="C31" s="83" t="inlineStr">
        <is>
          <t>GC</t>
        </is>
      </c>
      <c r="D31" s="83" t="inlineStr">
        <is>
          <t>Federal civilian</t>
        </is>
      </c>
      <c r="H31" s="83" t="inlineStr">
        <is>
          <t>GSL</t>
        </is>
      </c>
      <c r="I31" s="83" t="inlineStr">
        <is>
          <t>State and local</t>
        </is>
      </c>
      <c r="J31" s="83" t="inlineStr">
        <is>
          <t>GSL</t>
        </is>
      </c>
      <c r="K31" s="83" t="inlineStr">
        <is>
          <t>State and local</t>
        </is>
      </c>
      <c r="L31" s="83" t="n">
        <v>1676741</v>
      </c>
      <c r="M31" s="83" t="n">
        <v>-47865</v>
      </c>
      <c r="N31" s="83" t="n">
        <v>368325</v>
      </c>
    </row>
    <row r="32" ht="12.8" customHeight="1" s="82">
      <c r="A32" s="83" t="inlineStr">
        <is>
          <t>S00600</t>
        </is>
      </c>
      <c r="B32" s="83" t="inlineStr">
        <is>
          <t>Federal general government (nondefense)</t>
        </is>
      </c>
      <c r="C32" s="83" t="inlineStr">
        <is>
          <t>GC</t>
        </is>
      </c>
      <c r="D32" s="83" t="inlineStr">
        <is>
          <t>Federal civilian</t>
        </is>
      </c>
      <c r="E32" s="86" t="inlineStr">
        <is>
          <t>overseas</t>
        </is>
      </c>
      <c r="K32" s="83" t="inlineStr">
        <is>
          <t>total</t>
        </is>
      </c>
      <c r="L32" s="83">
        <f>SUM(L29:L31)</f>
        <v/>
      </c>
      <c r="M32" s="83">
        <f>SUM(M29:M31)</f>
        <v/>
      </c>
      <c r="N32" s="83">
        <f>SUM(N29:N31)</f>
        <v/>
      </c>
      <c r="O32" s="83">
        <f>SUM(O29:O31)</f>
        <v/>
      </c>
      <c r="P32" s="83">
        <f>SUM(P29:P31)</f>
        <v/>
      </c>
      <c r="Q32" s="83">
        <f>SUM(Q29:Q31)</f>
        <v/>
      </c>
    </row>
    <row r="33" ht="12.8" customHeight="1" s="82">
      <c r="A33" s="83" t="inlineStr">
        <is>
          <t>S00500</t>
        </is>
      </c>
      <c r="B33" s="83" t="inlineStr">
        <is>
          <t>Federal general government (defense)</t>
        </is>
      </c>
      <c r="C33" s="83" t="inlineStr">
        <is>
          <t>GM</t>
        </is>
      </c>
      <c r="D33" s="83" t="inlineStr">
        <is>
          <t>Military</t>
        </is>
      </c>
      <c r="E33" s="86" t="inlineStr">
        <is>
          <t>overseas</t>
        </is>
      </c>
    </row>
    <row r="34" ht="12.8" customHeight="1" s="82">
      <c r="A34" s="83" t="inlineStr">
        <is>
          <t>GSLGE</t>
        </is>
      </c>
      <c r="B34" s="83" t="inlineStr">
        <is>
          <t>State and local government (educational services)</t>
        </is>
      </c>
      <c r="C34" s="83" t="inlineStr">
        <is>
          <t>GSL</t>
        </is>
      </c>
      <c r="D34" s="83" t="inlineStr">
        <is>
          <t>State and local</t>
        </is>
      </c>
      <c r="L34" s="83">
        <f>L29+O29</f>
        <v/>
      </c>
      <c r="M34" s="83">
        <f>M29+P29</f>
        <v/>
      </c>
      <c r="N34" s="83">
        <f>N29+Q29</f>
        <v/>
      </c>
    </row>
    <row r="35" ht="12.8" customHeight="1" s="82">
      <c r="A35" s="83" t="inlineStr">
        <is>
          <t>GSLGH</t>
        </is>
      </c>
      <c r="B35" s="83" t="inlineStr">
        <is>
          <t>State and local government (hospitals and health services)</t>
        </is>
      </c>
      <c r="C35" s="83" t="inlineStr">
        <is>
          <t>GSL</t>
        </is>
      </c>
      <c r="D35" s="83" t="inlineStr">
        <is>
          <t>State and local</t>
        </is>
      </c>
      <c r="L35" s="83">
        <f>L30+O30</f>
        <v/>
      </c>
      <c r="M35" s="83">
        <f>M30+P30</f>
        <v/>
      </c>
      <c r="N35" s="83">
        <f>N30+Q30</f>
        <v/>
      </c>
    </row>
    <row r="36" ht="12.8" customHeight="1" s="82">
      <c r="A36" s="83" t="inlineStr">
        <is>
          <t>GSLGO</t>
        </is>
      </c>
      <c r="B36" s="83" t="inlineStr">
        <is>
          <t>State and local government (other services)</t>
        </is>
      </c>
      <c r="C36" s="83" t="inlineStr">
        <is>
          <t>GSL</t>
        </is>
      </c>
      <c r="D36" s="83" t="inlineStr">
        <is>
          <t>State and local</t>
        </is>
      </c>
      <c r="L36" s="83">
        <f>L31+O31</f>
        <v/>
      </c>
      <c r="M36" s="83">
        <f>M31+P31</f>
        <v/>
      </c>
      <c r="N36" s="83">
        <f>N31+Q31</f>
        <v/>
      </c>
    </row>
    <row r="37" ht="12.8" customHeight="1" s="82">
      <c r="A37" s="83" t="inlineStr">
        <is>
          <t>S00201</t>
        </is>
      </c>
      <c r="B37" s="83" t="inlineStr">
        <is>
          <t>State and local government passenger transit</t>
        </is>
      </c>
      <c r="C37" s="83" t="inlineStr">
        <is>
          <t>GSL</t>
        </is>
      </c>
      <c r="D37" s="83" t="inlineStr">
        <is>
          <t>State and local</t>
        </is>
      </c>
    </row>
    <row r="38" ht="12.8" customHeight="1" s="82">
      <c r="A38" s="83" t="inlineStr">
        <is>
          <t>S00202</t>
        </is>
      </c>
      <c r="B38" s="83" t="inlineStr">
        <is>
          <t>State and local government electric utilities</t>
        </is>
      </c>
      <c r="C38" s="83" t="inlineStr">
        <is>
          <t>GSL</t>
        </is>
      </c>
      <c r="D38" s="83" t="inlineStr">
        <is>
          <t>State and local</t>
        </is>
      </c>
    </row>
    <row r="39" ht="12.8" customHeight="1" s="82">
      <c r="A39" s="83" t="inlineStr">
        <is>
          <t>S00203</t>
        </is>
      </c>
      <c r="B39" s="83" t="inlineStr">
        <is>
          <t>Other state and local government enterprises</t>
        </is>
      </c>
      <c r="C39" s="83" t="inlineStr">
        <is>
          <t>GSL</t>
        </is>
      </c>
      <c r="D39" s="83" t="inlineStr">
        <is>
          <t>State and local</t>
        </is>
      </c>
    </row>
    <row r="42" ht="13.8" customHeight="1" s="82">
      <c r="B42" s="125" t="inlineStr">
        <is>
          <t>SAGDP2N</t>
        </is>
      </c>
      <c r="C42" s="125" t="inlineStr">
        <is>
          <t>SAGDP3N</t>
        </is>
      </c>
      <c r="D42" s="125" t="inlineStr">
        <is>
          <t>SAGDP4N</t>
        </is>
      </c>
      <c r="E42" s="125" t="inlineStr">
        <is>
          <t>SAGDP7N</t>
        </is>
      </c>
    </row>
    <row r="43" ht="13.8" customHeight="1" s="82">
      <c r="B43" s="125" t="inlineStr">
        <is>
          <t>Gross domestic product (GDP) by state</t>
        </is>
      </c>
      <c r="C43" s="125" t="inlineStr">
        <is>
          <t>Taxes on production and imports less subsidies</t>
        </is>
      </c>
      <c r="D43" s="125" t="inlineStr">
        <is>
          <t>Compensation of employees</t>
        </is>
      </c>
      <c r="E43" s="125" t="inlineStr">
        <is>
          <t>Gross operating surplus</t>
        </is>
      </c>
    </row>
    <row r="45" ht="12.8" customHeight="1" s="82">
      <c r="A45" s="83" t="inlineStr">
        <is>
          <t>GeoName</t>
        </is>
      </c>
      <c r="B45" s="83" t="inlineStr">
        <is>
          <t>Region</t>
        </is>
      </c>
      <c r="C45" s="83" t="inlineStr">
        <is>
          <t>TableName</t>
        </is>
      </c>
      <c r="D45" s="83" t="inlineStr">
        <is>
          <t>LineCode</t>
        </is>
      </c>
      <c r="E45" s="83" t="inlineStr">
        <is>
          <t>value</t>
        </is>
      </c>
      <c r="F45" s="83" t="inlineStr">
        <is>
          <t>Description</t>
        </is>
      </c>
    </row>
    <row r="47" ht="12.8" customHeight="1" s="82">
      <c r="A47" s="83" t="inlineStr">
        <is>
          <t>United States *</t>
        </is>
      </c>
      <c r="B47" s="83" t="inlineStr">
        <is>
          <t xml:space="preserve"> </t>
        </is>
      </c>
      <c r="C47" s="83" t="inlineStr">
        <is>
          <t>SAGDP2N</t>
        </is>
      </c>
      <c r="D47" s="83" t="n">
        <v>101</v>
      </c>
      <c r="E47" s="83" t="n">
        <v>146493</v>
      </c>
      <c r="F47" s="83" t="inlineStr">
        <is>
          <t xml:space="preserve">Government and government enterprises, overseas activity </t>
        </is>
      </c>
    </row>
    <row r="48" ht="12.8" customHeight="1" s="82">
      <c r="A48" s="83" t="inlineStr">
        <is>
          <t>United States *</t>
        </is>
      </c>
      <c r="B48" s="83" t="inlineStr">
        <is>
          <t xml:space="preserve"> </t>
        </is>
      </c>
      <c r="C48" s="83" t="inlineStr">
        <is>
          <t>SAGDP2N</t>
        </is>
      </c>
      <c r="D48" s="83" t="n">
        <v>102</v>
      </c>
      <c r="E48" s="83" t="n">
        <v>5761</v>
      </c>
      <c r="F48" s="83" t="inlineStr">
        <is>
          <t xml:space="preserve">Federal civilian, overseas activity </t>
        </is>
      </c>
    </row>
    <row r="49" ht="12.8" customHeight="1" s="82">
      <c r="A49" s="83" t="inlineStr">
        <is>
          <t>United States *</t>
        </is>
      </c>
      <c r="B49" s="83" t="inlineStr">
        <is>
          <t xml:space="preserve"> </t>
        </is>
      </c>
      <c r="C49" s="83" t="inlineStr">
        <is>
          <t>SAGDP2N</t>
        </is>
      </c>
      <c r="D49" s="83" t="n">
        <v>103</v>
      </c>
      <c r="E49" s="83" t="n">
        <v>140732</v>
      </c>
      <c r="F49" s="83" t="inlineStr">
        <is>
          <t xml:space="preserve">Military, overseas activity </t>
        </is>
      </c>
    </row>
    <row r="50" ht="12.8" customHeight="1" s="82">
      <c r="A50" s="83" t="inlineStr">
        <is>
          <t>United States *</t>
        </is>
      </c>
      <c r="B50" s="83" t="inlineStr">
        <is>
          <t xml:space="preserve"> </t>
        </is>
      </c>
      <c r="C50" s="83" t="inlineStr">
        <is>
          <t>SAGDP4N</t>
        </is>
      </c>
      <c r="D50" s="83" t="n">
        <v>101</v>
      </c>
      <c r="E50" s="83" t="n">
        <v>37876</v>
      </c>
      <c r="F50" s="83" t="inlineStr">
        <is>
          <t xml:space="preserve">Government and government enterprises, overseas activity </t>
        </is>
      </c>
    </row>
    <row r="51" ht="12.8" customHeight="1" s="82">
      <c r="A51" s="83" t="inlineStr">
        <is>
          <t>United States *</t>
        </is>
      </c>
      <c r="B51" s="83" t="inlineStr">
        <is>
          <t xml:space="preserve"> </t>
        </is>
      </c>
      <c r="C51" s="83" t="inlineStr">
        <is>
          <t>SAGDP4N</t>
        </is>
      </c>
      <c r="D51" s="83" t="n">
        <v>102</v>
      </c>
      <c r="E51" s="83" t="n">
        <v>5761</v>
      </c>
      <c r="F51" s="83" t="inlineStr">
        <is>
          <t xml:space="preserve">Federal civilian, overseas activity </t>
        </is>
      </c>
    </row>
    <row r="52" ht="12.8" customHeight="1" s="82">
      <c r="A52" s="83" t="inlineStr">
        <is>
          <t>United States *</t>
        </is>
      </c>
      <c r="B52" s="83" t="inlineStr">
        <is>
          <t xml:space="preserve"> </t>
        </is>
      </c>
      <c r="C52" s="83" t="inlineStr">
        <is>
          <t>SAGDP4N</t>
        </is>
      </c>
      <c r="D52" s="83" t="n">
        <v>103</v>
      </c>
      <c r="E52" s="83" t="n">
        <v>32115</v>
      </c>
      <c r="F52" s="83" t="inlineStr">
        <is>
          <t xml:space="preserve">Military, overseas activity </t>
        </is>
      </c>
    </row>
    <row r="53" ht="12.8" customHeight="1" s="82">
      <c r="A53" s="83" t="inlineStr">
        <is>
          <t>United States *</t>
        </is>
      </c>
      <c r="B53" s="83" t="inlineStr">
        <is>
          <t xml:space="preserve"> </t>
        </is>
      </c>
      <c r="C53" s="83" t="inlineStr">
        <is>
          <t>SAGDP7N</t>
        </is>
      </c>
      <c r="D53" s="83" t="n">
        <v>101</v>
      </c>
      <c r="E53" s="83" t="n">
        <v>108617</v>
      </c>
      <c r="F53" s="83" t="inlineStr">
        <is>
          <t xml:space="preserve">Government and government enterprises, overseas activity </t>
        </is>
      </c>
    </row>
    <row r="54" ht="12.8" customHeight="1" s="82">
      <c r="A54" s="83" t="inlineStr">
        <is>
          <t>United States *</t>
        </is>
      </c>
      <c r="B54" s="83" t="inlineStr">
        <is>
          <t xml:space="preserve"> </t>
        </is>
      </c>
      <c r="C54" s="83" t="inlineStr">
        <is>
          <t>SAGDP7N</t>
        </is>
      </c>
      <c r="D54" s="83" t="n">
        <v>102</v>
      </c>
      <c r="E54" s="83" t="n">
        <v>0</v>
      </c>
      <c r="F54" s="83" t="inlineStr">
        <is>
          <t xml:space="preserve">Federal civilian, overseas activity </t>
        </is>
      </c>
    </row>
    <row r="55" ht="12.8" customHeight="1" s="82">
      <c r="A55" s="83" t="inlineStr">
        <is>
          <t>United States *</t>
        </is>
      </c>
      <c r="B55" s="83" t="inlineStr">
        <is>
          <t xml:space="preserve"> </t>
        </is>
      </c>
      <c r="C55" s="83" t="inlineStr">
        <is>
          <t>SAGDP7N</t>
        </is>
      </c>
      <c r="D55" s="83" t="n">
        <v>103</v>
      </c>
      <c r="E55" s="83" t="n">
        <v>108617</v>
      </c>
      <c r="F55" s="83" t="inlineStr">
        <is>
          <t xml:space="preserve">Military, overseas activity 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R3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8" activeCellId="0" sqref="A18"/>
    </sheetView>
  </sheetViews>
  <sheetFormatPr baseColWidth="8" defaultColWidth="11.53515625" defaultRowHeight="12.8" zeroHeight="0" outlineLevelRow="0"/>
  <sheetData>
    <row r="1" ht="12.8" customHeight="1" s="82">
      <c r="B1" s="92" t="inlineStr">
        <is>
          <t>bea</t>
        </is>
      </c>
      <c r="C1" s="83" t="inlineStr">
        <is>
          <t>bea</t>
        </is>
      </c>
      <c r="D1" s="93" t="inlineStr">
        <is>
          <t>bea</t>
        </is>
      </c>
      <c r="E1" s="83" t="inlineStr">
        <is>
          <t>sut</t>
        </is>
      </c>
      <c r="F1" s="83" t="inlineStr">
        <is>
          <t>sut</t>
        </is>
      </c>
      <c r="G1" s="83" t="inlineStr">
        <is>
          <t>sut</t>
        </is>
      </c>
      <c r="H1" s="83" t="inlineStr">
        <is>
          <t>sut</t>
        </is>
      </c>
      <c r="I1" s="83" t="inlineStr">
        <is>
          <t>sut</t>
        </is>
      </c>
      <c r="J1" s="92" t="inlineStr">
        <is>
          <t>ratio</t>
        </is>
      </c>
      <c r="K1" s="83" t="inlineStr">
        <is>
          <t>ratio</t>
        </is>
      </c>
      <c r="L1" s="93" t="inlineStr">
        <is>
          <t>ratio</t>
        </is>
      </c>
      <c r="M1" s="83" t="inlineStr">
        <is>
          <t>diff</t>
        </is>
      </c>
      <c r="N1" s="83" t="inlineStr">
        <is>
          <t>diff</t>
        </is>
      </c>
      <c r="O1" s="83" t="inlineStr">
        <is>
          <t>diff</t>
        </is>
      </c>
    </row>
    <row r="2" ht="12.8" customHeight="1" s="82">
      <c r="A2" s="94" t="inlineStr">
        <is>
          <t>code</t>
        </is>
      </c>
      <c r="B2" s="95" t="inlineStr">
        <is>
          <t>wages</t>
        </is>
      </c>
      <c r="C2" s="94" t="inlineStr">
        <is>
          <t>nettax</t>
        </is>
      </c>
      <c r="D2" s="96" t="inlineStr">
        <is>
          <t>surplus</t>
        </is>
      </c>
      <c r="E2" s="94" t="inlineStr">
        <is>
          <t>wages</t>
        </is>
      </c>
      <c r="F2" s="94" t="inlineStr">
        <is>
          <t>nettax</t>
        </is>
      </c>
      <c r="G2" s="94" t="inlineStr">
        <is>
          <t>extratax</t>
        </is>
      </c>
      <c r="H2" s="94" t="inlineStr">
        <is>
          <t>totaltax</t>
        </is>
      </c>
      <c r="I2" s="94" t="inlineStr">
        <is>
          <t>surplus</t>
        </is>
      </c>
      <c r="J2" s="95" t="inlineStr">
        <is>
          <t>wages</t>
        </is>
      </c>
      <c r="K2" s="94" t="inlineStr">
        <is>
          <t>nettax</t>
        </is>
      </c>
      <c r="L2" s="96" t="inlineStr">
        <is>
          <t>surplus</t>
        </is>
      </c>
      <c r="M2" s="94" t="inlineStr">
        <is>
          <t>wages</t>
        </is>
      </c>
      <c r="N2" s="94" t="inlineStr">
        <is>
          <t>nettax</t>
        </is>
      </c>
      <c r="O2" s="94" t="inlineStr">
        <is>
          <t>surplus</t>
        </is>
      </c>
      <c r="P2" s="94" t="inlineStr">
        <is>
          <t>comment</t>
        </is>
      </c>
    </row>
    <row r="3" ht="12.8" customHeight="1" s="82">
      <c r="A3" s="126" t="inlineStr">
        <is>
          <t>441</t>
        </is>
      </c>
      <c r="B3" s="127" t="n">
        <v>162073</v>
      </c>
      <c r="C3" s="126" t="n">
        <v>70232</v>
      </c>
      <c r="D3" s="128" t="n">
        <v>109738</v>
      </c>
      <c r="E3" s="126" t="n">
        <v>162259</v>
      </c>
      <c r="F3" s="126" t="n">
        <v>3488</v>
      </c>
      <c r="G3" s="126" t="n">
        <v>66281</v>
      </c>
      <c r="H3" s="126">
        <f>F3+G3</f>
        <v/>
      </c>
      <c r="I3" s="126" t="n">
        <v>115345</v>
      </c>
      <c r="J3" s="129">
        <f>E3/B3</f>
        <v/>
      </c>
      <c r="K3" s="130">
        <f>(F3+G3)/C3</f>
        <v/>
      </c>
      <c r="L3" s="131">
        <f>I3/D3</f>
        <v/>
      </c>
      <c r="M3" s="126">
        <f>(E3-B3)</f>
        <v/>
      </c>
      <c r="N3" s="126">
        <f>(F3+G3-C3)</f>
        <v/>
      </c>
      <c r="O3" s="126">
        <f>(I3-D3)</f>
        <v/>
      </c>
      <c r="P3" s="83" t="inlineStr">
        <is>
          <t>calc dif 441 BEA – SUT, apply to 441000</t>
        </is>
      </c>
    </row>
    <row r="4" ht="12.8" customHeight="1" s="82">
      <c r="A4" s="121" t="inlineStr">
        <is>
          <t>445</t>
        </is>
      </c>
      <c r="B4" s="123" t="n">
        <v>121454</v>
      </c>
      <c r="C4" s="121" t="n">
        <v>52631</v>
      </c>
      <c r="D4" s="124" t="n">
        <v>82235</v>
      </c>
      <c r="E4" s="121" t="n">
        <v>121414</v>
      </c>
      <c r="F4" s="121" t="n">
        <v>3609</v>
      </c>
      <c r="G4" s="121" t="n">
        <v>32237</v>
      </c>
      <c r="H4" s="121">
        <f>F4+G4</f>
        <v/>
      </c>
      <c r="I4" s="121" t="n">
        <v>57346</v>
      </c>
      <c r="J4" s="132">
        <f>E4/B4</f>
        <v/>
      </c>
      <c r="K4" s="133">
        <f>(F4+G4)/C4</f>
        <v/>
      </c>
      <c r="L4" s="134">
        <f>I4/D4</f>
        <v/>
      </c>
      <c r="M4" s="121">
        <f>(E4-B4)</f>
        <v/>
      </c>
      <c r="N4" s="121">
        <f>(F4+G4-C4)</f>
        <v/>
      </c>
      <c r="O4" s="121">
        <f>(I4-D4)</f>
        <v/>
      </c>
      <c r="P4" s="83" t="inlineStr">
        <is>
          <t>calc dif 445 BEA – SUT, apply to 445000</t>
        </is>
      </c>
    </row>
    <row r="5" ht="12.8" customHeight="1" s="82">
      <c r="A5" s="83" t="inlineStr">
        <is>
          <t>452</t>
        </is>
      </c>
      <c r="B5" s="92" t="n">
        <v>115271</v>
      </c>
      <c r="C5" s="83" t="n">
        <v>49951</v>
      </c>
      <c r="D5" s="93" t="n">
        <v>78049</v>
      </c>
      <c r="E5" s="83" t="n">
        <v>114934</v>
      </c>
      <c r="F5" s="83" t="n">
        <v>2672</v>
      </c>
      <c r="G5" s="83" t="n">
        <v>54001</v>
      </c>
      <c r="H5" s="83">
        <f>F5+G5</f>
        <v/>
      </c>
      <c r="I5" s="83" t="n">
        <v>25005</v>
      </c>
      <c r="J5" s="114">
        <f>E5/B5</f>
        <v/>
      </c>
      <c r="K5" s="85">
        <f>(F5+G5)/C5</f>
        <v/>
      </c>
      <c r="L5" s="115">
        <f>I5/D5</f>
        <v/>
      </c>
      <c r="M5" s="83">
        <f>(E5-B5)</f>
        <v/>
      </c>
      <c r="N5" s="83">
        <f>(F5+G5-C5)</f>
        <v/>
      </c>
      <c r="O5" s="83">
        <f>(I5-D5)</f>
        <v/>
      </c>
      <c r="P5" s="83" t="inlineStr">
        <is>
          <t>calc dif 452 BEA – SUT, apply to 452000</t>
        </is>
      </c>
    </row>
    <row r="6" ht="12.8" customHeight="1" s="82">
      <c r="A6" s="83" t="inlineStr">
        <is>
          <t>4A0</t>
        </is>
      </c>
      <c r="B6" s="92" t="n">
        <v>369311</v>
      </c>
      <c r="C6" s="83" t="n">
        <v>160035</v>
      </c>
      <c r="D6" s="93" t="n">
        <v>250057</v>
      </c>
      <c r="E6" s="83" t="n">
        <v>369509</v>
      </c>
      <c r="F6" s="83" t="n">
        <v>17476</v>
      </c>
      <c r="G6" s="83" t="n">
        <v>153084</v>
      </c>
      <c r="H6" s="83">
        <f>F6+G6</f>
        <v/>
      </c>
      <c r="I6" s="83" t="n">
        <v>322372</v>
      </c>
      <c r="J6" s="114">
        <f>E6/B6</f>
        <v/>
      </c>
      <c r="K6" s="85">
        <f>(F6+G6)/C6</f>
        <v/>
      </c>
      <c r="L6" s="115">
        <f>I6/D6</f>
        <v/>
      </c>
      <c r="M6" s="83">
        <f>(E6-B6)</f>
        <v/>
      </c>
      <c r="N6" s="83">
        <f>(F6+G6-C6)</f>
        <v/>
      </c>
      <c r="O6" s="83">
        <f>(I6-D6)</f>
        <v/>
      </c>
      <c r="P6" s="83" t="inlineStr">
        <is>
          <t>apply difference 4A0 BEA – SUT to all subcategories</t>
        </is>
      </c>
    </row>
    <row r="7" ht="12.8" customHeight="1" s="82">
      <c r="B7" s="83">
        <f>SUM(B3:B6)</f>
        <v/>
      </c>
      <c r="C7" s="83">
        <f>SUM(C3:C6)</f>
        <v/>
      </c>
      <c r="D7" s="83">
        <f>SUM(D3:D6)</f>
        <v/>
      </c>
      <c r="E7" s="83">
        <f>SUM(E3:E6)</f>
        <v/>
      </c>
      <c r="F7" s="83">
        <f>SUM(F3:F6)</f>
        <v/>
      </c>
      <c r="G7" s="83">
        <f>SUM(G3:G6)</f>
        <v/>
      </c>
      <c r="H7" s="83">
        <f>SUM(H3:H6)</f>
        <v/>
      </c>
      <c r="I7" s="83">
        <f>SUM(I3:I6)</f>
        <v/>
      </c>
      <c r="J7" s="85" t="n"/>
      <c r="K7" s="85">
        <f>(F7+G7)/C7</f>
        <v/>
      </c>
      <c r="L7" s="85" t="n"/>
      <c r="M7" s="83">
        <f>SUM(M3:M6)</f>
        <v/>
      </c>
      <c r="N7" s="83">
        <f>SUM(N3:N6)</f>
        <v/>
      </c>
      <c r="O7" s="83">
        <f>SUM(O3:O6)</f>
        <v/>
      </c>
    </row>
    <row r="8" ht="12.8" customHeight="1" s="82">
      <c r="G8" s="83">
        <f>G7+F7</f>
        <v/>
      </c>
      <c r="H8" s="83">
        <f>H7+G7</f>
        <v/>
      </c>
      <c r="M8" s="83">
        <f>SUM(M3:M5)</f>
        <v/>
      </c>
      <c r="N8" s="83">
        <f>SUM(N3:N5)</f>
        <v/>
      </c>
      <c r="O8" s="83">
        <f>SUM(O3:O5)</f>
        <v/>
      </c>
    </row>
    <row r="9" ht="12.8" customHeight="1" s="82">
      <c r="M9" s="83">
        <f>M6</f>
        <v/>
      </c>
      <c r="N9" s="83">
        <f>N6</f>
        <v/>
      </c>
      <c r="O9" s="83">
        <f>O6</f>
        <v/>
      </c>
    </row>
    <row r="11" ht="13.8" customHeight="1" s="82">
      <c r="A11" s="87" t="inlineStr">
        <is>
          <t>offspring_code</t>
        </is>
      </c>
      <c r="B11" s="87" t="inlineStr">
        <is>
          <t>parent_code</t>
        </is>
      </c>
      <c r="C11" s="87" t="inlineStr">
        <is>
          <t>parent_title</t>
        </is>
      </c>
      <c r="D11" s="87" t="inlineStr">
        <is>
          <t>offspring_title</t>
        </is>
      </c>
      <c r="E11" s="84" t="inlineStr">
        <is>
          <t>code</t>
        </is>
      </c>
      <c r="F11" s="84" t="inlineStr">
        <is>
          <t>wages</t>
        </is>
      </c>
      <c r="G11" s="84" t="inlineStr">
        <is>
          <t>nettax</t>
        </is>
      </c>
      <c r="H11" s="84" t="inlineStr">
        <is>
          <t>surplus</t>
        </is>
      </c>
      <c r="I11" s="84" t="inlineStr">
        <is>
          <t>wages</t>
        </is>
      </c>
      <c r="J11" s="84" t="inlineStr">
        <is>
          <t>nettax</t>
        </is>
      </c>
      <c r="K11" s="84" t="inlineStr">
        <is>
          <t>extratax</t>
        </is>
      </c>
      <c r="L11" s="84" t="inlineStr">
        <is>
          <t>totaltax</t>
        </is>
      </c>
      <c r="M11" s="84" t="inlineStr">
        <is>
          <t>surplus</t>
        </is>
      </c>
      <c r="N11" s="83" t="inlineStr">
        <is>
          <t>bea ratio</t>
        </is>
      </c>
      <c r="O11" s="83" t="inlineStr">
        <is>
          <t>wageratio</t>
        </is>
      </c>
      <c r="P11" s="83" t="inlineStr">
        <is>
          <t>taxdif</t>
        </is>
      </c>
      <c r="Q11" s="83" t="inlineStr">
        <is>
          <t>surplusdif</t>
        </is>
      </c>
    </row>
    <row r="12" ht="13.8" customHeight="1" s="82">
      <c r="A12" s="126" t="inlineStr">
        <is>
          <t>441000</t>
        </is>
      </c>
      <c r="B12" s="126" t="inlineStr">
        <is>
          <t>441</t>
        </is>
      </c>
      <c r="C12" s="126" t="inlineStr">
        <is>
          <t>Motor vehicle and parts dealers</t>
        </is>
      </c>
      <c r="D12" s="126" t="inlineStr">
        <is>
          <t>Motor vehicle and parts dealers</t>
        </is>
      </c>
      <c r="E12" s="135" t="inlineStr">
        <is>
          <t>441000</t>
        </is>
      </c>
      <c r="F12" s="126" t="n">
        <v>162073</v>
      </c>
      <c r="G12" s="126" t="n">
        <v>70232</v>
      </c>
      <c r="H12" s="126" t="n">
        <v>109738</v>
      </c>
      <c r="I12" s="127" t="n">
        <v>118071</v>
      </c>
      <c r="J12" s="126" t="n">
        <v>3108</v>
      </c>
      <c r="K12" s="126" t="n">
        <v>45947</v>
      </c>
      <c r="L12" s="126">
        <f>J12+K12</f>
        <v/>
      </c>
      <c r="M12" s="128" t="n">
        <v>68657</v>
      </c>
      <c r="N12" s="85" t="n"/>
      <c r="O12" s="85" t="n"/>
      <c r="P12" s="85" t="n"/>
    </row>
    <row r="13" ht="13.8" customHeight="1" s="82">
      <c r="A13" s="121" t="inlineStr">
        <is>
          <t>445000</t>
        </is>
      </c>
      <c r="B13" s="121" t="inlineStr">
        <is>
          <t>445</t>
        </is>
      </c>
      <c r="C13" s="121" t="inlineStr">
        <is>
          <t>Food and beverage stores</t>
        </is>
      </c>
      <c r="D13" s="121" t="inlineStr">
        <is>
          <t>Food and beverage stores</t>
        </is>
      </c>
      <c r="E13" s="122" t="inlineStr">
        <is>
          <t>445000</t>
        </is>
      </c>
      <c r="F13" s="121" t="n">
        <v>121454</v>
      </c>
      <c r="G13" s="121" t="n">
        <v>52631</v>
      </c>
      <c r="H13" s="121" t="n">
        <v>82235</v>
      </c>
      <c r="I13" s="123" t="n">
        <v>96461</v>
      </c>
      <c r="J13" s="121" t="n">
        <v>3223</v>
      </c>
      <c r="K13" s="121" t="n">
        <v>22253</v>
      </c>
      <c r="L13" s="121">
        <f>J13+K13</f>
        <v/>
      </c>
      <c r="M13" s="124" t="n">
        <v>40131</v>
      </c>
      <c r="N13" s="85" t="n"/>
      <c r="O13" s="85" t="n"/>
      <c r="P13" s="85" t="n"/>
      <c r="Q13" s="83" t="n"/>
      <c r="R13" s="83" t="n"/>
    </row>
    <row r="14" ht="13.8" customHeight="1" s="82">
      <c r="A14" s="83" t="inlineStr">
        <is>
          <t>452000</t>
        </is>
      </c>
      <c r="B14" s="83" t="inlineStr">
        <is>
          <t>452</t>
        </is>
      </c>
      <c r="C14" s="83" t="inlineStr">
        <is>
          <t>General merchandise stores</t>
        </is>
      </c>
      <c r="D14" s="83" t="inlineStr">
        <is>
          <t>General merchandise stores</t>
        </is>
      </c>
      <c r="E14" s="84" t="inlineStr">
        <is>
          <t>452000</t>
        </is>
      </c>
      <c r="F14" s="83" t="n">
        <v>115271</v>
      </c>
      <c r="G14" s="83" t="n">
        <v>49951</v>
      </c>
      <c r="H14" s="83" t="n">
        <v>78049</v>
      </c>
      <c r="I14" s="92" t="n">
        <v>93086</v>
      </c>
      <c r="J14" s="83" t="n">
        <v>2493</v>
      </c>
      <c r="K14" s="83" t="n">
        <v>37990</v>
      </c>
      <c r="L14" s="83">
        <f>J14+K14</f>
        <v/>
      </c>
      <c r="M14" s="93" t="n">
        <v>18546</v>
      </c>
      <c r="N14" s="85" t="n"/>
      <c r="O14" s="85" t="n"/>
      <c r="P14" s="85" t="n"/>
      <c r="Q14" s="83" t="n"/>
      <c r="R14" s="83" t="n"/>
    </row>
    <row r="15" ht="13.8" customHeight="1" s="82">
      <c r="A15" s="83" t="inlineStr">
        <is>
          <t>444000</t>
        </is>
      </c>
      <c r="B15" s="83" t="inlineStr">
        <is>
          <t>4A0</t>
        </is>
      </c>
      <c r="C15" s="83" t="inlineStr">
        <is>
          <t>Other retail</t>
        </is>
      </c>
      <c r="D15" s="83" t="inlineStr">
        <is>
          <t>Building material and garden equipment and supplies dealers</t>
        </is>
      </c>
      <c r="E15" s="84" t="inlineStr">
        <is>
          <t>444000</t>
        </is>
      </c>
      <c r="F15" s="83" t="n">
        <v>69205</v>
      </c>
      <c r="G15" s="83" t="n">
        <v>29989</v>
      </c>
      <c r="H15" s="83" t="n">
        <v>46858</v>
      </c>
      <c r="I15" s="92" t="n">
        <v>52804</v>
      </c>
      <c r="J15" s="83" t="n">
        <v>1921</v>
      </c>
      <c r="K15" s="83" t="n">
        <v>21701</v>
      </c>
      <c r="L15" s="83">
        <f>J15+K15</f>
        <v/>
      </c>
      <c r="M15" s="93" t="n">
        <v>27879</v>
      </c>
      <c r="N15" s="85">
        <f>F15/F$21</f>
        <v/>
      </c>
      <c r="O15" s="85">
        <f>I15/I$21</f>
        <v/>
      </c>
      <c r="P15" s="85">
        <f>L15/L$21</f>
        <v/>
      </c>
      <c r="Q15" s="85">
        <f>M15/M$21</f>
        <v/>
      </c>
      <c r="R15" s="83" t="n"/>
    </row>
    <row r="16" ht="13.8" customHeight="1" s="82">
      <c r="A16" s="83" t="inlineStr">
        <is>
          <t>446000</t>
        </is>
      </c>
      <c r="B16" s="83" t="inlineStr">
        <is>
          <t>4A0</t>
        </is>
      </c>
      <c r="C16" s="83" t="inlineStr">
        <is>
          <t>Other retail</t>
        </is>
      </c>
      <c r="D16" s="83" t="inlineStr">
        <is>
          <t>Health and personal care stores</t>
        </is>
      </c>
      <c r="E16" s="84" t="inlineStr">
        <is>
          <t>446000</t>
        </is>
      </c>
      <c r="F16" s="83" t="n">
        <v>55267</v>
      </c>
      <c r="G16" s="83" t="n">
        <v>23949</v>
      </c>
      <c r="H16" s="83" t="n">
        <v>37421</v>
      </c>
      <c r="I16" s="92" t="n">
        <v>50169</v>
      </c>
      <c r="J16" s="83" t="n">
        <v>1479</v>
      </c>
      <c r="K16" s="83" t="n">
        <v>6833</v>
      </c>
      <c r="L16" s="83">
        <f>J16+K16</f>
        <v/>
      </c>
      <c r="M16" s="93" t="n">
        <v>13624</v>
      </c>
      <c r="N16" s="85">
        <f>F16/F$21</f>
        <v/>
      </c>
      <c r="O16" s="85">
        <f>I16/I$21</f>
        <v/>
      </c>
      <c r="P16" s="85">
        <f>L16/L$21</f>
        <v/>
      </c>
      <c r="Q16" s="85">
        <f>M16/M$21</f>
        <v/>
      </c>
      <c r="R16" s="83" t="n"/>
    </row>
    <row r="17" ht="13.8" customHeight="1" s="82">
      <c r="A17" s="126" t="inlineStr">
        <is>
          <t>447000</t>
        </is>
      </c>
      <c r="B17" s="126" t="inlineStr">
        <is>
          <t>4A0</t>
        </is>
      </c>
      <c r="C17" s="126" t="inlineStr">
        <is>
          <t>Other retail</t>
        </is>
      </c>
      <c r="D17" s="126" t="inlineStr">
        <is>
          <t>Gasoline stations</t>
        </is>
      </c>
      <c r="E17" s="135" t="inlineStr">
        <is>
          <t>447000</t>
        </is>
      </c>
      <c r="F17" s="126" t="n">
        <v>34505</v>
      </c>
      <c r="G17" s="126" t="n">
        <v>14952</v>
      </c>
      <c r="H17" s="126" t="n">
        <v>23363</v>
      </c>
      <c r="I17" s="127" t="n">
        <v>24942</v>
      </c>
      <c r="J17" s="126" t="n">
        <v>1419</v>
      </c>
      <c r="K17" s="126" t="n">
        <v>12963</v>
      </c>
      <c r="L17" s="126">
        <f>J17+K17</f>
        <v/>
      </c>
      <c r="M17" s="128" t="n">
        <v>21627</v>
      </c>
      <c r="N17" s="85">
        <f>F17/F$21</f>
        <v/>
      </c>
      <c r="O17" s="85">
        <f>I17/I$21</f>
        <v/>
      </c>
      <c r="P17" s="85">
        <f>L17/L$21</f>
        <v/>
      </c>
      <c r="Q17" s="85">
        <f>M17/M$21</f>
        <v/>
      </c>
      <c r="R17" s="83" t="n"/>
    </row>
    <row r="18" ht="13.8" customHeight="1" s="82">
      <c r="A18" s="83" t="inlineStr">
        <is>
          <t>448000</t>
        </is>
      </c>
      <c r="B18" s="83" t="inlineStr">
        <is>
          <t>4A0</t>
        </is>
      </c>
      <c r="C18" s="83" t="inlineStr">
        <is>
          <t>Other retail</t>
        </is>
      </c>
      <c r="D18" s="83" t="inlineStr">
        <is>
          <t>Clothing and clothing accessories stores</t>
        </is>
      </c>
      <c r="E18" s="84" t="inlineStr">
        <is>
          <t>448000</t>
        </is>
      </c>
      <c r="F18" s="83" t="n">
        <v>39964</v>
      </c>
      <c r="G18" s="83" t="n">
        <v>17318</v>
      </c>
      <c r="H18" s="83" t="n">
        <v>27059</v>
      </c>
      <c r="I18" s="92" t="n">
        <v>37806</v>
      </c>
      <c r="J18" s="83" t="n">
        <v>1833</v>
      </c>
      <c r="K18" s="83" t="n">
        <v>17160</v>
      </c>
      <c r="L18" s="83">
        <f>J18+K18</f>
        <v/>
      </c>
      <c r="M18" s="93" t="n">
        <v>13408</v>
      </c>
      <c r="N18" s="85">
        <f>F18/F$21</f>
        <v/>
      </c>
      <c r="O18" s="85">
        <f>I18/I$21</f>
        <v/>
      </c>
      <c r="P18" s="85">
        <f>L18/L$21</f>
        <v/>
      </c>
      <c r="Q18" s="85">
        <f>M18/M$21</f>
        <v/>
      </c>
      <c r="R18" s="83" t="n"/>
    </row>
    <row r="19" ht="13.8" customHeight="1" s="82">
      <c r="A19" s="83" t="inlineStr">
        <is>
          <t>454000</t>
        </is>
      </c>
      <c r="B19" s="83" t="inlineStr">
        <is>
          <t>4A0</t>
        </is>
      </c>
      <c r="C19" s="83" t="inlineStr">
        <is>
          <t>Other retail</t>
        </is>
      </c>
      <c r="D19" s="83" t="inlineStr">
        <is>
          <t>Nonstore retailers</t>
        </is>
      </c>
      <c r="E19" s="84" t="inlineStr">
        <is>
          <t>454000</t>
        </is>
      </c>
      <c r="F19" s="83" t="n">
        <v>64920</v>
      </c>
      <c r="G19" s="83" t="n">
        <v>28132</v>
      </c>
      <c r="H19" s="83" t="n">
        <v>43957</v>
      </c>
      <c r="I19" s="92" t="n">
        <v>42272</v>
      </c>
      <c r="J19" s="83" t="n">
        <v>3840</v>
      </c>
      <c r="K19" s="83" t="n">
        <v>20524</v>
      </c>
      <c r="L19" s="83">
        <f>J19+K19</f>
        <v/>
      </c>
      <c r="M19" s="93" t="n">
        <v>116764</v>
      </c>
      <c r="N19" s="85">
        <f>F19/F$21</f>
        <v/>
      </c>
      <c r="O19" s="85">
        <f>I19/I$21</f>
        <v/>
      </c>
      <c r="P19" s="85">
        <f>L19/L$21</f>
        <v/>
      </c>
      <c r="Q19" s="85">
        <f>M19/M$21</f>
        <v/>
      </c>
      <c r="R19" s="83" t="n"/>
    </row>
    <row r="20" ht="13.8" customHeight="1" s="82">
      <c r="A20" s="83" t="inlineStr">
        <is>
          <t>4B0000</t>
        </is>
      </c>
      <c r="B20" s="83" t="inlineStr">
        <is>
          <t>4A0</t>
        </is>
      </c>
      <c r="C20" s="83" t="inlineStr">
        <is>
          <t>Other retail</t>
        </is>
      </c>
      <c r="D20" s="83" t="inlineStr">
        <is>
          <t>All other retail</t>
        </is>
      </c>
      <c r="E20" s="84" t="inlineStr">
        <is>
          <t>4B0000</t>
        </is>
      </c>
      <c r="F20" s="83" t="n">
        <v>105450</v>
      </c>
      <c r="G20" s="83" t="n">
        <v>45695</v>
      </c>
      <c r="H20" s="83" t="n">
        <v>71399</v>
      </c>
      <c r="I20" s="92" t="n">
        <v>91257</v>
      </c>
      <c r="J20" s="83" t="n">
        <v>2810</v>
      </c>
      <c r="K20" s="83" t="n">
        <v>24926</v>
      </c>
      <c r="L20" s="83">
        <f>J20+K20</f>
        <v/>
      </c>
      <c r="M20" s="93" t="n">
        <v>18998</v>
      </c>
      <c r="N20" s="85">
        <f>F20/F$21</f>
        <v/>
      </c>
      <c r="O20" s="85">
        <f>I20/I$21</f>
        <v/>
      </c>
      <c r="P20" s="85">
        <f>L20/L$21</f>
        <v/>
      </c>
      <c r="Q20" s="85">
        <f>M20/M$21</f>
        <v/>
      </c>
      <c r="R20" s="83" t="n"/>
    </row>
    <row r="21" ht="12.8" customHeight="1" s="82">
      <c r="F21" s="83">
        <f>SUM(F15:F20)</f>
        <v/>
      </c>
      <c r="G21" s="83">
        <f>SUM(G15:G20)</f>
        <v/>
      </c>
      <c r="H21" s="83">
        <f>SUM(H15:H20)</f>
        <v/>
      </c>
      <c r="I21" s="83">
        <f>SUM(I15:I20)</f>
        <v/>
      </c>
      <c r="J21" s="83">
        <f>SUM(J15:J20)</f>
        <v/>
      </c>
      <c r="K21" s="83">
        <f>SUM(K15:K20)</f>
        <v/>
      </c>
      <c r="L21" s="83">
        <f>SUM(L15:L20)</f>
        <v/>
      </c>
      <c r="M21" s="83">
        <f>SUM(M15:M20)</f>
        <v/>
      </c>
      <c r="N21" s="85">
        <f>F21/F$21</f>
        <v/>
      </c>
      <c r="O21" s="85">
        <f>I21/I$21</f>
        <v/>
      </c>
      <c r="P21" s="85">
        <f>L21/L$21</f>
        <v/>
      </c>
      <c r="Q21" s="85">
        <f>M21/M$21</f>
        <v/>
      </c>
      <c r="R21" s="83" t="n"/>
    </row>
    <row r="22" ht="12.8" customHeight="1" s="82">
      <c r="F22" s="85">
        <f>M9/F21</f>
        <v/>
      </c>
      <c r="G22" s="85">
        <f>N9/G21</f>
        <v/>
      </c>
      <c r="H22" s="85">
        <f>O9/H21</f>
        <v/>
      </c>
      <c r="I22" s="85">
        <f>F21/I21</f>
        <v/>
      </c>
      <c r="J22" s="85" t="n"/>
      <c r="K22" s="85" t="n"/>
      <c r="L22" s="85">
        <f>G21/L21</f>
        <v/>
      </c>
      <c r="M22" s="85">
        <f>H21/M21</f>
        <v/>
      </c>
      <c r="O22" s="83" t="n"/>
      <c r="P22" s="83" t="n"/>
      <c r="Q22" s="83" t="n"/>
      <c r="R22" s="83" t="n"/>
    </row>
    <row r="23" ht="12.8" customHeight="1" s="82">
      <c r="A23" s="83" t="inlineStr">
        <is>
          <t>bea</t>
        </is>
      </c>
      <c r="H23" s="83" t="inlineStr">
        <is>
          <t>bea</t>
        </is>
      </c>
    </row>
    <row r="24" ht="13.8" customHeight="1" s="82">
      <c r="A24" s="87" t="inlineStr">
        <is>
          <t>sut_code</t>
        </is>
      </c>
      <c r="B24" s="87" t="inlineStr">
        <is>
          <t>sut_title</t>
        </is>
      </c>
      <c r="C24" s="87" t="inlineStr">
        <is>
          <t>base_code</t>
        </is>
      </c>
      <c r="D24" s="87" t="inlineStr">
        <is>
          <t>base_title</t>
        </is>
      </c>
      <c r="H24" s="87" t="inlineStr">
        <is>
          <t>gdp_code</t>
        </is>
      </c>
      <c r="I24" s="87" t="inlineStr">
        <is>
          <t>gdp_title</t>
        </is>
      </c>
      <c r="J24" s="87" t="inlineStr">
        <is>
          <t>base_code</t>
        </is>
      </c>
      <c r="K24" s="87" t="inlineStr">
        <is>
          <t>base_title</t>
        </is>
      </c>
      <c r="L24" s="83" t="n"/>
      <c r="M24" s="83" t="n"/>
      <c r="N24" s="83" t="n"/>
    </row>
    <row r="25" ht="12.8" customHeight="1" s="82">
      <c r="A25" s="83" t="inlineStr">
        <is>
          <t>441000</t>
        </is>
      </c>
      <c r="B25" s="83" t="inlineStr">
        <is>
          <t>Motor vehicle and parts dealers</t>
        </is>
      </c>
      <c r="C25" s="83" t="inlineStr">
        <is>
          <t>441</t>
        </is>
      </c>
      <c r="D25" s="83" t="inlineStr">
        <is>
          <t>Motor vehicle and parts dealers</t>
        </is>
      </c>
      <c r="H25" s="83" t="inlineStr">
        <is>
          <t>44-45</t>
        </is>
      </c>
      <c r="I25" s="83" t="inlineStr">
        <is>
          <t>Retail trade</t>
        </is>
      </c>
      <c r="J25" s="83" t="inlineStr">
        <is>
          <t>441</t>
        </is>
      </c>
      <c r="K25" s="83" t="inlineStr">
        <is>
          <t>Motor vehicle and parts dealers</t>
        </is>
      </c>
      <c r="L25" s="83" t="n"/>
      <c r="M25" s="83" t="n"/>
      <c r="N25" s="83" t="n"/>
    </row>
    <row r="26" ht="12.8" customHeight="1" s="82">
      <c r="A26" s="83" t="inlineStr">
        <is>
          <t>444000</t>
        </is>
      </c>
      <c r="B26" s="83" t="inlineStr">
        <is>
          <t>Building material and garden equipment and supplies dealers</t>
        </is>
      </c>
      <c r="C26" s="83" t="inlineStr">
        <is>
          <t>444</t>
        </is>
      </c>
      <c r="D26" s="83" t="inlineStr">
        <is>
          <t>Building material and garden equipment and supplies dealers</t>
        </is>
      </c>
      <c r="H26" s="83" t="inlineStr">
        <is>
          <t>44-45</t>
        </is>
      </c>
      <c r="I26" s="83" t="inlineStr">
        <is>
          <t>Retail trade</t>
        </is>
      </c>
      <c r="J26" s="83" t="inlineStr">
        <is>
          <t>444</t>
        </is>
      </c>
      <c r="K26" s="83" t="inlineStr">
        <is>
          <t>Building material and garden equipment and supplies dealers</t>
        </is>
      </c>
      <c r="L26" s="83" t="n"/>
      <c r="M26" s="83" t="n"/>
      <c r="N26" s="83" t="n"/>
    </row>
    <row r="27" ht="12.8" customHeight="1" s="82">
      <c r="A27" s="83" t="inlineStr">
        <is>
          <t>445000</t>
        </is>
      </c>
      <c r="B27" s="83" t="inlineStr">
        <is>
          <t>Food and beverage stores</t>
        </is>
      </c>
      <c r="C27" s="83" t="inlineStr">
        <is>
          <t>445</t>
        </is>
      </c>
      <c r="D27" s="83" t="inlineStr">
        <is>
          <t>Food and beverage stores</t>
        </is>
      </c>
      <c r="H27" s="83" t="inlineStr">
        <is>
          <t>44-45</t>
        </is>
      </c>
      <c r="I27" s="83" t="inlineStr">
        <is>
          <t>Retail trade</t>
        </is>
      </c>
      <c r="J27" s="83" t="inlineStr">
        <is>
          <t>445</t>
        </is>
      </c>
      <c r="K27" s="83" t="inlineStr">
        <is>
          <t>Food and beverage stores</t>
        </is>
      </c>
      <c r="L27" s="83" t="n"/>
      <c r="M27" s="83" t="n"/>
      <c r="N27" s="83" t="n"/>
    </row>
    <row r="28" ht="12.8" customHeight="1" s="82">
      <c r="A28" s="83" t="inlineStr">
        <is>
          <t>446000</t>
        </is>
      </c>
      <c r="B28" s="83" t="inlineStr">
        <is>
          <t>Health and personal care stores</t>
        </is>
      </c>
      <c r="C28" s="83" t="inlineStr">
        <is>
          <t>446</t>
        </is>
      </c>
      <c r="D28" s="83" t="inlineStr">
        <is>
          <t>Health and personal care stores</t>
        </is>
      </c>
      <c r="H28" s="83" t="inlineStr">
        <is>
          <t>44-45</t>
        </is>
      </c>
      <c r="I28" s="83" t="inlineStr">
        <is>
          <t>Retail trade</t>
        </is>
      </c>
      <c r="J28" s="83" t="inlineStr">
        <is>
          <t>446</t>
        </is>
      </c>
      <c r="K28" s="83" t="inlineStr">
        <is>
          <t>Health and personal care stores</t>
        </is>
      </c>
    </row>
    <row r="29" ht="12.8" customHeight="1" s="82">
      <c r="A29" s="83" t="inlineStr">
        <is>
          <t>447000</t>
        </is>
      </c>
      <c r="B29" s="83" t="inlineStr">
        <is>
          <t>Gasoline stations</t>
        </is>
      </c>
      <c r="C29" s="83" t="inlineStr">
        <is>
          <t>447</t>
        </is>
      </c>
      <c r="D29" s="83" t="inlineStr">
        <is>
          <t>Gasoline stations</t>
        </is>
      </c>
      <c r="H29" s="83" t="inlineStr">
        <is>
          <t>44-45</t>
        </is>
      </c>
      <c r="I29" s="83" t="inlineStr">
        <is>
          <t>Retail trade</t>
        </is>
      </c>
      <c r="J29" s="83" t="inlineStr">
        <is>
          <t>447</t>
        </is>
      </c>
      <c r="K29" s="83" t="inlineStr">
        <is>
          <t>Gasoline stations</t>
        </is>
      </c>
    </row>
    <row r="30" ht="12.8" customHeight="1" s="82">
      <c r="A30" s="83" t="inlineStr">
        <is>
          <t>448000</t>
        </is>
      </c>
      <c r="B30" s="83" t="inlineStr">
        <is>
          <t>Clothing and clothing accessories stores</t>
        </is>
      </c>
      <c r="C30" s="83" t="inlineStr">
        <is>
          <t>448</t>
        </is>
      </c>
      <c r="D30" s="83" t="inlineStr">
        <is>
          <t>Clothing and clothing accessories stores</t>
        </is>
      </c>
      <c r="H30" s="83" t="inlineStr">
        <is>
          <t>44-45</t>
        </is>
      </c>
      <c r="I30" s="83" t="inlineStr">
        <is>
          <t>Retail trade</t>
        </is>
      </c>
      <c r="J30" s="83" t="inlineStr">
        <is>
          <t>448</t>
        </is>
      </c>
      <c r="K30" s="83" t="inlineStr">
        <is>
          <t>Clothing and clothing accessories stores</t>
        </is>
      </c>
    </row>
    <row r="31" ht="12.8" customHeight="1" s="82">
      <c r="A31" s="83" t="inlineStr">
        <is>
          <t>452000</t>
        </is>
      </c>
      <c r="B31" s="83" t="inlineStr">
        <is>
          <t>General merchandise stores</t>
        </is>
      </c>
      <c r="C31" s="83" t="inlineStr">
        <is>
          <t>452</t>
        </is>
      </c>
      <c r="D31" s="83" t="inlineStr">
        <is>
          <t>General merchandise stores</t>
        </is>
      </c>
      <c r="H31" s="83" t="inlineStr">
        <is>
          <t>44-45</t>
        </is>
      </c>
      <c r="I31" s="83" t="inlineStr">
        <is>
          <t>Retail trade</t>
        </is>
      </c>
      <c r="J31" s="83" t="inlineStr">
        <is>
          <t>452</t>
        </is>
      </c>
      <c r="K31" s="83" t="inlineStr">
        <is>
          <t>General merchandise stores</t>
        </is>
      </c>
    </row>
    <row r="32" ht="12.8" customHeight="1" s="82">
      <c r="A32" s="83" t="inlineStr">
        <is>
          <t>454000</t>
        </is>
      </c>
      <c r="B32" s="83" t="inlineStr">
        <is>
          <t>Nonstore retailers</t>
        </is>
      </c>
      <c r="C32" s="83" t="inlineStr">
        <is>
          <t>454</t>
        </is>
      </c>
      <c r="D32" s="83" t="inlineStr">
        <is>
          <t>Nonstore retailers</t>
        </is>
      </c>
      <c r="H32" s="83" t="inlineStr">
        <is>
          <t>44-45</t>
        </is>
      </c>
      <c r="I32" s="83" t="inlineStr">
        <is>
          <t>Retail trade</t>
        </is>
      </c>
      <c r="J32" s="83" t="inlineStr">
        <is>
          <t>454</t>
        </is>
      </c>
      <c r="K32" s="83" t="inlineStr">
        <is>
          <t>Nonstore retailers</t>
        </is>
      </c>
    </row>
    <row r="33" ht="12.8" customHeight="1" s="82">
      <c r="A33" s="83" t="inlineStr">
        <is>
          <t>4B0000</t>
        </is>
      </c>
      <c r="B33" s="83" t="inlineStr">
        <is>
          <t>All other retail</t>
        </is>
      </c>
      <c r="C33" s="83" t="inlineStr">
        <is>
          <t>4B0000</t>
        </is>
      </c>
      <c r="D33" s="83" t="inlineStr">
        <is>
          <t>All other retail</t>
        </is>
      </c>
      <c r="H33" s="83" t="inlineStr">
        <is>
          <t>44-45</t>
        </is>
      </c>
      <c r="I33" s="83" t="inlineStr">
        <is>
          <t>Retail trade</t>
        </is>
      </c>
      <c r="J33" s="83" t="inlineStr">
        <is>
          <t>4B0000</t>
        </is>
      </c>
      <c r="K33" s="83" t="inlineStr">
        <is>
          <t>All other retail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422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B18" activeCellId="0" sqref="B18"/>
    </sheetView>
  </sheetViews>
  <sheetFormatPr baseColWidth="8" defaultColWidth="11.53515625" defaultRowHeight="12.8" zeroHeight="0" outlineLevelRow="0"/>
  <sheetData>
    <row r="1" ht="12.8" customHeight="1" s="82">
      <c r="A1" s="83" t="inlineStr">
        <is>
          <t>title</t>
        </is>
      </c>
      <c r="B1" s="83" t="inlineStr">
        <is>
          <t>code</t>
        </is>
      </c>
      <c r="C1" s="83" t="inlineStr">
        <is>
          <t>V00100</t>
        </is>
      </c>
      <c r="D1" s="83" t="inlineStr">
        <is>
          <t>T00OTOP</t>
        </is>
      </c>
      <c r="E1" s="83" t="inlineStr">
        <is>
          <t>V00300</t>
        </is>
      </c>
      <c r="F1" s="83" t="inlineStr">
        <is>
          <t>T00TOP</t>
        </is>
      </c>
      <c r="G1" s="83" t="inlineStr">
        <is>
          <t>T00SUB</t>
        </is>
      </c>
      <c r="H1" s="83" t="inlineStr">
        <is>
          <t>extratax</t>
        </is>
      </c>
    </row>
    <row r="2" ht="12.8" customHeight="1" s="82">
      <c r="A2" s="83" t="inlineStr">
        <is>
          <t>Oilseed farming</t>
        </is>
      </c>
      <c r="B2" s="83" t="inlineStr">
        <is>
          <t>1111A0</t>
        </is>
      </c>
      <c r="C2" s="83" t="n">
        <v>1062</v>
      </c>
      <c r="D2" s="83" t="n">
        <v>1112</v>
      </c>
      <c r="E2" s="83" t="n">
        <v>15495</v>
      </c>
      <c r="H2" s="83">
        <f>F2-G2</f>
        <v/>
      </c>
    </row>
    <row r="3" ht="12.8" customHeight="1" s="82">
      <c r="A3" s="83" t="inlineStr">
        <is>
          <t>Grain farming</t>
        </is>
      </c>
      <c r="B3" s="83" t="inlineStr">
        <is>
          <t>1111B0</t>
        </is>
      </c>
      <c r="C3" s="83" t="n">
        <v>3149</v>
      </c>
      <c r="D3" s="83" t="n">
        <v>1293</v>
      </c>
      <c r="E3" s="83" t="n">
        <v>14896</v>
      </c>
      <c r="G3" s="83" t="n">
        <v>9531</v>
      </c>
      <c r="H3" s="83">
        <f>F3-G3</f>
        <v/>
      </c>
    </row>
    <row r="4" ht="12.8" customHeight="1" s="82">
      <c r="A4" s="83" t="inlineStr">
        <is>
          <t>Vegetable and melon farming</t>
        </is>
      </c>
      <c r="B4" s="83" t="inlineStr">
        <is>
          <t>111200</t>
        </is>
      </c>
      <c r="C4" s="83" t="n">
        <v>2497</v>
      </c>
      <c r="D4" s="83" t="n">
        <v>489</v>
      </c>
      <c r="E4" s="83" t="n">
        <v>5165</v>
      </c>
      <c r="H4" s="83">
        <f>F4-G4</f>
        <v/>
      </c>
    </row>
    <row r="5" ht="12.8" customHeight="1" s="82">
      <c r="A5" s="83" t="inlineStr">
        <is>
          <t>Fruit and tree nut farming</t>
        </is>
      </c>
      <c r="B5" s="83" t="inlineStr">
        <is>
          <t>111300</t>
        </is>
      </c>
      <c r="C5" s="83" t="n">
        <v>5182</v>
      </c>
      <c r="D5" s="83" t="n">
        <v>826</v>
      </c>
      <c r="E5" s="83" t="n">
        <v>12227</v>
      </c>
      <c r="H5" s="83">
        <f>F5-G5</f>
        <v/>
      </c>
    </row>
    <row r="6" ht="12.8" customHeight="1" s="82">
      <c r="A6" s="83" t="inlineStr">
        <is>
          <t>Greenhouse, nursery, and floriculture production</t>
        </is>
      </c>
      <c r="B6" s="83" t="inlineStr">
        <is>
          <t>111400</t>
        </is>
      </c>
      <c r="C6" s="83" t="n">
        <v>5456</v>
      </c>
      <c r="D6" s="83" t="n">
        <v>362</v>
      </c>
      <c r="E6" s="83" t="n">
        <v>4415</v>
      </c>
      <c r="H6" s="83">
        <f>F6-G6</f>
        <v/>
      </c>
    </row>
    <row r="7" ht="12.8" customHeight="1" s="82">
      <c r="A7" s="83" t="inlineStr">
        <is>
          <t>Other crop farming</t>
        </is>
      </c>
      <c r="B7" s="83" t="inlineStr">
        <is>
          <t>111900</t>
        </is>
      </c>
      <c r="C7" s="83" t="n">
        <v>4823</v>
      </c>
      <c r="D7" s="83" t="n">
        <v>544</v>
      </c>
      <c r="E7" s="83" t="n">
        <v>4298</v>
      </c>
      <c r="G7" s="83" t="n">
        <v>585</v>
      </c>
      <c r="H7" s="83">
        <f>F7-G7</f>
        <v/>
      </c>
    </row>
    <row r="8" ht="12.8" customHeight="1" s="82">
      <c r="A8" s="83" t="inlineStr">
        <is>
          <t>Dairy cattle and milk production</t>
        </is>
      </c>
      <c r="B8" s="83" t="inlineStr">
        <is>
          <t>112120</t>
        </is>
      </c>
      <c r="C8" s="83" t="n">
        <v>2179</v>
      </c>
      <c r="D8" s="83" t="n">
        <v>853</v>
      </c>
      <c r="E8" s="83" t="n">
        <v>6583</v>
      </c>
      <c r="H8" s="83">
        <f>F8-G8</f>
        <v/>
      </c>
    </row>
    <row r="9" ht="12.8" customHeight="1" s="82">
      <c r="A9" s="83" t="inlineStr">
        <is>
          <t>Beef cattle ranching and farming, including feedlots and dual-purpose ranching and farming</t>
        </is>
      </c>
      <c r="B9" s="83" t="inlineStr">
        <is>
          <t>1121A0</t>
        </is>
      </c>
      <c r="C9" s="83" t="n">
        <v>1231</v>
      </c>
      <c r="D9" s="83" t="n">
        <v>1890</v>
      </c>
      <c r="E9" s="83" t="n">
        <v>24181</v>
      </c>
      <c r="H9" s="83">
        <f>F9-G9</f>
        <v/>
      </c>
    </row>
    <row r="10" ht="12.8" customHeight="1" s="82">
      <c r="A10" s="83" t="inlineStr">
        <is>
          <t>Poultry and egg production</t>
        </is>
      </c>
      <c r="B10" s="83" t="inlineStr">
        <is>
          <t>112300</t>
        </is>
      </c>
      <c r="C10" s="83" t="n">
        <v>2521</v>
      </c>
      <c r="D10" s="83" t="n">
        <v>1051</v>
      </c>
      <c r="E10" s="83" t="n">
        <v>2239</v>
      </c>
      <c r="H10" s="83">
        <f>F10-G10</f>
        <v/>
      </c>
    </row>
    <row r="11" ht="12.8" customHeight="1" s="82">
      <c r="A11" s="83" t="inlineStr">
        <is>
          <t>Animal production, except cattle and poultry and eggs</t>
        </is>
      </c>
      <c r="B11" s="83" t="inlineStr">
        <is>
          <t>112A00</t>
        </is>
      </c>
      <c r="C11" s="83" t="n">
        <v>2761</v>
      </c>
      <c r="D11" s="83" t="n">
        <v>985</v>
      </c>
      <c r="E11" s="83" t="n">
        <v>19081</v>
      </c>
      <c r="H11" s="83">
        <f>F11-G11</f>
        <v/>
      </c>
    </row>
    <row r="12" ht="12.8" customHeight="1" s="82">
      <c r="A12" s="83" t="inlineStr">
        <is>
          <t>Forestry and logging</t>
        </is>
      </c>
      <c r="B12" s="83" t="inlineStr">
        <is>
          <t>113000</t>
        </is>
      </c>
      <c r="C12" s="83" t="n">
        <v>8288</v>
      </c>
      <c r="D12" s="83" t="n">
        <v>424</v>
      </c>
      <c r="E12" s="83" t="n">
        <v>1916</v>
      </c>
      <c r="F12" s="83" t="n">
        <v>37</v>
      </c>
      <c r="H12" s="83">
        <f>F12-G12</f>
        <v/>
      </c>
    </row>
    <row r="13" ht="12.8" customHeight="1" s="82">
      <c r="A13" s="83" t="inlineStr">
        <is>
          <t>Fishing, hunting and trapping</t>
        </is>
      </c>
      <c r="B13" s="83" t="inlineStr">
        <is>
          <t>114000</t>
        </is>
      </c>
      <c r="C13" s="83" t="n">
        <v>895</v>
      </c>
      <c r="D13" s="83" t="n">
        <v>198</v>
      </c>
      <c r="E13" s="83" t="n">
        <v>5344</v>
      </c>
      <c r="F13" s="83" t="n">
        <v>449</v>
      </c>
      <c r="H13" s="83">
        <f>F13-G13</f>
        <v/>
      </c>
    </row>
    <row r="14" ht="12.8" customHeight="1" s="82">
      <c r="A14" s="83" t="inlineStr">
        <is>
          <t>Support activities for agriculture and forestry</t>
        </is>
      </c>
      <c r="B14" s="83" t="inlineStr">
        <is>
          <t>115000</t>
        </is>
      </c>
      <c r="C14" s="83" t="n">
        <v>16148</v>
      </c>
      <c r="D14" s="83" t="n">
        <v>561</v>
      </c>
      <c r="E14" s="83" t="n">
        <v>3848</v>
      </c>
      <c r="H14" s="83">
        <f>F14-G14</f>
        <v/>
      </c>
    </row>
    <row r="15" ht="12.8" customHeight="1" s="82">
      <c r="A15" s="83" t="inlineStr">
        <is>
          <t>Oil and gas extraction</t>
        </is>
      </c>
      <c r="B15" s="83" t="inlineStr">
        <is>
          <t>211000</t>
        </is>
      </c>
      <c r="C15" s="83" t="n">
        <v>29293</v>
      </c>
      <c r="D15" s="83" t="n">
        <v>23283</v>
      </c>
      <c r="E15" s="83" t="n">
        <v>100192</v>
      </c>
      <c r="F15" s="83" t="n">
        <v>8342</v>
      </c>
      <c r="H15" s="83">
        <f>F15-G15</f>
        <v/>
      </c>
    </row>
    <row r="16" ht="12.8" customHeight="1" s="82">
      <c r="A16" s="83" t="inlineStr">
        <is>
          <t>Coal mining</t>
        </is>
      </c>
      <c r="B16" s="83" t="inlineStr">
        <is>
          <t>212100</t>
        </is>
      </c>
      <c r="C16" s="83" t="n">
        <v>5561</v>
      </c>
      <c r="D16" s="83" t="n">
        <v>1044</v>
      </c>
      <c r="E16" s="83" t="n">
        <v>11518</v>
      </c>
      <c r="F16" s="83" t="n">
        <v>1094</v>
      </c>
      <c r="H16" s="83">
        <f>F16-G16</f>
        <v/>
      </c>
    </row>
    <row r="17" ht="12.8" customHeight="1" s="82">
      <c r="A17" s="83" t="inlineStr">
        <is>
          <t>Copper, nickel, lead, and zinc mining</t>
        </is>
      </c>
      <c r="B17" s="83" t="inlineStr">
        <is>
          <t>212230</t>
        </is>
      </c>
      <c r="C17" s="83" t="n">
        <v>1562</v>
      </c>
      <c r="D17" s="83" t="n">
        <v>381</v>
      </c>
      <c r="E17" s="83" t="n">
        <v>4873</v>
      </c>
      <c r="F17" s="83" t="n">
        <v>258</v>
      </c>
      <c r="H17" s="83">
        <f>F17-G17</f>
        <v/>
      </c>
    </row>
    <row r="18" ht="12.8" customHeight="1" s="82">
      <c r="A18" s="83" t="inlineStr">
        <is>
          <t>Iron, gold, silver, and other metal ore mining</t>
        </is>
      </c>
      <c r="B18" s="83" t="inlineStr">
        <is>
          <t>2122A0</t>
        </is>
      </c>
      <c r="C18" s="83" t="n">
        <v>2866</v>
      </c>
      <c r="D18" s="83" t="n">
        <v>411</v>
      </c>
      <c r="E18" s="83" t="n">
        <v>3212</v>
      </c>
      <c r="F18" s="83" t="n">
        <v>316</v>
      </c>
      <c r="H18" s="83">
        <f>F18-G18</f>
        <v/>
      </c>
    </row>
    <row r="19" ht="12.8" customHeight="1" s="82">
      <c r="A19" s="83" t="inlineStr">
        <is>
          <t>Stone mining and quarrying</t>
        </is>
      </c>
      <c r="B19" s="83" t="inlineStr">
        <is>
          <t>212310</t>
        </is>
      </c>
      <c r="C19" s="83" t="n">
        <v>3221</v>
      </c>
      <c r="D19" s="83" t="n">
        <v>447</v>
      </c>
      <c r="E19" s="83" t="n">
        <v>5303</v>
      </c>
      <c r="F19" s="83" t="n">
        <v>289</v>
      </c>
      <c r="H19" s="83">
        <f>F19-G19</f>
        <v/>
      </c>
    </row>
    <row r="20" ht="12.8" customHeight="1" s="82">
      <c r="A20" s="83" t="inlineStr">
        <is>
          <t>Other nonmetallic mineral mining and quarrying</t>
        </is>
      </c>
      <c r="B20" s="83" t="inlineStr">
        <is>
          <t>2123A0</t>
        </is>
      </c>
      <c r="C20" s="83" t="n">
        <v>4414</v>
      </c>
      <c r="D20" s="83" t="n">
        <v>500</v>
      </c>
      <c r="E20" s="83" t="n">
        <v>4575</v>
      </c>
      <c r="F20" s="83" t="n">
        <v>423</v>
      </c>
      <c r="H20" s="83">
        <f>F20-G20</f>
        <v/>
      </c>
    </row>
    <row r="21" ht="12.8" customHeight="1" s="82">
      <c r="A21" s="83" t="inlineStr">
        <is>
          <t>Drilling oil and gas wells</t>
        </is>
      </c>
      <c r="B21" s="83" t="inlineStr">
        <is>
          <t>213111</t>
        </is>
      </c>
      <c r="C21" s="83" t="n">
        <v>6659</v>
      </c>
      <c r="D21" s="83" t="n">
        <v>538</v>
      </c>
      <c r="E21" s="83" t="n">
        <v>5888</v>
      </c>
      <c r="F21" s="83" t="n">
        <v>48</v>
      </c>
      <c r="H21" s="83">
        <f>F21-G21</f>
        <v/>
      </c>
    </row>
    <row r="22" ht="12.8" customHeight="1" s="82">
      <c r="A22" s="83" t="inlineStr">
        <is>
          <t>Other support activities for mining</t>
        </is>
      </c>
      <c r="B22" s="83" t="inlineStr">
        <is>
          <t>21311A</t>
        </is>
      </c>
      <c r="C22" s="83" t="n">
        <v>23306</v>
      </c>
      <c r="D22" s="83" t="n">
        <v>1488</v>
      </c>
      <c r="E22" s="83" t="n">
        <v>15832</v>
      </c>
      <c r="F22" s="83" t="n">
        <v>166</v>
      </c>
      <c r="H22" s="83">
        <f>F22-G22</f>
        <v/>
      </c>
    </row>
    <row r="23" ht="12.8" customHeight="1" s="82">
      <c r="A23" s="83" t="inlineStr">
        <is>
          <t>Electric power generation, transmission, and distribution</t>
        </is>
      </c>
      <c r="B23" s="83" t="inlineStr">
        <is>
          <t>221100</t>
        </is>
      </c>
      <c r="C23" s="83" t="n">
        <v>60608</v>
      </c>
      <c r="D23" s="83" t="n">
        <v>26174</v>
      </c>
      <c r="E23" s="83" t="n">
        <v>148096</v>
      </c>
      <c r="F23" s="83" t="n">
        <v>23580</v>
      </c>
      <c r="G23" s="83" t="n">
        <v>0</v>
      </c>
      <c r="H23" s="83">
        <f>F23-G23</f>
        <v/>
      </c>
    </row>
    <row r="24" ht="12.8" customHeight="1" s="82">
      <c r="A24" s="83" t="inlineStr">
        <is>
          <t>Natural gas distribution</t>
        </is>
      </c>
      <c r="B24" s="83" t="inlineStr">
        <is>
          <t>221200</t>
        </is>
      </c>
      <c r="C24" s="83" t="n">
        <v>16820</v>
      </c>
      <c r="D24" s="83" t="n">
        <v>5232</v>
      </c>
      <c r="E24" s="83" t="n">
        <v>18036</v>
      </c>
      <c r="F24" s="83" t="n">
        <v>5427</v>
      </c>
      <c r="H24" s="83">
        <f>F24-G24</f>
        <v/>
      </c>
    </row>
    <row r="25" ht="12.8" customHeight="1" s="82">
      <c r="A25" s="83" t="inlineStr">
        <is>
          <t>Water, sewage and other systems</t>
        </is>
      </c>
      <c r="B25" s="83" t="inlineStr">
        <is>
          <t>221300</t>
        </is>
      </c>
      <c r="C25" s="83" t="n">
        <v>4150</v>
      </c>
      <c r="D25" s="83" t="n">
        <v>1033</v>
      </c>
      <c r="E25" s="83" t="n">
        <v>4230</v>
      </c>
      <c r="F25" s="83" t="n">
        <v>325</v>
      </c>
      <c r="H25" s="83">
        <f>F25-G25</f>
        <v/>
      </c>
    </row>
    <row r="26" ht="12.8" customHeight="1" s="82">
      <c r="A26" s="83" t="inlineStr">
        <is>
          <t>NAICS 236115 construction</t>
        </is>
      </c>
      <c r="B26" s="83" t="inlineStr">
        <is>
          <t>236115</t>
        </is>
      </c>
      <c r="C26" s="83" t="n">
        <v>25893.86</v>
      </c>
      <c r="D26" s="83" t="n">
        <v>379.391</v>
      </c>
      <c r="E26" s="83" t="n">
        <v>11860.874</v>
      </c>
      <c r="F26" s="83" t="n">
        <v>27.23</v>
      </c>
    </row>
    <row r="27" ht="12.8" customHeight="1" s="82">
      <c r="A27" s="83" t="inlineStr">
        <is>
          <t>NAICS 236116 construction</t>
        </is>
      </c>
      <c r="B27" s="83" t="inlineStr">
        <is>
          <t>236116</t>
        </is>
      </c>
      <c r="C27" s="83" t="n">
        <v>3624.327</v>
      </c>
      <c r="D27" s="83" t="n">
        <v>73.85599999999999</v>
      </c>
      <c r="E27" s="83" t="n">
        <v>2092.332</v>
      </c>
      <c r="F27" s="83" t="n">
        <v>1.329</v>
      </c>
    </row>
    <row r="28" ht="12.8" customHeight="1" s="82">
      <c r="A28" s="83" t="inlineStr">
        <is>
          <t>NAICS 236117 construction</t>
        </is>
      </c>
      <c r="B28" s="83" t="inlineStr">
        <is>
          <t>236117</t>
        </is>
      </c>
      <c r="C28" s="83" t="n">
        <v>6358.356</v>
      </c>
      <c r="D28" s="83" t="n">
        <v>89.376</v>
      </c>
      <c r="E28" s="83" t="n">
        <v>2723.629</v>
      </c>
      <c r="F28" s="83" t="n">
        <v>0.326</v>
      </c>
    </row>
    <row r="29" ht="12.8" customHeight="1" s="82">
      <c r="A29" s="83" t="inlineStr">
        <is>
          <t>NAICS 236118 construction</t>
        </is>
      </c>
      <c r="B29" s="83" t="inlineStr">
        <is>
          <t>236118</t>
        </is>
      </c>
      <c r="C29" s="83" t="n">
        <v>21713.747</v>
      </c>
      <c r="D29" s="83" t="n">
        <v>528.005</v>
      </c>
      <c r="E29" s="83" t="n">
        <v>19212.895</v>
      </c>
      <c r="F29" s="83" t="n">
        <v>318.79</v>
      </c>
    </row>
    <row r="30" ht="12.8" customHeight="1" s="82">
      <c r="A30" s="83" t="inlineStr">
        <is>
          <t>NAICS 236210 construction</t>
        </is>
      </c>
      <c r="B30" s="83" t="inlineStr">
        <is>
          <t>236210</t>
        </is>
      </c>
      <c r="C30" s="83" t="n">
        <v>7792.052</v>
      </c>
      <c r="D30" s="83" t="n">
        <v>103.951</v>
      </c>
      <c r="E30" s="83" t="n">
        <v>4308.132</v>
      </c>
      <c r="F30" s="83" t="n">
        <v>12.329</v>
      </c>
    </row>
    <row r="31" ht="12.8" customHeight="1" s="82">
      <c r="A31" s="83" t="inlineStr">
        <is>
          <t>NAICS 236220 construction</t>
        </is>
      </c>
      <c r="B31" s="83" t="inlineStr">
        <is>
          <t>236220</t>
        </is>
      </c>
      <c r="C31" s="83" t="n">
        <v>60150.271</v>
      </c>
      <c r="D31" s="83" t="n">
        <v>789.6849999999999</v>
      </c>
      <c r="E31" s="83" t="n">
        <v>31246.926</v>
      </c>
      <c r="F31" s="83" t="n">
        <v>42</v>
      </c>
    </row>
    <row r="32" ht="12.8" customHeight="1" s="82">
      <c r="A32" s="83" t="inlineStr">
        <is>
          <t>NAICS 237110 construction</t>
        </is>
      </c>
      <c r="B32" s="83" t="inlineStr">
        <is>
          <t>237110</t>
        </is>
      </c>
      <c r="C32" s="83" t="n">
        <v>13751.046</v>
      </c>
      <c r="D32" s="83" t="n">
        <v>208.901</v>
      </c>
      <c r="E32" s="83" t="n">
        <v>7813.661</v>
      </c>
      <c r="F32" s="83" t="n">
        <v>34.406</v>
      </c>
    </row>
    <row r="33" ht="12.8" customHeight="1" s="82">
      <c r="A33" s="83" t="inlineStr">
        <is>
          <t>NAICS 237120 construction</t>
        </is>
      </c>
      <c r="B33" s="83" t="inlineStr">
        <is>
          <t>237120</t>
        </is>
      </c>
      <c r="C33" s="83" t="n">
        <v>11252.988</v>
      </c>
      <c r="D33" s="83" t="n">
        <v>171.656</v>
      </c>
      <c r="E33" s="83" t="n">
        <v>8197.931</v>
      </c>
      <c r="F33" s="83" t="n">
        <v>19.399</v>
      </c>
    </row>
    <row r="34" ht="12.8" customHeight="1" s="82">
      <c r="A34" s="83" t="inlineStr">
        <is>
          <t>NAICS 237130 construction</t>
        </is>
      </c>
      <c r="B34" s="83" t="inlineStr">
        <is>
          <t>237130</t>
        </is>
      </c>
      <c r="C34" s="83" t="n">
        <v>19947.246</v>
      </c>
      <c r="D34" s="83" t="n">
        <v>306.308</v>
      </c>
      <c r="E34" s="83" t="n">
        <v>15022.303</v>
      </c>
      <c r="F34" s="83" t="n">
        <v>23.292</v>
      </c>
    </row>
    <row r="35" ht="12.8" customHeight="1" s="82">
      <c r="A35" s="83" t="inlineStr">
        <is>
          <t>NAICS 237210 construction</t>
        </is>
      </c>
      <c r="B35" s="83" t="inlineStr">
        <is>
          <t>237210</t>
        </is>
      </c>
      <c r="C35" s="83" t="n">
        <v>3493.265</v>
      </c>
      <c r="D35" s="83" t="n">
        <v>54.292</v>
      </c>
      <c r="E35" s="83" t="n">
        <v>1716.799</v>
      </c>
      <c r="F35" s="83" t="n">
        <v>4.961</v>
      </c>
    </row>
    <row r="36" ht="12.8" customHeight="1" s="82">
      <c r="A36" s="83" t="inlineStr">
        <is>
          <t>NAICS 237310 construction</t>
        </is>
      </c>
      <c r="B36" s="83" t="inlineStr">
        <is>
          <t>237310</t>
        </is>
      </c>
      <c r="C36" s="83" t="n">
        <v>29702.524</v>
      </c>
      <c r="D36" s="83" t="n">
        <v>479.181</v>
      </c>
      <c r="E36" s="83" t="n">
        <v>17958.815</v>
      </c>
      <c r="F36" s="83" t="n">
        <v>56.957</v>
      </c>
    </row>
    <row r="37" ht="12.8" customHeight="1" s="82">
      <c r="A37" s="83" t="inlineStr">
        <is>
          <t>NAICS 237990 construction</t>
        </is>
      </c>
      <c r="B37" s="83" t="inlineStr">
        <is>
          <t>237990</t>
        </is>
      </c>
      <c r="C37" s="83" t="n">
        <v>11136.409</v>
      </c>
      <c r="D37" s="83" t="n">
        <v>178.129</v>
      </c>
      <c r="E37" s="83" t="n">
        <v>6783.95</v>
      </c>
      <c r="F37" s="83" t="n">
        <v>26.839</v>
      </c>
    </row>
    <row r="38" ht="12.8" customHeight="1" s="82">
      <c r="A38" s="83" t="inlineStr">
        <is>
          <t>NAICS 238110 construction</t>
        </is>
      </c>
      <c r="B38" s="83" t="inlineStr">
        <is>
          <t>238110</t>
        </is>
      </c>
      <c r="C38" s="83" t="n">
        <v>14028.62</v>
      </c>
      <c r="D38" s="83" t="n">
        <v>214.131</v>
      </c>
      <c r="E38" s="83" t="n">
        <v>7406.431</v>
      </c>
      <c r="F38" s="83" t="n">
        <v>20.94</v>
      </c>
    </row>
    <row r="39" ht="12.8" customHeight="1" s="82">
      <c r="A39" s="83" t="inlineStr">
        <is>
          <t>NAICS 238120 construction</t>
        </is>
      </c>
      <c r="B39" s="83" t="inlineStr">
        <is>
          <t>238120</t>
        </is>
      </c>
      <c r="C39" s="83" t="n">
        <v>5138.074</v>
      </c>
      <c r="D39" s="83" t="n">
        <v>71.833</v>
      </c>
      <c r="E39" s="83" t="n">
        <v>2745.049</v>
      </c>
      <c r="F39" s="83" t="n">
        <v>5.184</v>
      </c>
    </row>
    <row r="40" ht="12.8" customHeight="1" s="82">
      <c r="A40" s="83" t="inlineStr">
        <is>
          <t>NAICS 238130 construction</t>
        </is>
      </c>
      <c r="B40" s="83" t="inlineStr">
        <is>
          <t>238130</t>
        </is>
      </c>
      <c r="C40" s="83" t="n">
        <v>4056.72</v>
      </c>
      <c r="D40" s="83" t="n">
        <v>65.812</v>
      </c>
      <c r="E40" s="83" t="n">
        <v>2120.66</v>
      </c>
      <c r="F40" s="83" t="n">
        <v>6.892</v>
      </c>
    </row>
    <row r="41" ht="12.8" customHeight="1" s="82">
      <c r="A41" s="83" t="inlineStr">
        <is>
          <t>NAICS 238140 construction</t>
        </is>
      </c>
      <c r="B41" s="83" t="inlineStr">
        <is>
          <t>238140</t>
        </is>
      </c>
      <c r="C41" s="83" t="n">
        <v>7190.488</v>
      </c>
      <c r="D41" s="83" t="n">
        <v>117.744</v>
      </c>
      <c r="E41" s="83" t="n">
        <v>4226.46</v>
      </c>
      <c r="F41" s="83" t="n">
        <v>32.346</v>
      </c>
    </row>
    <row r="42" ht="12.8" customHeight="1" s="82">
      <c r="A42" s="83" t="inlineStr">
        <is>
          <t>NAICS 238150 construction</t>
        </is>
      </c>
      <c r="B42" s="83" t="inlineStr">
        <is>
          <t>238150</t>
        </is>
      </c>
      <c r="C42" s="83" t="n">
        <v>4477.632</v>
      </c>
      <c r="D42" s="83" t="n">
        <v>71.098</v>
      </c>
      <c r="E42" s="83" t="n">
        <v>2625.682</v>
      </c>
      <c r="F42" s="83" t="n">
        <v>17.381</v>
      </c>
    </row>
    <row r="43" ht="12.8" customHeight="1" s="82">
      <c r="A43" s="83" t="inlineStr">
        <is>
          <t>NAICS 238160 construction</t>
        </is>
      </c>
      <c r="B43" s="83" t="inlineStr">
        <is>
          <t>238160</t>
        </is>
      </c>
      <c r="C43" s="83" t="n">
        <v>14411.525</v>
      </c>
      <c r="D43" s="83" t="n">
        <v>250.807</v>
      </c>
      <c r="E43" s="83" t="n">
        <v>9227.137000000001</v>
      </c>
      <c r="F43" s="83" t="n">
        <v>106.682</v>
      </c>
    </row>
    <row r="44" ht="12.8" customHeight="1" s="82">
      <c r="A44" s="83" t="inlineStr">
        <is>
          <t>NAICS 238170 construction</t>
        </is>
      </c>
      <c r="B44" s="83" t="inlineStr">
        <is>
          <t>238170</t>
        </is>
      </c>
      <c r="C44" s="83" t="n">
        <v>2144.274</v>
      </c>
      <c r="D44" s="83" t="n">
        <v>38.363</v>
      </c>
      <c r="E44" s="83" t="n">
        <v>1310.548</v>
      </c>
      <c r="F44" s="83" t="n">
        <v>12.363</v>
      </c>
    </row>
    <row r="45" ht="12.8" customHeight="1" s="82">
      <c r="A45" s="83" t="inlineStr">
        <is>
          <t>NAICS 238190 construction</t>
        </is>
      </c>
      <c r="B45" s="83" t="inlineStr">
        <is>
          <t>238190</t>
        </is>
      </c>
      <c r="C45" s="83" t="n">
        <v>2814.574</v>
      </c>
      <c r="D45" s="83" t="n">
        <v>44.962</v>
      </c>
      <c r="E45" s="83" t="n">
        <v>1705.196</v>
      </c>
      <c r="F45" s="83" t="n">
        <v>10.904</v>
      </c>
    </row>
    <row r="46" ht="12.8" customHeight="1" s="82">
      <c r="A46" s="83" t="inlineStr">
        <is>
          <t>NAICS 238210 construction</t>
        </is>
      </c>
      <c r="B46" s="83" t="inlineStr">
        <is>
          <t>238210</t>
        </is>
      </c>
      <c r="C46" s="83" t="n">
        <v>70786.16</v>
      </c>
      <c r="D46" s="83" t="n">
        <v>1104.524</v>
      </c>
      <c r="E46" s="83" t="n">
        <v>41744.092</v>
      </c>
      <c r="F46" s="83" t="n">
        <v>245.218</v>
      </c>
    </row>
    <row r="47" ht="12.8" customHeight="1" s="82">
      <c r="A47" s="83" t="inlineStr">
        <is>
          <t>NAICS 238220 construction</t>
        </is>
      </c>
      <c r="B47" s="83" t="inlineStr">
        <is>
          <t>238220</t>
        </is>
      </c>
      <c r="C47" s="83" t="n">
        <v>79700.338</v>
      </c>
      <c r="D47" s="83" t="n">
        <v>1271.151</v>
      </c>
      <c r="E47" s="83" t="n">
        <v>46948.731</v>
      </c>
      <c r="F47" s="83" t="n">
        <v>410.064</v>
      </c>
    </row>
    <row r="48" ht="12.8" customHeight="1" s="82">
      <c r="A48" s="83" t="inlineStr">
        <is>
          <t>NAICS 238290 construction</t>
        </is>
      </c>
      <c r="B48" s="83" t="inlineStr">
        <is>
          <t>238290</t>
        </is>
      </c>
      <c r="C48" s="83" t="n">
        <v>11370.674</v>
      </c>
      <c r="D48" s="83" t="n">
        <v>169.77</v>
      </c>
      <c r="E48" s="83" t="n">
        <v>6675.4</v>
      </c>
      <c r="F48" s="83" t="n">
        <v>54.557</v>
      </c>
    </row>
    <row r="49" ht="12.8" customHeight="1" s="82">
      <c r="A49" s="83" t="inlineStr">
        <is>
          <t>NAICS 238310 construction</t>
        </is>
      </c>
      <c r="B49" s="83" t="inlineStr">
        <is>
          <t>238310</t>
        </is>
      </c>
      <c r="C49" s="83" t="n">
        <v>14623.307</v>
      </c>
      <c r="D49" s="83" t="n">
        <v>226.813</v>
      </c>
      <c r="E49" s="83" t="n">
        <v>7891.723</v>
      </c>
      <c r="F49" s="83" t="n">
        <v>36.301</v>
      </c>
    </row>
    <row r="50" ht="12.8" customHeight="1" s="82">
      <c r="A50" s="83" t="inlineStr">
        <is>
          <t>NAICS 238320 construction</t>
        </is>
      </c>
      <c r="B50" s="83" t="inlineStr">
        <is>
          <t>238320</t>
        </is>
      </c>
      <c r="C50" s="83" t="n">
        <v>9633.579</v>
      </c>
      <c r="D50" s="83" t="n">
        <v>163.475</v>
      </c>
      <c r="E50" s="83" t="n">
        <v>5980.831</v>
      </c>
      <c r="F50" s="83" t="n">
        <v>63.649</v>
      </c>
    </row>
    <row r="51" ht="12.8" customHeight="1" s="82">
      <c r="A51" s="83" t="inlineStr">
        <is>
          <t>NAICS 238330 construction</t>
        </is>
      </c>
      <c r="B51" s="83" t="inlineStr">
        <is>
          <t>238330</t>
        </is>
      </c>
      <c r="C51" s="83" t="n">
        <v>4283.792</v>
      </c>
      <c r="D51" s="83" t="n">
        <v>77.212</v>
      </c>
      <c r="E51" s="83" t="n">
        <v>2757.689</v>
      </c>
      <c r="F51" s="83" t="n">
        <v>27.576</v>
      </c>
    </row>
    <row r="52" ht="12.8" customHeight="1" s="82">
      <c r="A52" s="83" t="inlineStr">
        <is>
          <t>NAICS 238340 construction</t>
        </is>
      </c>
      <c r="B52" s="83" t="inlineStr">
        <is>
          <t>238340</t>
        </is>
      </c>
      <c r="C52" s="83" t="n">
        <v>2654.755</v>
      </c>
      <c r="D52" s="83" t="n">
        <v>48.322</v>
      </c>
      <c r="E52" s="83" t="n">
        <v>1680.725</v>
      </c>
      <c r="F52" s="83" t="n">
        <v>15.74</v>
      </c>
    </row>
    <row r="53" ht="12.8" customHeight="1" s="82">
      <c r="A53" s="83" t="inlineStr">
        <is>
          <t>NAICS 238350 construction</t>
        </is>
      </c>
      <c r="B53" s="83" t="inlineStr">
        <is>
          <t>238350</t>
        </is>
      </c>
      <c r="C53" s="83" t="n">
        <v>8272.263999999999</v>
      </c>
      <c r="D53" s="83" t="n">
        <v>160.667</v>
      </c>
      <c r="E53" s="83" t="n">
        <v>5686.34</v>
      </c>
      <c r="F53" s="83" t="n">
        <v>65.758</v>
      </c>
    </row>
    <row r="54" ht="12.8" customHeight="1" s="82">
      <c r="A54" s="83" t="inlineStr">
        <is>
          <t>NAICS 238390 construction</t>
        </is>
      </c>
      <c r="B54" s="83" t="inlineStr">
        <is>
          <t>238390</t>
        </is>
      </c>
      <c r="C54" s="83" t="n">
        <v>4836.767</v>
      </c>
      <c r="D54" s="83" t="n">
        <v>78.11199999999999</v>
      </c>
      <c r="E54" s="83" t="n">
        <v>2883.841</v>
      </c>
      <c r="F54" s="83" t="n">
        <v>25.351</v>
      </c>
    </row>
    <row r="55" ht="12.8" customHeight="1" s="82">
      <c r="A55" s="83" t="inlineStr">
        <is>
          <t>NAICS 238910 construction</t>
        </is>
      </c>
      <c r="B55" s="83" t="inlineStr">
        <is>
          <t>238910</t>
        </is>
      </c>
      <c r="C55" s="83" t="n">
        <v>23717.5</v>
      </c>
      <c r="D55" s="83" t="n">
        <v>364.666</v>
      </c>
      <c r="E55" s="83" t="n">
        <v>13717.935</v>
      </c>
      <c r="F55" s="83" t="n">
        <v>44.531</v>
      </c>
    </row>
    <row r="56" ht="12.8" customHeight="1" s="82">
      <c r="A56" s="83" t="inlineStr">
        <is>
          <t>NAICS 238990 construction</t>
        </is>
      </c>
      <c r="B56" s="83" t="inlineStr">
        <is>
          <t>238990</t>
        </is>
      </c>
      <c r="C56" s="83" t="n">
        <v>21465.865</v>
      </c>
      <c r="D56" s="83" t="n">
        <v>356.809</v>
      </c>
      <c r="E56" s="83" t="n">
        <v>13409.282</v>
      </c>
      <c r="F56" s="83" t="n">
        <v>87.70399999999999</v>
      </c>
    </row>
    <row r="57" ht="12.8" customHeight="1" s="82">
      <c r="A57" s="83" t="inlineStr">
        <is>
          <t>Dog and cat food manufacturing</t>
        </is>
      </c>
      <c r="B57" s="83" t="inlineStr">
        <is>
          <t>311111</t>
        </is>
      </c>
      <c r="C57" s="83" t="n">
        <v>2252</v>
      </c>
      <c r="D57" s="83" t="n">
        <v>176</v>
      </c>
      <c r="E57" s="83" t="n">
        <v>3862</v>
      </c>
      <c r="F57" s="83" t="n">
        <v>41</v>
      </c>
      <c r="H57" s="83">
        <f>F38-G38</f>
        <v/>
      </c>
    </row>
    <row r="58" ht="12.8" customHeight="1" s="82">
      <c r="A58" s="83" t="inlineStr">
        <is>
          <t>Other animal food manufacturing</t>
        </is>
      </c>
      <c r="B58" s="83" t="inlineStr">
        <is>
          <t>311119</t>
        </is>
      </c>
      <c r="C58" s="83" t="n">
        <v>2497</v>
      </c>
      <c r="D58" s="83" t="n">
        <v>214</v>
      </c>
      <c r="E58" s="83" t="n">
        <v>1890</v>
      </c>
      <c r="F58" s="83" t="n">
        <v>167</v>
      </c>
      <c r="H58" s="83">
        <f>F39-G39</f>
        <v/>
      </c>
    </row>
    <row r="59" ht="12.8" customHeight="1" s="82">
      <c r="A59" s="83" t="inlineStr">
        <is>
          <t>Flour milling and malt manufacturing</t>
        </is>
      </c>
      <c r="B59" s="83" t="inlineStr">
        <is>
          <t>311210</t>
        </is>
      </c>
      <c r="C59" s="83" t="n">
        <v>1576</v>
      </c>
      <c r="D59" s="83" t="n">
        <v>114</v>
      </c>
      <c r="E59" s="83" t="n">
        <v>1779</v>
      </c>
      <c r="F59" s="83" t="n">
        <v>36</v>
      </c>
      <c r="H59" s="83">
        <f>F40-G40</f>
        <v/>
      </c>
    </row>
    <row r="60" ht="12.8" customHeight="1" s="82">
      <c r="A60" s="83" t="inlineStr">
        <is>
          <t>Wet corn milling</t>
        </is>
      </c>
      <c r="B60" s="83" t="inlineStr">
        <is>
          <t>311221</t>
        </is>
      </c>
      <c r="C60" s="83" t="n">
        <v>1565</v>
      </c>
      <c r="D60" s="83" t="n">
        <v>67</v>
      </c>
      <c r="E60" s="83" t="n">
        <v>602</v>
      </c>
      <c r="F60" s="83" t="n">
        <v>10</v>
      </c>
      <c r="H60" s="83">
        <f>F41-G41</f>
        <v/>
      </c>
    </row>
    <row r="61" ht="12.8" customHeight="1" s="82">
      <c r="A61" s="83" t="inlineStr">
        <is>
          <t>Soybean and other oilseed processing</t>
        </is>
      </c>
      <c r="B61" s="83" t="inlineStr">
        <is>
          <t>311224</t>
        </is>
      </c>
      <c r="C61" s="83" t="n">
        <v>716</v>
      </c>
      <c r="D61" s="83" t="n">
        <v>239</v>
      </c>
      <c r="E61" s="83" t="n">
        <v>2402</v>
      </c>
      <c r="F61" s="83" t="n">
        <v>526</v>
      </c>
      <c r="H61" s="83">
        <f>F42-G42</f>
        <v/>
      </c>
    </row>
    <row r="62" ht="12.8" customHeight="1" s="82">
      <c r="A62" s="83" t="inlineStr">
        <is>
          <t>Fats and oils refining and blending</t>
        </is>
      </c>
      <c r="B62" s="83" t="inlineStr">
        <is>
          <t>311225</t>
        </is>
      </c>
      <c r="C62" s="83" t="n">
        <v>538</v>
      </c>
      <c r="D62" s="83" t="n">
        <v>67</v>
      </c>
      <c r="E62" s="83" t="n">
        <v>803</v>
      </c>
      <c r="F62" s="83" t="n">
        <v>23</v>
      </c>
      <c r="H62" s="83">
        <f>F43-G43</f>
        <v/>
      </c>
    </row>
    <row r="63" ht="12.8" customHeight="1" s="82">
      <c r="A63" s="83" t="inlineStr">
        <is>
          <t>Breakfast cereal manufacturing</t>
        </is>
      </c>
      <c r="B63" s="83" t="inlineStr">
        <is>
          <t>311230</t>
        </is>
      </c>
      <c r="C63" s="83" t="n">
        <v>1262</v>
      </c>
      <c r="D63" s="83" t="n">
        <v>72</v>
      </c>
      <c r="E63" s="83" t="n">
        <v>1657</v>
      </c>
      <c r="F63" s="83" t="n">
        <v>2</v>
      </c>
      <c r="H63" s="83">
        <f>F44-G44</f>
        <v/>
      </c>
    </row>
    <row r="64" ht="12.8" customHeight="1" s="82">
      <c r="A64" s="83" t="inlineStr">
        <is>
          <t>Sugar and confectionery product manufacturing</t>
        </is>
      </c>
      <c r="B64" s="83" t="inlineStr">
        <is>
          <t>311300</t>
        </is>
      </c>
      <c r="C64" s="83" t="n">
        <v>4924</v>
      </c>
      <c r="D64" s="83" t="n">
        <v>251</v>
      </c>
      <c r="E64" s="83" t="n">
        <v>4606</v>
      </c>
      <c r="F64" s="83" t="n">
        <v>49</v>
      </c>
      <c r="H64" s="83">
        <f>F45-G45</f>
        <v/>
      </c>
    </row>
    <row r="65" ht="12.8" customHeight="1" s="82">
      <c r="A65" s="83" t="inlineStr">
        <is>
          <t>Frozen food manufacturing</t>
        </is>
      </c>
      <c r="B65" s="83" t="inlineStr">
        <is>
          <t>311410</t>
        </is>
      </c>
      <c r="C65" s="83" t="n">
        <v>5260</v>
      </c>
      <c r="D65" s="83" t="n">
        <v>225</v>
      </c>
      <c r="E65" s="83" t="n">
        <v>3799</v>
      </c>
      <c r="F65" s="83" t="n">
        <v>3</v>
      </c>
      <c r="H65" s="83">
        <f>F46-G46</f>
        <v/>
      </c>
    </row>
    <row r="66" ht="12.8" customHeight="1" s="82">
      <c r="A66" s="83" t="inlineStr">
        <is>
          <t>Fruit and vegetable canning, pickling, and drying</t>
        </is>
      </c>
      <c r="B66" s="83" t="inlineStr">
        <is>
          <t>311420</t>
        </is>
      </c>
      <c r="C66" s="83" t="n">
        <v>4977</v>
      </c>
      <c r="D66" s="83" t="n">
        <v>247</v>
      </c>
      <c r="E66" s="83" t="n">
        <v>2779</v>
      </c>
      <c r="F66" s="83" t="n">
        <v>12</v>
      </c>
      <c r="H66" s="83">
        <f>F47-G47</f>
        <v/>
      </c>
    </row>
    <row r="67" ht="12.8" customHeight="1" s="82">
      <c r="A67" s="83" t="inlineStr">
        <is>
          <t>Cheese manufacturing</t>
        </is>
      </c>
      <c r="B67" s="83" t="inlineStr">
        <is>
          <t>311513</t>
        </is>
      </c>
      <c r="C67" s="83" t="n">
        <v>3433</v>
      </c>
      <c r="D67" s="83" t="n">
        <v>330</v>
      </c>
      <c r="E67" s="83" t="n">
        <v>4238</v>
      </c>
      <c r="F67" s="83" t="n">
        <v>94</v>
      </c>
      <c r="H67" s="83">
        <f>F48-G48</f>
        <v/>
      </c>
    </row>
    <row r="68" ht="12.8" customHeight="1" s="82">
      <c r="A68" s="83" t="inlineStr">
        <is>
          <t>Dry, condensed, and evaporated dairy product manufacturing</t>
        </is>
      </c>
      <c r="B68" s="83" t="inlineStr">
        <is>
          <t>311514</t>
        </is>
      </c>
      <c r="C68" s="83" t="n">
        <v>2428</v>
      </c>
      <c r="D68" s="83" t="n">
        <v>176</v>
      </c>
      <c r="E68" s="83" t="n">
        <v>4642</v>
      </c>
      <c r="F68" s="83" t="n">
        <v>7</v>
      </c>
      <c r="H68" s="83">
        <f>F49-G49</f>
        <v/>
      </c>
    </row>
    <row r="69" ht="12.8" customHeight="1" s="82">
      <c r="A69" s="83" t="inlineStr">
        <is>
          <t>Fluid milk and butter manufacturing</t>
        </is>
      </c>
      <c r="B69" s="83" t="inlineStr">
        <is>
          <t>31151A</t>
        </is>
      </c>
      <c r="C69" s="83" t="n">
        <v>4483</v>
      </c>
      <c r="D69" s="83" t="n">
        <v>303</v>
      </c>
      <c r="E69" s="83" t="n">
        <v>3688</v>
      </c>
      <c r="F69" s="83" t="n">
        <v>145</v>
      </c>
      <c r="H69" s="83">
        <f>F50-G50</f>
        <v/>
      </c>
    </row>
    <row r="70" ht="12.8" customHeight="1" s="82">
      <c r="A70" s="83" t="inlineStr">
        <is>
          <t>Ice cream and frozen dessert manufacturing</t>
        </is>
      </c>
      <c r="B70" s="83" t="inlineStr">
        <is>
          <t>311520</t>
        </is>
      </c>
      <c r="C70" s="83" t="n">
        <v>1312</v>
      </c>
      <c r="D70" s="83" t="n">
        <v>53</v>
      </c>
      <c r="E70" s="83" t="n">
        <v>609</v>
      </c>
      <c r="F70" s="83" t="n">
        <v>18</v>
      </c>
      <c r="H70" s="83">
        <f>F51-G51</f>
        <v/>
      </c>
    </row>
    <row r="71" ht="12.8" customHeight="1" s="82">
      <c r="A71" s="83" t="inlineStr">
        <is>
          <t>Poultry processing</t>
        </is>
      </c>
      <c r="B71" s="83" t="inlineStr">
        <is>
          <t>311615</t>
        </is>
      </c>
      <c r="C71" s="83" t="n">
        <v>9788</v>
      </c>
      <c r="D71" s="83" t="n">
        <v>483</v>
      </c>
      <c r="E71" s="83" t="n">
        <v>7504</v>
      </c>
      <c r="F71" s="83" t="n">
        <v>6</v>
      </c>
      <c r="H71" s="83">
        <f>F52-G52</f>
        <v/>
      </c>
    </row>
    <row r="72" ht="12.8" customHeight="1" s="82">
      <c r="A72" s="83" t="inlineStr">
        <is>
          <t>Animal (except poultry) slaughtering, rendering, and processing</t>
        </is>
      </c>
      <c r="B72" s="83" t="inlineStr">
        <is>
          <t>31161A</t>
        </is>
      </c>
      <c r="C72" s="83" t="n">
        <v>15290</v>
      </c>
      <c r="D72" s="83" t="n">
        <v>1002</v>
      </c>
      <c r="E72" s="83" t="n">
        <v>8436</v>
      </c>
      <c r="F72" s="83" t="n">
        <v>66</v>
      </c>
      <c r="H72" s="83">
        <f>F53-G53</f>
        <v/>
      </c>
    </row>
    <row r="73" ht="12.8" customHeight="1" s="82">
      <c r="A73" s="83" t="inlineStr">
        <is>
          <t>Seafood product preparation and packaging</t>
        </is>
      </c>
      <c r="B73" s="83" t="inlineStr">
        <is>
          <t>311700</t>
        </is>
      </c>
      <c r="C73" s="83" t="n">
        <v>2049</v>
      </c>
      <c r="D73" s="83" t="n">
        <v>86</v>
      </c>
      <c r="E73" s="83" t="n">
        <v>917</v>
      </c>
      <c r="F73" s="83" t="n">
        <v>19</v>
      </c>
      <c r="H73" s="83">
        <f>F54-G54</f>
        <v/>
      </c>
    </row>
    <row r="74" ht="12.8" customHeight="1" s="82">
      <c r="A74" s="83" t="inlineStr">
        <is>
          <t>Bread and bakery product manufacturing</t>
        </is>
      </c>
      <c r="B74" s="83" t="inlineStr">
        <is>
          <t>311810</t>
        </is>
      </c>
      <c r="C74" s="83" t="n">
        <v>10867</v>
      </c>
      <c r="D74" s="83" t="n">
        <v>326</v>
      </c>
      <c r="E74" s="83" t="n">
        <v>3742</v>
      </c>
      <c r="F74" s="83" t="n">
        <v>90</v>
      </c>
      <c r="H74" s="83">
        <f>F55-G55</f>
        <v/>
      </c>
    </row>
    <row r="75" ht="12.8" customHeight="1" s="82">
      <c r="A75" s="83" t="inlineStr">
        <is>
          <t>Cookie, cracker, pasta, and tortilla manufacturing</t>
        </is>
      </c>
      <c r="B75" s="83" t="inlineStr">
        <is>
          <t>3118A0</t>
        </is>
      </c>
      <c r="C75" s="83" t="n">
        <v>4624</v>
      </c>
      <c r="D75" s="83" t="n">
        <v>189</v>
      </c>
      <c r="E75" s="83" t="n">
        <v>3600</v>
      </c>
      <c r="F75" s="83" t="n">
        <v>192</v>
      </c>
      <c r="H75" s="83">
        <f>F56-G56</f>
        <v/>
      </c>
    </row>
    <row r="76" ht="12.8" customHeight="1" s="82">
      <c r="A76" s="83" t="inlineStr">
        <is>
          <t>Snack food manufacturing</t>
        </is>
      </c>
      <c r="B76" s="83" t="inlineStr">
        <is>
          <t>311910</t>
        </is>
      </c>
      <c r="C76" s="83" t="n">
        <v>3548</v>
      </c>
      <c r="D76" s="83" t="n">
        <v>298</v>
      </c>
      <c r="E76" s="83" t="n">
        <v>9025</v>
      </c>
      <c r="F76" s="83" t="n">
        <v>214</v>
      </c>
      <c r="H76" s="83">
        <f>F57-G57</f>
        <v/>
      </c>
    </row>
    <row r="77" ht="12.8" customHeight="1" s="82">
      <c r="A77" s="83" t="inlineStr">
        <is>
          <t>Coffee and tea manufacturing</t>
        </is>
      </c>
      <c r="B77" s="83" t="inlineStr">
        <is>
          <t>311920</t>
        </is>
      </c>
      <c r="C77" s="83" t="n">
        <v>1465</v>
      </c>
      <c r="D77" s="83" t="n">
        <v>88</v>
      </c>
      <c r="E77" s="83" t="n">
        <v>1793</v>
      </c>
      <c r="F77" s="83" t="n">
        <v>29</v>
      </c>
      <c r="H77" s="83">
        <f>F58-G58</f>
        <v/>
      </c>
    </row>
    <row r="78" ht="12.8" customHeight="1" s="82">
      <c r="A78" s="83" t="inlineStr">
        <is>
          <t>Flavoring syrup and concentrate manufacturing</t>
        </is>
      </c>
      <c r="B78" s="83" t="inlineStr">
        <is>
          <t>311930</t>
        </is>
      </c>
      <c r="C78" s="83" t="n">
        <v>2398</v>
      </c>
      <c r="D78" s="83" t="n">
        <v>83</v>
      </c>
      <c r="E78" s="83" t="n">
        <v>3401</v>
      </c>
      <c r="F78" s="83" t="n">
        <v>8</v>
      </c>
      <c r="H78" s="83">
        <f>F59-G59</f>
        <v/>
      </c>
    </row>
    <row r="79" ht="12.8" customHeight="1" s="82">
      <c r="A79" s="83" t="inlineStr">
        <is>
          <t>Seasoning and dressing manufacturing</t>
        </is>
      </c>
      <c r="B79" s="83" t="inlineStr">
        <is>
          <t>311940</t>
        </is>
      </c>
      <c r="C79" s="83" t="n">
        <v>3198</v>
      </c>
      <c r="D79" s="83" t="n">
        <v>155</v>
      </c>
      <c r="E79" s="83" t="n">
        <v>3400</v>
      </c>
      <c r="F79" s="83" t="n">
        <v>40</v>
      </c>
      <c r="H79" s="83">
        <f>F60-G60</f>
        <v/>
      </c>
    </row>
    <row r="80" ht="12.8" customHeight="1" s="82">
      <c r="A80" s="83" t="inlineStr">
        <is>
          <t>All other food manufacturing</t>
        </is>
      </c>
      <c r="B80" s="83" t="inlineStr">
        <is>
          <t>311990</t>
        </is>
      </c>
      <c r="C80" s="83" t="n">
        <v>4562</v>
      </c>
      <c r="D80" s="83" t="n">
        <v>209</v>
      </c>
      <c r="E80" s="83" t="n">
        <v>2254</v>
      </c>
      <c r="F80" s="83" t="n">
        <v>23</v>
      </c>
      <c r="H80" s="83">
        <f>F61-G61</f>
        <v/>
      </c>
    </row>
    <row r="81" ht="12.8" customHeight="1" s="82">
      <c r="A81" s="83" t="inlineStr">
        <is>
          <t>Soft drink and ice manufacturing</t>
        </is>
      </c>
      <c r="B81" s="83" t="inlineStr">
        <is>
          <t>312110</t>
        </is>
      </c>
      <c r="C81" s="83" t="n">
        <v>7570</v>
      </c>
      <c r="D81" s="83" t="n">
        <v>297</v>
      </c>
      <c r="E81" s="83" t="n">
        <v>5427</v>
      </c>
      <c r="F81" s="83" t="n">
        <v>174</v>
      </c>
      <c r="H81" s="83">
        <f>F62-G62</f>
        <v/>
      </c>
    </row>
    <row r="82" ht="12.8" customHeight="1" s="82">
      <c r="A82" s="83" t="inlineStr">
        <is>
          <t>Breweries</t>
        </is>
      </c>
      <c r="B82" s="83" t="inlineStr">
        <is>
          <t>312120</t>
        </is>
      </c>
      <c r="C82" s="83" t="n">
        <v>4290</v>
      </c>
      <c r="D82" s="83" t="n">
        <v>219</v>
      </c>
      <c r="E82" s="83" t="n">
        <v>7523</v>
      </c>
      <c r="F82" s="83" t="n">
        <v>2913</v>
      </c>
      <c r="H82" s="83">
        <f>F63-G63</f>
        <v/>
      </c>
    </row>
    <row r="83" ht="12.8" customHeight="1" s="82">
      <c r="A83" s="83" t="inlineStr">
        <is>
          <t>Wineries</t>
        </is>
      </c>
      <c r="B83" s="83" t="inlineStr">
        <is>
          <t>312130</t>
        </is>
      </c>
      <c r="C83" s="83" t="n">
        <v>3727</v>
      </c>
      <c r="D83" s="83" t="n">
        <v>158</v>
      </c>
      <c r="E83" s="83" t="n">
        <v>4507</v>
      </c>
      <c r="F83" s="83" t="n">
        <v>890</v>
      </c>
      <c r="H83" s="83">
        <f>F64-G64</f>
        <v/>
      </c>
    </row>
    <row r="84" ht="12.8" customHeight="1" s="82">
      <c r="A84" s="83" t="inlineStr">
        <is>
          <t>Distilleries</t>
        </is>
      </c>
      <c r="B84" s="83" t="inlineStr">
        <is>
          <t>312140</t>
        </is>
      </c>
      <c r="C84" s="83" t="n">
        <v>1208</v>
      </c>
      <c r="D84" s="83" t="n">
        <v>145</v>
      </c>
      <c r="E84" s="83" t="n">
        <v>3398</v>
      </c>
      <c r="F84" s="83" t="n">
        <v>4121</v>
      </c>
      <c r="H84" s="83">
        <f>F65-G65</f>
        <v/>
      </c>
    </row>
    <row r="85" ht="12.8" customHeight="1" s="82">
      <c r="A85" s="83" t="inlineStr">
        <is>
          <t>Tobacco manufacturing</t>
        </is>
      </c>
      <c r="B85" s="83" t="inlineStr">
        <is>
          <t>312200</t>
        </is>
      </c>
      <c r="C85" s="83" t="n">
        <v>1673</v>
      </c>
      <c r="D85" s="83" t="n">
        <v>512</v>
      </c>
      <c r="E85" s="83" t="n">
        <v>29452</v>
      </c>
      <c r="F85" s="83" t="n">
        <v>13345</v>
      </c>
      <c r="H85" s="83">
        <f>F66-G66</f>
        <v/>
      </c>
    </row>
    <row r="86" ht="12.8" customHeight="1" s="82">
      <c r="A86" s="83" t="inlineStr">
        <is>
          <t>Fiber, yarn, and thread mills</t>
        </is>
      </c>
      <c r="B86" s="83" t="inlineStr">
        <is>
          <t>313100</t>
        </is>
      </c>
      <c r="C86" s="83" t="n">
        <v>1394</v>
      </c>
      <c r="D86" s="83" t="n">
        <v>87</v>
      </c>
      <c r="E86" s="83" t="n">
        <v>150</v>
      </c>
      <c r="F86" s="83" t="n">
        <v>0</v>
      </c>
      <c r="H86" s="83">
        <f>F67-G67</f>
        <v/>
      </c>
    </row>
    <row r="87" ht="12.8" customHeight="1" s="82">
      <c r="A87" s="83" t="inlineStr">
        <is>
          <t>Fabric mills</t>
        </is>
      </c>
      <c r="B87" s="83" t="inlineStr">
        <is>
          <t>313200</t>
        </is>
      </c>
      <c r="C87" s="83" t="n">
        <v>3137</v>
      </c>
      <c r="D87" s="83" t="n">
        <v>163</v>
      </c>
      <c r="E87" s="83" t="n">
        <v>1092</v>
      </c>
      <c r="F87" s="83" t="n">
        <v>2</v>
      </c>
      <c r="H87" s="83">
        <f>F68-G68</f>
        <v/>
      </c>
    </row>
    <row r="88" ht="12.8" customHeight="1" s="82">
      <c r="A88" s="83" t="inlineStr">
        <is>
          <t>Textile and fabric finishing and fabric coating mills</t>
        </is>
      </c>
      <c r="B88" s="83" t="inlineStr">
        <is>
          <t>313300</t>
        </is>
      </c>
      <c r="C88" s="83" t="n">
        <v>1823</v>
      </c>
      <c r="D88" s="83" t="n">
        <v>81</v>
      </c>
      <c r="E88" s="83" t="n">
        <v>307</v>
      </c>
      <c r="F88" s="83" t="n">
        <v>2</v>
      </c>
      <c r="H88" s="83">
        <f>F69-G69</f>
        <v/>
      </c>
    </row>
    <row r="89" ht="12.8" customHeight="1" s="82">
      <c r="A89" s="83" t="inlineStr">
        <is>
          <t>Carpet and rug mills</t>
        </is>
      </c>
      <c r="B89" s="83" t="inlineStr">
        <is>
          <t>314110</t>
        </is>
      </c>
      <c r="C89" s="83" t="n">
        <v>1884</v>
      </c>
      <c r="D89" s="83" t="n">
        <v>116</v>
      </c>
      <c r="E89" s="83" t="n">
        <v>1567</v>
      </c>
      <c r="F89" s="83" t="n">
        <v>6</v>
      </c>
      <c r="H89" s="83">
        <f>F70-G70</f>
        <v/>
      </c>
    </row>
    <row r="90" ht="12.8" customHeight="1" s="82">
      <c r="A90" s="83" t="inlineStr">
        <is>
          <t>Curtain and linen mills</t>
        </is>
      </c>
      <c r="B90" s="83" t="inlineStr">
        <is>
          <t>314120</t>
        </is>
      </c>
      <c r="C90" s="83" t="n">
        <v>941</v>
      </c>
      <c r="D90" s="83" t="n">
        <v>41</v>
      </c>
      <c r="E90" s="83" t="n">
        <v>299</v>
      </c>
      <c r="F90" s="83" t="n">
        <v>2</v>
      </c>
      <c r="H90" s="83">
        <f>F71-G71</f>
        <v/>
      </c>
    </row>
    <row r="91" ht="12.8" customHeight="1" s="82">
      <c r="A91" s="83" t="inlineStr">
        <is>
          <t>Other textile product mills</t>
        </is>
      </c>
      <c r="B91" s="83" t="inlineStr">
        <is>
          <t>314900</t>
        </is>
      </c>
      <c r="C91" s="83" t="n">
        <v>3122</v>
      </c>
      <c r="D91" s="83" t="n">
        <v>107</v>
      </c>
      <c r="E91" s="83" t="n">
        <v>987</v>
      </c>
      <c r="F91" s="83" t="n">
        <v>4</v>
      </c>
      <c r="G91" s="83" t="n">
        <v>27</v>
      </c>
      <c r="H91" s="83">
        <f>F72-G72</f>
        <v/>
      </c>
    </row>
    <row r="92" ht="12.8" customHeight="1" s="82">
      <c r="A92" s="83" t="inlineStr">
        <is>
          <t>Apparel manufacturing</t>
        </is>
      </c>
      <c r="B92" s="83" t="inlineStr">
        <is>
          <t>315000</t>
        </is>
      </c>
      <c r="C92" s="83" t="n">
        <v>6329</v>
      </c>
      <c r="D92" s="83" t="n">
        <v>191</v>
      </c>
      <c r="E92" s="83" t="n">
        <v>680</v>
      </c>
      <c r="F92" s="83" t="n">
        <v>10</v>
      </c>
      <c r="H92" s="83">
        <f>F73-G73</f>
        <v/>
      </c>
    </row>
    <row r="93" ht="12.8" customHeight="1" s="82">
      <c r="A93" s="83" t="inlineStr">
        <is>
          <t>Leather and allied product manufacturing</t>
        </is>
      </c>
      <c r="B93" s="83" t="inlineStr">
        <is>
          <t>316000</t>
        </is>
      </c>
      <c r="C93" s="83" t="n">
        <v>1556</v>
      </c>
      <c r="D93" s="83" t="n">
        <v>90</v>
      </c>
      <c r="E93" s="83" t="n">
        <v>588</v>
      </c>
      <c r="F93" s="83" t="n">
        <v>5</v>
      </c>
      <c r="H93" s="83">
        <f>F74-G74</f>
        <v/>
      </c>
    </row>
    <row r="94" ht="12.8" customHeight="1" s="82">
      <c r="A94" s="83" t="inlineStr">
        <is>
          <t>Sawmills and wood preservation</t>
        </is>
      </c>
      <c r="B94" s="83" t="inlineStr">
        <is>
          <t>321100</t>
        </is>
      </c>
      <c r="C94" s="83" t="n">
        <v>5479</v>
      </c>
      <c r="D94" s="83" t="n">
        <v>197</v>
      </c>
      <c r="E94" s="83" t="n">
        <v>3580</v>
      </c>
      <c r="F94" s="83" t="n">
        <v>47</v>
      </c>
      <c r="H94" s="83">
        <f>F75-G75</f>
        <v/>
      </c>
    </row>
    <row r="95" ht="12.8" customHeight="1" s="82">
      <c r="A95" s="83" t="inlineStr">
        <is>
          <t>Veneer, plywood, and engineered wood product manufacturing</t>
        </is>
      </c>
      <c r="B95" s="83" t="inlineStr">
        <is>
          <t>321200</t>
        </is>
      </c>
      <c r="C95" s="83" t="n">
        <v>4885</v>
      </c>
      <c r="D95" s="83" t="n">
        <v>147</v>
      </c>
      <c r="E95" s="83" t="n">
        <v>3722</v>
      </c>
      <c r="F95" s="83" t="n">
        <v>24</v>
      </c>
      <c r="H95" s="83">
        <f>F76-G76</f>
        <v/>
      </c>
    </row>
    <row r="96" ht="12.8" customHeight="1" s="82">
      <c r="A96" s="83" t="inlineStr">
        <is>
          <t>Millwork</t>
        </is>
      </c>
      <c r="B96" s="83" t="inlineStr">
        <is>
          <t>321910</t>
        </is>
      </c>
      <c r="C96" s="83" t="n">
        <v>5811</v>
      </c>
      <c r="D96" s="83" t="n">
        <v>158</v>
      </c>
      <c r="E96" s="83" t="n">
        <v>3266</v>
      </c>
      <c r="F96" s="83" t="n">
        <v>38</v>
      </c>
      <c r="H96" s="83">
        <f>F77-G77</f>
        <v/>
      </c>
    </row>
    <row r="97" ht="12.8" customHeight="1" s="82">
      <c r="A97" s="83" t="inlineStr">
        <is>
          <t>All other wood product manufacturing</t>
        </is>
      </c>
      <c r="B97" s="83" t="inlineStr">
        <is>
          <t>3219A0</t>
        </is>
      </c>
      <c r="C97" s="83" t="n">
        <v>6087</v>
      </c>
      <c r="D97" s="83" t="n">
        <v>148</v>
      </c>
      <c r="E97" s="83" t="n">
        <v>2088</v>
      </c>
      <c r="F97" s="83" t="n">
        <v>11</v>
      </c>
      <c r="H97" s="83">
        <f>F78-G78</f>
        <v/>
      </c>
    </row>
    <row r="98" ht="12.8" customHeight="1" s="82">
      <c r="A98" s="83" t="inlineStr">
        <is>
          <t>Pulp mills</t>
        </is>
      </c>
      <c r="B98" s="83" t="inlineStr">
        <is>
          <t>322110</t>
        </is>
      </c>
      <c r="C98" s="83" t="n">
        <v>546</v>
      </c>
      <c r="D98" s="83" t="n">
        <v>64</v>
      </c>
      <c r="E98" s="83" t="n">
        <v>1387</v>
      </c>
      <c r="F98" s="83" t="n">
        <v>0</v>
      </c>
      <c r="H98" s="83">
        <f>F79-G79</f>
        <v/>
      </c>
    </row>
    <row r="99" ht="12.8" customHeight="1" s="82">
      <c r="A99" s="83" t="inlineStr">
        <is>
          <t>Paper mills</t>
        </is>
      </c>
      <c r="B99" s="83" t="inlineStr">
        <is>
          <t>322120</t>
        </is>
      </c>
      <c r="C99" s="83" t="n">
        <v>6588</v>
      </c>
      <c r="D99" s="83" t="n">
        <v>342</v>
      </c>
      <c r="E99" s="83" t="n">
        <v>5773</v>
      </c>
      <c r="F99" s="83" t="n">
        <v>1</v>
      </c>
      <c r="H99" s="83">
        <f>F80-G80</f>
        <v/>
      </c>
    </row>
    <row r="100" ht="12.8" customHeight="1" s="82">
      <c r="A100" s="83" t="inlineStr">
        <is>
          <t>Paperboard mills</t>
        </is>
      </c>
      <c r="B100" s="83" t="inlineStr">
        <is>
          <t>322130</t>
        </is>
      </c>
      <c r="C100" s="83" t="n">
        <v>3313</v>
      </c>
      <c r="D100" s="83" t="n">
        <v>305</v>
      </c>
      <c r="E100" s="83" t="n">
        <v>7194</v>
      </c>
      <c r="F100" s="83" t="n">
        <v>2</v>
      </c>
      <c r="H100" s="83">
        <f>F81-G81</f>
        <v/>
      </c>
    </row>
    <row r="101" ht="12.8" customHeight="1" s="82">
      <c r="A101" s="83" t="inlineStr">
        <is>
          <t>Paperboard container manufacturing</t>
        </is>
      </c>
      <c r="B101" s="83" t="inlineStr">
        <is>
          <t>322210</t>
        </is>
      </c>
      <c r="C101" s="83" t="n">
        <v>11028</v>
      </c>
      <c r="D101" s="83" t="n">
        <v>602</v>
      </c>
      <c r="E101" s="83" t="n">
        <v>4946</v>
      </c>
      <c r="F101" s="83" t="n">
        <v>90</v>
      </c>
      <c r="H101" s="83">
        <f>F82-G82</f>
        <v/>
      </c>
    </row>
    <row r="102" ht="12.8" customHeight="1" s="82">
      <c r="A102" s="83" t="inlineStr">
        <is>
          <t>Paper bag and coated and treated paper manufacturing</t>
        </is>
      </c>
      <c r="B102" s="83" t="inlineStr">
        <is>
          <t>322220</t>
        </is>
      </c>
      <c r="C102" s="83" t="n">
        <v>4281</v>
      </c>
      <c r="D102" s="83" t="n">
        <v>194</v>
      </c>
      <c r="E102" s="83" t="n">
        <v>2385</v>
      </c>
      <c r="F102" s="83" t="n">
        <v>9</v>
      </c>
      <c r="H102" s="83">
        <f>F83-G83</f>
        <v/>
      </c>
    </row>
    <row r="103" ht="12.8" customHeight="1" s="82">
      <c r="A103" s="83" t="inlineStr">
        <is>
          <t>Stationery product manufacturing</t>
        </is>
      </c>
      <c r="B103" s="83" t="inlineStr">
        <is>
          <t>322230</t>
        </is>
      </c>
      <c r="C103" s="83" t="n">
        <v>1063</v>
      </c>
      <c r="D103" s="83" t="n">
        <v>52</v>
      </c>
      <c r="E103" s="83" t="n">
        <v>225</v>
      </c>
      <c r="F103" s="83" t="n">
        <v>5</v>
      </c>
      <c r="H103" s="83">
        <f>F84-G84</f>
        <v/>
      </c>
    </row>
    <row r="104" ht="12.8" customHeight="1" s="82">
      <c r="A104" s="83" t="inlineStr">
        <is>
          <t>Sanitary paper product manufacturing</t>
        </is>
      </c>
      <c r="B104" s="83" t="inlineStr">
        <is>
          <t>322291</t>
        </is>
      </c>
      <c r="C104" s="83" t="n">
        <v>2476</v>
      </c>
      <c r="D104" s="83" t="n">
        <v>102</v>
      </c>
      <c r="E104" s="83" t="n">
        <v>1220</v>
      </c>
      <c r="F104" s="83" t="n">
        <v>9</v>
      </c>
      <c r="H104" s="83">
        <f>F85-G85</f>
        <v/>
      </c>
    </row>
    <row r="105" ht="12.8" customHeight="1" s="82">
      <c r="A105" s="83" t="inlineStr">
        <is>
          <t>All other converted paper product manufacturing</t>
        </is>
      </c>
      <c r="B105" s="83" t="inlineStr">
        <is>
          <t>322299</t>
        </is>
      </c>
      <c r="C105" s="83" t="n">
        <v>1091</v>
      </c>
      <c r="D105" s="83" t="n">
        <v>42</v>
      </c>
      <c r="E105" s="83" t="n">
        <v>558</v>
      </c>
      <c r="F105" s="83" t="n">
        <v>2</v>
      </c>
      <c r="H105" s="83">
        <f>F86-G86</f>
        <v/>
      </c>
    </row>
    <row r="106" ht="12.8" customHeight="1" s="82">
      <c r="A106" s="83" t="inlineStr">
        <is>
          <t>Printing</t>
        </is>
      </c>
      <c r="B106" s="83" t="inlineStr">
        <is>
          <t>323110</t>
        </is>
      </c>
      <c r="C106" s="83" t="n">
        <v>24702</v>
      </c>
      <c r="D106" s="83" t="n">
        <v>693</v>
      </c>
      <c r="E106" s="83" t="n">
        <v>13301</v>
      </c>
      <c r="F106" s="83" t="n">
        <v>55</v>
      </c>
      <c r="H106" s="83">
        <f>F87-G87</f>
        <v/>
      </c>
    </row>
    <row r="107" ht="12.8" customHeight="1" s="82">
      <c r="A107" s="83" t="inlineStr">
        <is>
          <t>Support activities for printing</t>
        </is>
      </c>
      <c r="B107" s="83" t="inlineStr">
        <is>
          <t>323120</t>
        </is>
      </c>
      <c r="C107" s="83" t="n">
        <v>1531</v>
      </c>
      <c r="D107" s="83" t="n">
        <v>28</v>
      </c>
      <c r="E107" s="83" t="n">
        <v>298</v>
      </c>
      <c r="F107" s="83" t="n">
        <v>1</v>
      </c>
      <c r="H107" s="83">
        <f>F88-G88</f>
        <v/>
      </c>
    </row>
    <row r="108" ht="12.8" customHeight="1" s="82">
      <c r="A108" s="83" t="inlineStr">
        <is>
          <t>Petroleum refineries</t>
        </is>
      </c>
      <c r="B108" s="83" t="inlineStr">
        <is>
          <t>324110</t>
        </is>
      </c>
      <c r="C108" s="83" t="n">
        <v>14705</v>
      </c>
      <c r="D108" s="83" t="n">
        <v>3189</v>
      </c>
      <c r="E108" s="83" t="n">
        <v>78929</v>
      </c>
      <c r="F108" s="83" t="n">
        <v>397</v>
      </c>
      <c r="G108" s="83" t="n">
        <v>0</v>
      </c>
      <c r="H108" s="83">
        <f>F89-G89</f>
        <v/>
      </c>
    </row>
    <row r="109" ht="12.8" customHeight="1" s="82">
      <c r="A109" s="83" t="inlineStr">
        <is>
          <t>Asphalt paving mixture and block manufacturing</t>
        </is>
      </c>
      <c r="B109" s="83" t="inlineStr">
        <is>
          <t>324121</t>
        </is>
      </c>
      <c r="C109" s="83" t="n">
        <v>1601</v>
      </c>
      <c r="D109" s="83" t="n">
        <v>104</v>
      </c>
      <c r="E109" s="83" t="n">
        <v>1194</v>
      </c>
      <c r="F109" s="83" t="n">
        <v>26</v>
      </c>
      <c r="H109" s="83">
        <f>F90-G90</f>
        <v/>
      </c>
    </row>
    <row r="110" ht="12.8" customHeight="1" s="82">
      <c r="A110" s="83" t="inlineStr">
        <is>
          <t>Asphalt shingle and coating materials manufacturing</t>
        </is>
      </c>
      <c r="B110" s="83" t="inlineStr">
        <is>
          <t>324122</t>
        </is>
      </c>
      <c r="C110" s="83" t="n">
        <v>1314</v>
      </c>
      <c r="D110" s="83" t="n">
        <v>85</v>
      </c>
      <c r="E110" s="83" t="n">
        <v>2541</v>
      </c>
      <c r="F110" s="83" t="n">
        <v>51</v>
      </c>
      <c r="H110" s="83">
        <f>F91-G91</f>
        <v/>
      </c>
    </row>
    <row r="111" ht="12.8" customHeight="1" s="82">
      <c r="A111" s="83" t="inlineStr">
        <is>
          <t>Other petroleum and coal products manufacturing</t>
        </is>
      </c>
      <c r="B111" s="83" t="inlineStr">
        <is>
          <t>324190</t>
        </is>
      </c>
      <c r="C111" s="83" t="n">
        <v>1810</v>
      </c>
      <c r="D111" s="83" t="n">
        <v>140</v>
      </c>
      <c r="E111" s="83" t="n">
        <v>4567</v>
      </c>
      <c r="F111" s="83" t="n">
        <v>4</v>
      </c>
      <c r="H111" s="83">
        <f>F92-G92</f>
        <v/>
      </c>
    </row>
    <row r="112" ht="12.8" customHeight="1" s="82">
      <c r="A112" s="83" t="inlineStr">
        <is>
          <t>Petrochemical manufacturing</t>
        </is>
      </c>
      <c r="B112" s="83" t="inlineStr">
        <is>
          <t>325110</t>
        </is>
      </c>
      <c r="C112" s="83" t="n">
        <v>4508</v>
      </c>
      <c r="D112" s="83" t="n">
        <v>903</v>
      </c>
      <c r="E112" s="83" t="n">
        <v>17305</v>
      </c>
      <c r="F112" s="83" t="n">
        <v>29</v>
      </c>
      <c r="H112" s="83">
        <f>F93-G93</f>
        <v/>
      </c>
    </row>
    <row r="113" ht="12.8" customHeight="1" s="82">
      <c r="A113" s="83" t="inlineStr">
        <is>
          <t>Industrial gas manufacturing</t>
        </is>
      </c>
      <c r="B113" s="83" t="inlineStr">
        <is>
          <t>325120</t>
        </is>
      </c>
      <c r="C113" s="83" t="n">
        <v>2454</v>
      </c>
      <c r="D113" s="83" t="n">
        <v>191</v>
      </c>
      <c r="E113" s="83" t="n">
        <v>873</v>
      </c>
      <c r="F113" s="83" t="n">
        <v>5</v>
      </c>
      <c r="H113" s="83">
        <f>F94-G94</f>
        <v/>
      </c>
    </row>
    <row r="114" ht="12.8" customHeight="1" s="82">
      <c r="A114" s="83" t="inlineStr">
        <is>
          <t>Synthetic dye and pigment manufacturing</t>
        </is>
      </c>
      <c r="B114" s="83" t="inlineStr">
        <is>
          <t>325130</t>
        </is>
      </c>
      <c r="C114" s="83" t="n">
        <v>1359</v>
      </c>
      <c r="D114" s="83" t="n">
        <v>121</v>
      </c>
      <c r="E114" s="83" t="n">
        <v>1058</v>
      </c>
      <c r="F114" s="83" t="n">
        <v>12</v>
      </c>
      <c r="H114" s="83">
        <f>F95-G95</f>
        <v/>
      </c>
    </row>
    <row r="115" ht="12.8" customHeight="1" s="82">
      <c r="A115" s="83" t="inlineStr">
        <is>
          <t>Other basic inorganic chemical manufacturing</t>
        </is>
      </c>
      <c r="B115" s="83" t="inlineStr">
        <is>
          <t>325180</t>
        </is>
      </c>
      <c r="C115" s="83" t="n">
        <v>4986</v>
      </c>
      <c r="D115" s="83" t="n">
        <v>560</v>
      </c>
      <c r="E115" s="83" t="n">
        <v>8826</v>
      </c>
      <c r="F115" s="83" t="n">
        <v>20</v>
      </c>
      <c r="H115" s="83">
        <f>F96-G96</f>
        <v/>
      </c>
    </row>
    <row r="116" ht="12.8" customHeight="1" s="82">
      <c r="A116" s="83" t="inlineStr">
        <is>
          <t>Other basic organic chemical manufacturing</t>
        </is>
      </c>
      <c r="B116" s="83" t="inlineStr">
        <is>
          <t>325190</t>
        </is>
      </c>
      <c r="C116" s="83" t="n">
        <v>6309</v>
      </c>
      <c r="D116" s="83" t="n">
        <v>2040</v>
      </c>
      <c r="E116" s="83" t="n">
        <v>22500</v>
      </c>
      <c r="F116" s="83" t="n">
        <v>88</v>
      </c>
      <c r="H116" s="83">
        <f>F97-G97</f>
        <v/>
      </c>
    </row>
    <row r="117" ht="12.8" customHeight="1" s="82">
      <c r="A117" s="83" t="inlineStr">
        <is>
          <t>Plastics material and resin manufacturing</t>
        </is>
      </c>
      <c r="B117" s="83" t="inlineStr">
        <is>
          <t>325211</t>
        </is>
      </c>
      <c r="C117" s="83" t="n">
        <v>7285</v>
      </c>
      <c r="D117" s="83" t="n">
        <v>1508</v>
      </c>
      <c r="E117" s="83" t="n">
        <v>13728</v>
      </c>
      <c r="F117" s="83" t="n">
        <v>71</v>
      </c>
      <c r="H117" s="83">
        <f>F98-G98</f>
        <v/>
      </c>
    </row>
    <row r="118" ht="12.8" customHeight="1" s="82">
      <c r="A118" s="83" t="inlineStr">
        <is>
          <t>Synthetic rubber and artificial and synthetic fibers and filaments manufacturing</t>
        </is>
      </c>
      <c r="B118" s="83" t="inlineStr">
        <is>
          <t>3252A0</t>
        </is>
      </c>
      <c r="C118" s="83" t="n">
        <v>3752</v>
      </c>
      <c r="D118" s="83" t="n">
        <v>260</v>
      </c>
      <c r="E118" s="83" t="n">
        <v>1119</v>
      </c>
      <c r="F118" s="83" t="n">
        <v>21</v>
      </c>
      <c r="H118" s="83">
        <f>F99-G99</f>
        <v/>
      </c>
    </row>
    <row r="119" ht="12.8" customHeight="1" s="82">
      <c r="A119" s="83" t="inlineStr">
        <is>
          <t>Fertilizer manufacturing</t>
        </is>
      </c>
      <c r="B119" s="83" t="inlineStr">
        <is>
          <t>325310</t>
        </is>
      </c>
      <c r="C119" s="83" t="n">
        <v>2291</v>
      </c>
      <c r="D119" s="83" t="n">
        <v>303</v>
      </c>
      <c r="E119" s="83" t="n">
        <v>4861</v>
      </c>
      <c r="F119" s="83" t="n">
        <v>18</v>
      </c>
      <c r="H119" s="83">
        <f>F100-G100</f>
        <v/>
      </c>
    </row>
    <row r="120" ht="12.8" customHeight="1" s="82">
      <c r="A120" s="83" t="inlineStr">
        <is>
          <t>Pesticide and other agricultural chemical manufacturing</t>
        </is>
      </c>
      <c r="B120" s="83" t="inlineStr">
        <is>
          <t>325320</t>
        </is>
      </c>
      <c r="C120" s="83" t="n">
        <v>1607</v>
      </c>
      <c r="D120" s="83" t="n">
        <v>256</v>
      </c>
      <c r="E120" s="83" t="n">
        <v>3989</v>
      </c>
      <c r="F120" s="83" t="n">
        <v>6</v>
      </c>
      <c r="H120" s="83">
        <f>F101-G101</f>
        <v/>
      </c>
    </row>
    <row r="121" ht="12.8" customHeight="1" s="82">
      <c r="A121" s="83" t="inlineStr">
        <is>
          <t>Medicinal and botanical manufacturing</t>
        </is>
      </c>
      <c r="B121" s="83" t="inlineStr">
        <is>
          <t>325411</t>
        </is>
      </c>
      <c r="C121" s="83" t="n">
        <v>3941</v>
      </c>
      <c r="D121" s="83" t="n">
        <v>251</v>
      </c>
      <c r="E121" s="83" t="n">
        <v>3231</v>
      </c>
      <c r="F121" s="83" t="n">
        <v>0</v>
      </c>
      <c r="H121" s="83">
        <f>F102-G102</f>
        <v/>
      </c>
    </row>
    <row r="122" ht="12.8" customHeight="1" s="82">
      <c r="A122" s="83" t="inlineStr">
        <is>
          <t>Pharmaceutical preparation manufacturing</t>
        </is>
      </c>
      <c r="B122" s="83" t="inlineStr">
        <is>
          <t>325412</t>
        </is>
      </c>
      <c r="C122" s="83" t="n">
        <v>31768</v>
      </c>
      <c r="D122" s="83" t="n">
        <v>3213</v>
      </c>
      <c r="E122" s="83" t="n">
        <v>75346</v>
      </c>
      <c r="F122" s="83" t="n">
        <v>4151</v>
      </c>
      <c r="H122" s="83">
        <f>F103-G103</f>
        <v/>
      </c>
    </row>
    <row r="123" ht="12.8" customHeight="1" s="82">
      <c r="A123" s="83" t="inlineStr">
        <is>
          <t>In-vitro diagnostic substance manufacturing</t>
        </is>
      </c>
      <c r="B123" s="83" t="inlineStr">
        <is>
          <t>325413</t>
        </is>
      </c>
      <c r="C123" s="83" t="n">
        <v>3391</v>
      </c>
      <c r="D123" s="83" t="n">
        <v>312</v>
      </c>
      <c r="E123" s="83" t="n">
        <v>5736</v>
      </c>
      <c r="F123" s="83" t="n">
        <v>1</v>
      </c>
      <c r="H123" s="83">
        <f>F104-G104</f>
        <v/>
      </c>
    </row>
    <row r="124" ht="12.8" customHeight="1" s="82">
      <c r="A124" s="83" t="inlineStr">
        <is>
          <t>Biological product (except diagnostic) manufacturing</t>
        </is>
      </c>
      <c r="B124" s="83" t="inlineStr">
        <is>
          <t>325414</t>
        </is>
      </c>
      <c r="C124" s="83" t="n">
        <v>4648</v>
      </c>
      <c r="D124" s="83" t="n">
        <v>617</v>
      </c>
      <c r="E124" s="83" t="n">
        <v>16555</v>
      </c>
      <c r="F124" s="83" t="n">
        <v>216</v>
      </c>
      <c r="G124" s="83" t="n">
        <v>14</v>
      </c>
      <c r="H124" s="83">
        <f>F105-G105</f>
        <v/>
      </c>
    </row>
    <row r="125" ht="12.8" customHeight="1" s="82">
      <c r="A125" s="83" t="inlineStr">
        <is>
          <t>Paint and coating manufacturing</t>
        </is>
      </c>
      <c r="B125" s="83" t="inlineStr">
        <is>
          <t>325510</t>
        </is>
      </c>
      <c r="C125" s="83" t="n">
        <v>3705</v>
      </c>
      <c r="D125" s="83" t="n">
        <v>478</v>
      </c>
      <c r="E125" s="83" t="n">
        <v>6356</v>
      </c>
      <c r="F125" s="83" t="n">
        <v>49</v>
      </c>
      <c r="H125" s="83">
        <f>F106-G106</f>
        <v/>
      </c>
    </row>
    <row r="126" ht="12.8" customHeight="1" s="82">
      <c r="A126" s="83" t="inlineStr">
        <is>
          <t>Adhesive manufacturing</t>
        </is>
      </c>
      <c r="B126" s="83" t="inlineStr">
        <is>
          <t>325520</t>
        </is>
      </c>
      <c r="C126" s="83" t="n">
        <v>2209</v>
      </c>
      <c r="D126" s="83" t="n">
        <v>259</v>
      </c>
      <c r="E126" s="83" t="n">
        <v>3635</v>
      </c>
      <c r="F126" s="83" t="n">
        <v>7</v>
      </c>
      <c r="H126" s="83">
        <f>F107-G107</f>
        <v/>
      </c>
    </row>
    <row r="127" ht="12.8" customHeight="1" s="82">
      <c r="A127" s="83" t="inlineStr">
        <is>
          <t>Soap and cleaning compound manufacturing</t>
        </is>
      </c>
      <c r="B127" s="83" t="inlineStr">
        <is>
          <t>325610</t>
        </is>
      </c>
      <c r="C127" s="83" t="n">
        <v>5616</v>
      </c>
      <c r="D127" s="83" t="n">
        <v>708</v>
      </c>
      <c r="E127" s="83" t="n">
        <v>13663</v>
      </c>
      <c r="F127" s="83" t="n">
        <v>88</v>
      </c>
      <c r="H127" s="83">
        <f>F108-G108</f>
        <v/>
      </c>
    </row>
    <row r="128" ht="12.8" customHeight="1" s="82">
      <c r="A128" s="83" t="inlineStr">
        <is>
          <t>Toilet preparation manufacturing</t>
        </is>
      </c>
      <c r="B128" s="83" t="inlineStr">
        <is>
          <t>325620</t>
        </is>
      </c>
      <c r="C128" s="83" t="n">
        <v>4343</v>
      </c>
      <c r="D128" s="83" t="n">
        <v>792</v>
      </c>
      <c r="E128" s="83" t="n">
        <v>17723</v>
      </c>
      <c r="F128" s="83" t="n">
        <v>255</v>
      </c>
      <c r="H128" s="83">
        <f>F109-G109</f>
        <v/>
      </c>
    </row>
    <row r="129" ht="12.8" customHeight="1" s="82">
      <c r="A129" s="83" t="inlineStr">
        <is>
          <t>Printing ink manufacturing</t>
        </is>
      </c>
      <c r="B129" s="83" t="inlineStr">
        <is>
          <t>325910</t>
        </is>
      </c>
      <c r="C129" s="83" t="n">
        <v>753</v>
      </c>
      <c r="D129" s="83" t="n">
        <v>71</v>
      </c>
      <c r="E129" s="83" t="n">
        <v>514</v>
      </c>
      <c r="F129" s="83" t="n">
        <v>10</v>
      </c>
      <c r="H129" s="83">
        <f>F110-G110</f>
        <v/>
      </c>
    </row>
    <row r="130" ht="12.8" customHeight="1" s="82">
      <c r="A130" s="83" t="inlineStr">
        <is>
          <t>All other chemical product and preparation manufacturing</t>
        </is>
      </c>
      <c r="B130" s="83" t="inlineStr">
        <is>
          <t>3259A0</t>
        </is>
      </c>
      <c r="C130" s="83" t="n">
        <v>6756</v>
      </c>
      <c r="D130" s="83" t="n">
        <v>746</v>
      </c>
      <c r="E130" s="83" t="n">
        <v>7688</v>
      </c>
      <c r="F130" s="83" t="n">
        <v>76</v>
      </c>
      <c r="H130" s="83">
        <f>F111-G111</f>
        <v/>
      </c>
    </row>
    <row r="131" ht="12.8" customHeight="1" s="82">
      <c r="A131" s="83" t="inlineStr">
        <is>
          <t>Plastics packaging materials and unlaminated film and sheet manufacturing</t>
        </is>
      </c>
      <c r="B131" s="83" t="inlineStr">
        <is>
          <t>326110</t>
        </is>
      </c>
      <c r="C131" s="83" t="n">
        <v>6831</v>
      </c>
      <c r="D131" s="83" t="n">
        <v>254</v>
      </c>
      <c r="E131" s="83" t="n">
        <v>4390</v>
      </c>
      <c r="F131" s="83" t="n">
        <v>38</v>
      </c>
      <c r="H131" s="83">
        <f>F112-G112</f>
        <v/>
      </c>
    </row>
    <row r="132" ht="12.8" customHeight="1" s="82">
      <c r="A132" s="83" t="inlineStr">
        <is>
          <t>Plastics pipe, pipe fitting, and unlaminated profile shape manufacturing</t>
        </is>
      </c>
      <c r="B132" s="83" t="inlineStr">
        <is>
          <t>326120</t>
        </is>
      </c>
      <c r="C132" s="83" t="n">
        <v>3541</v>
      </c>
      <c r="D132" s="83" t="n">
        <v>127</v>
      </c>
      <c r="E132" s="83" t="n">
        <v>2931</v>
      </c>
      <c r="F132" s="83" t="n">
        <v>12</v>
      </c>
      <c r="H132" s="83">
        <f>F113-G113</f>
        <v/>
      </c>
    </row>
    <row r="133" ht="12.8" customHeight="1" s="82">
      <c r="A133" s="83" t="inlineStr">
        <is>
          <t>Laminated plastics plate, sheet (except packaging), and shape manufacturing</t>
        </is>
      </c>
      <c r="B133" s="83" t="inlineStr">
        <is>
          <t>326130</t>
        </is>
      </c>
      <c r="C133" s="83" t="n">
        <v>1372</v>
      </c>
      <c r="D133" s="83" t="n">
        <v>29</v>
      </c>
      <c r="E133" s="83" t="n">
        <v>452</v>
      </c>
      <c r="F133" s="83" t="n">
        <v>1</v>
      </c>
      <c r="H133" s="83">
        <f>F114-G114</f>
        <v/>
      </c>
    </row>
    <row r="134" ht="12.8" customHeight="1" s="82">
      <c r="A134" s="83" t="inlineStr">
        <is>
          <t>Polystyrene foam product manufacturing</t>
        </is>
      </c>
      <c r="B134" s="83" t="inlineStr">
        <is>
          <t>326140</t>
        </is>
      </c>
      <c r="C134" s="83" t="n">
        <v>1959</v>
      </c>
      <c r="D134" s="83" t="n">
        <v>63</v>
      </c>
      <c r="E134" s="83" t="n">
        <v>691</v>
      </c>
      <c r="F134" s="83" t="n">
        <v>0</v>
      </c>
      <c r="H134" s="83">
        <f>F115-G115</f>
        <v/>
      </c>
    </row>
    <row r="135" ht="12.8" customHeight="1" s="82">
      <c r="A135" s="83" t="inlineStr">
        <is>
          <t>Urethane and other foam product (except polystyrene) manufacturing</t>
        </is>
      </c>
      <c r="B135" s="83" t="inlineStr">
        <is>
          <t>326150</t>
        </is>
      </c>
      <c r="C135" s="83" t="n">
        <v>2214</v>
      </c>
      <c r="D135" s="83" t="n">
        <v>70</v>
      </c>
      <c r="E135" s="83" t="n">
        <v>1015</v>
      </c>
      <c r="F135" s="83" t="n">
        <v>5</v>
      </c>
      <c r="H135" s="83">
        <f>F116-G116</f>
        <v/>
      </c>
    </row>
    <row r="136" ht="12.8" customHeight="1" s="82">
      <c r="A136" s="83" t="inlineStr">
        <is>
          <t>Plastics bottle manufacturing</t>
        </is>
      </c>
      <c r="B136" s="83" t="inlineStr">
        <is>
          <t>326160</t>
        </is>
      </c>
      <c r="C136" s="83" t="n">
        <v>2279</v>
      </c>
      <c r="D136" s="83" t="n">
        <v>71</v>
      </c>
      <c r="E136" s="83" t="n">
        <v>980</v>
      </c>
      <c r="F136" s="83" t="n">
        <v>0</v>
      </c>
      <c r="H136" s="83">
        <f>F117-G117</f>
        <v/>
      </c>
    </row>
    <row r="137" ht="12.8" customHeight="1" s="82">
      <c r="A137" s="83" t="inlineStr">
        <is>
          <t>Other plastics product manufacturing</t>
        </is>
      </c>
      <c r="B137" s="83" t="inlineStr">
        <is>
          <t>326190</t>
        </is>
      </c>
      <c r="C137" s="83" t="n">
        <v>19074</v>
      </c>
      <c r="D137" s="83" t="n">
        <v>669</v>
      </c>
      <c r="E137" s="83" t="n">
        <v>12796</v>
      </c>
      <c r="F137" s="83" t="n">
        <v>29</v>
      </c>
      <c r="H137" s="83">
        <f>F118-G118</f>
        <v/>
      </c>
    </row>
    <row r="138" ht="12.8" customHeight="1" s="82">
      <c r="A138" s="83" t="inlineStr">
        <is>
          <t>Tire manufacturing</t>
        </is>
      </c>
      <c r="B138" s="83" t="inlineStr">
        <is>
          <t>326210</t>
        </is>
      </c>
      <c r="C138" s="83" t="n">
        <v>4568</v>
      </c>
      <c r="D138" s="83" t="n">
        <v>125</v>
      </c>
      <c r="E138" s="83" t="n">
        <v>2024</v>
      </c>
      <c r="F138" s="83" t="n">
        <v>309</v>
      </c>
      <c r="H138" s="83">
        <f>F119-G119</f>
        <v/>
      </c>
    </row>
    <row r="139" ht="12.8" customHeight="1" s="82">
      <c r="A139" s="83" t="inlineStr">
        <is>
          <t>Rubber and plastics hoses and belting manufacturing</t>
        </is>
      </c>
      <c r="B139" s="83" t="inlineStr">
        <is>
          <t>326220</t>
        </is>
      </c>
      <c r="C139" s="83" t="n">
        <v>1635</v>
      </c>
      <c r="D139" s="83" t="n">
        <v>33</v>
      </c>
      <c r="E139" s="83" t="n">
        <v>437</v>
      </c>
      <c r="F139" s="83" t="n">
        <v>4</v>
      </c>
      <c r="H139" s="83">
        <f>F120-G120</f>
        <v/>
      </c>
    </row>
    <row r="140" ht="12.8" customHeight="1" s="82">
      <c r="A140" s="83" t="inlineStr">
        <is>
          <t>Other rubber product manufacturing</t>
        </is>
      </c>
      <c r="B140" s="83" t="inlineStr">
        <is>
          <t>326290</t>
        </is>
      </c>
      <c r="C140" s="83" t="n">
        <v>3682</v>
      </c>
      <c r="D140" s="83" t="n">
        <v>123</v>
      </c>
      <c r="E140" s="83" t="n">
        <v>2352</v>
      </c>
      <c r="F140" s="83" t="n">
        <v>18</v>
      </c>
      <c r="H140" s="83">
        <f>F121-G121</f>
        <v/>
      </c>
    </row>
    <row r="141" ht="12.8" customHeight="1" s="82">
      <c r="A141" s="83" t="inlineStr">
        <is>
          <t>Clay product and refractory manufacturing</t>
        </is>
      </c>
      <c r="B141" s="83" t="inlineStr">
        <is>
          <t>327100</t>
        </is>
      </c>
      <c r="C141" s="83" t="n">
        <v>2719</v>
      </c>
      <c r="D141" s="83" t="n">
        <v>91</v>
      </c>
      <c r="E141" s="83" t="n">
        <v>1196</v>
      </c>
      <c r="F141" s="83" t="n">
        <v>14</v>
      </c>
      <c r="H141" s="83">
        <f>F122-G122</f>
        <v/>
      </c>
    </row>
    <row r="142" ht="12.8" customHeight="1" s="82">
      <c r="A142" s="83" t="inlineStr">
        <is>
          <t>Glass and glass product manufacturing</t>
        </is>
      </c>
      <c r="B142" s="83" t="inlineStr">
        <is>
          <t>327200</t>
        </is>
      </c>
      <c r="C142" s="83" t="n">
        <v>6235</v>
      </c>
      <c r="D142" s="83" t="n">
        <v>292</v>
      </c>
      <c r="E142" s="83" t="n">
        <v>5437</v>
      </c>
      <c r="F142" s="83" t="n">
        <v>5</v>
      </c>
      <c r="H142" s="83">
        <f>F123-G123</f>
        <v/>
      </c>
    </row>
    <row r="143" ht="12.8" customHeight="1" s="82">
      <c r="A143" s="83" t="inlineStr">
        <is>
          <t>Cement manufacturing</t>
        </is>
      </c>
      <c r="B143" s="83" t="inlineStr">
        <is>
          <t>327310</t>
        </is>
      </c>
      <c r="C143" s="83" t="n">
        <v>1426</v>
      </c>
      <c r="D143" s="83" t="n">
        <v>94</v>
      </c>
      <c r="E143" s="83" t="n">
        <v>3038</v>
      </c>
      <c r="F143" s="83" t="n">
        <v>7</v>
      </c>
      <c r="H143" s="83">
        <f>F124-G124</f>
        <v/>
      </c>
    </row>
    <row r="144" ht="12.8" customHeight="1" s="82">
      <c r="A144" s="83" t="inlineStr">
        <is>
          <t>Ready-mix concrete manufacturing</t>
        </is>
      </c>
      <c r="B144" s="83" t="inlineStr">
        <is>
          <t>327320</t>
        </is>
      </c>
      <c r="C144" s="83" t="n">
        <v>7003</v>
      </c>
      <c r="D144" s="83" t="n">
        <v>356</v>
      </c>
      <c r="E144" s="83" t="n">
        <v>4092</v>
      </c>
      <c r="F144" s="83" t="n">
        <v>30</v>
      </c>
      <c r="H144" s="83">
        <f>F125-G125</f>
        <v/>
      </c>
    </row>
    <row r="145" ht="12.8" customHeight="1" s="82">
      <c r="A145" s="83" t="inlineStr">
        <is>
          <t>Concrete pipe, brick, and block manufacturing</t>
        </is>
      </c>
      <c r="B145" s="83" t="inlineStr">
        <is>
          <t>327330</t>
        </is>
      </c>
      <c r="C145" s="83" t="n">
        <v>1876</v>
      </c>
      <c r="D145" s="83" t="n">
        <v>73</v>
      </c>
      <c r="E145" s="83" t="n">
        <v>1311</v>
      </c>
      <c r="F145" s="83" t="n">
        <v>27</v>
      </c>
      <c r="H145" s="83">
        <f>F126-G126</f>
        <v/>
      </c>
    </row>
    <row r="146" ht="12.8" customHeight="1" s="82">
      <c r="A146" s="83" t="inlineStr">
        <is>
          <t>Other concrete product manufacturing</t>
        </is>
      </c>
      <c r="B146" s="83" t="inlineStr">
        <is>
          <t>327390</t>
        </is>
      </c>
      <c r="C146" s="83" t="n">
        <v>3575</v>
      </c>
      <c r="D146" s="83" t="n">
        <v>142</v>
      </c>
      <c r="E146" s="83" t="n">
        <v>2380</v>
      </c>
      <c r="F146" s="83" t="n">
        <v>9</v>
      </c>
      <c r="H146" s="83">
        <f>F127-G127</f>
        <v/>
      </c>
    </row>
    <row r="147" ht="12.8" customHeight="1" s="82">
      <c r="A147" s="83" t="inlineStr">
        <is>
          <t>Lime and gypsum product manufacturing</t>
        </is>
      </c>
      <c r="B147" s="83" t="inlineStr">
        <is>
          <t>327400</t>
        </is>
      </c>
      <c r="C147" s="83" t="n">
        <v>1290</v>
      </c>
      <c r="D147" s="83" t="n">
        <v>91</v>
      </c>
      <c r="E147" s="83" t="n">
        <v>2653</v>
      </c>
      <c r="F147" s="83" t="n">
        <v>7</v>
      </c>
      <c r="H147" s="83">
        <f>F128-G128</f>
        <v/>
      </c>
    </row>
    <row r="148" ht="12.8" customHeight="1" s="82">
      <c r="A148" s="83" t="inlineStr">
        <is>
          <t>Abrasive product manufacturing</t>
        </is>
      </c>
      <c r="B148" s="83" t="inlineStr">
        <is>
          <t>327910</t>
        </is>
      </c>
      <c r="C148" s="83" t="n">
        <v>776</v>
      </c>
      <c r="D148" s="83" t="n">
        <v>53</v>
      </c>
      <c r="E148" s="83" t="n">
        <v>2328</v>
      </c>
      <c r="F148" s="83" t="n">
        <v>12</v>
      </c>
      <c r="H148" s="83">
        <f>F129-G129</f>
        <v/>
      </c>
    </row>
    <row r="149" ht="12.8" customHeight="1" s="82">
      <c r="A149" s="83" t="inlineStr">
        <is>
          <t>Cut stone and stone product manufacturing</t>
        </is>
      </c>
      <c r="B149" s="83" t="inlineStr">
        <is>
          <t>327991</t>
        </is>
      </c>
      <c r="C149" s="83" t="n">
        <v>1699</v>
      </c>
      <c r="D149" s="83" t="n">
        <v>56</v>
      </c>
      <c r="E149" s="83" t="n">
        <v>481</v>
      </c>
      <c r="F149" s="83" t="n">
        <v>1</v>
      </c>
      <c r="H149" s="83">
        <f>F130-G130</f>
        <v/>
      </c>
    </row>
    <row r="150" ht="12.8" customHeight="1" s="82">
      <c r="A150" s="83" t="inlineStr">
        <is>
          <t>Ground or treated mineral and earth manufacturing</t>
        </is>
      </c>
      <c r="B150" s="83" t="inlineStr">
        <is>
          <t>327992</t>
        </is>
      </c>
      <c r="C150" s="83" t="n">
        <v>571</v>
      </c>
      <c r="D150" s="83" t="n">
        <v>49</v>
      </c>
      <c r="E150" s="83" t="n">
        <v>1389</v>
      </c>
      <c r="F150" s="83" t="n">
        <v>2</v>
      </c>
      <c r="H150" s="83">
        <f>F131-G131</f>
        <v/>
      </c>
    </row>
    <row r="151" ht="12.8" customHeight="1" s="82">
      <c r="A151" s="83" t="inlineStr">
        <is>
          <t>Mineral wool manufacturing</t>
        </is>
      </c>
      <c r="B151" s="83" t="inlineStr">
        <is>
          <t>327993</t>
        </is>
      </c>
      <c r="C151" s="83" t="n">
        <v>1435</v>
      </c>
      <c r="D151" s="83" t="n">
        <v>69</v>
      </c>
      <c r="E151" s="83" t="n">
        <v>1698</v>
      </c>
      <c r="F151" s="83" t="n">
        <v>4</v>
      </c>
      <c r="H151" s="83">
        <f>F132-G132</f>
        <v/>
      </c>
    </row>
    <row r="152" ht="12.8" customHeight="1" s="82">
      <c r="A152" s="83" t="inlineStr">
        <is>
          <t>Miscellaneous nonmetallic mineral products</t>
        </is>
      </c>
      <c r="B152" s="83" t="inlineStr">
        <is>
          <t>327999</t>
        </is>
      </c>
      <c r="C152" s="83" t="n">
        <v>864</v>
      </c>
      <c r="D152" s="83" t="n">
        <v>57</v>
      </c>
      <c r="E152" s="83" t="n">
        <v>1455</v>
      </c>
      <c r="F152" s="83" t="n">
        <v>19</v>
      </c>
      <c r="H152" s="83">
        <f>F133-G133</f>
        <v/>
      </c>
    </row>
    <row r="153" ht="12.8" customHeight="1" s="82">
      <c r="A153" s="83" t="inlineStr">
        <is>
          <t>Iron and steel mills and ferroalloy manufacturing</t>
        </is>
      </c>
      <c r="B153" s="83" t="inlineStr">
        <is>
          <t>331110</t>
        </is>
      </c>
      <c r="C153" s="83" t="n">
        <v>9112</v>
      </c>
      <c r="D153" s="83" t="n">
        <v>982</v>
      </c>
      <c r="E153" s="83" t="n">
        <v>11070</v>
      </c>
      <c r="F153" s="83" t="n">
        <v>14</v>
      </c>
      <c r="H153" s="83">
        <f>F134-G134</f>
        <v/>
      </c>
    </row>
    <row r="154" ht="12.8" customHeight="1" s="82">
      <c r="A154" s="83" t="inlineStr">
        <is>
          <t>Steel product manufacturing from purchased steel</t>
        </is>
      </c>
      <c r="B154" s="83" t="inlineStr">
        <is>
          <t>331200</t>
        </is>
      </c>
      <c r="C154" s="83" t="n">
        <v>4560</v>
      </c>
      <c r="D154" s="83" t="n">
        <v>240</v>
      </c>
      <c r="E154" s="83" t="n">
        <v>1976</v>
      </c>
      <c r="F154" s="83" t="n">
        <v>14</v>
      </c>
      <c r="H154" s="83">
        <f>F135-G135</f>
        <v/>
      </c>
    </row>
    <row r="155" ht="12.8" customHeight="1" s="82">
      <c r="A155" s="83" t="inlineStr">
        <is>
          <t>Alumina refining and primary aluminum production</t>
        </is>
      </c>
      <c r="B155" s="83" t="inlineStr">
        <is>
          <t>331313</t>
        </is>
      </c>
      <c r="C155" s="83" t="n">
        <v>489</v>
      </c>
      <c r="D155" s="83" t="n">
        <v>31</v>
      </c>
      <c r="E155" s="83" t="n">
        <v>156</v>
      </c>
      <c r="F155" s="83" t="n">
        <v>0</v>
      </c>
      <c r="H155" s="83">
        <f>F136-G136</f>
        <v/>
      </c>
    </row>
    <row r="156" ht="12.8" customHeight="1" s="82">
      <c r="A156" s="83" t="inlineStr">
        <is>
          <t>Secondary smelting and alloying of aluminum</t>
        </is>
      </c>
      <c r="B156" s="83" t="inlineStr">
        <is>
          <t>331314</t>
        </is>
      </c>
      <c r="C156" s="83" t="n">
        <v>378</v>
      </c>
      <c r="D156" s="83" t="n">
        <v>61</v>
      </c>
      <c r="E156" s="83" t="n">
        <v>351</v>
      </c>
      <c r="F156" s="83" t="n">
        <v>6</v>
      </c>
      <c r="H156" s="83">
        <f>F137-G137</f>
        <v/>
      </c>
    </row>
    <row r="157" ht="12.8" customHeight="1" s="82">
      <c r="A157" s="83" t="inlineStr">
        <is>
          <t>Aluminum product manufacturing from purchased aluminum</t>
        </is>
      </c>
      <c r="B157" s="83" t="inlineStr">
        <is>
          <t>33131B</t>
        </is>
      </c>
      <c r="C157" s="83" t="n">
        <v>3665</v>
      </c>
      <c r="D157" s="83" t="n">
        <v>280</v>
      </c>
      <c r="E157" s="83" t="n">
        <v>2568</v>
      </c>
      <c r="F157" s="83" t="n">
        <v>32</v>
      </c>
      <c r="H157" s="83">
        <f>F138-G138</f>
        <v/>
      </c>
    </row>
    <row r="158" ht="12.8" customHeight="1" s="82">
      <c r="A158" s="83" t="inlineStr">
        <is>
          <t>Nonferrous metal (except aluminum) smelting and refining</t>
        </is>
      </c>
      <c r="B158" s="83" t="inlineStr">
        <is>
          <t>331410</t>
        </is>
      </c>
      <c r="C158" s="83" t="n">
        <v>798</v>
      </c>
      <c r="D158" s="83" t="n">
        <v>109</v>
      </c>
      <c r="E158" s="83" t="n">
        <v>2157</v>
      </c>
      <c r="F158" s="83" t="n">
        <v>3</v>
      </c>
      <c r="H158" s="83">
        <f>F139-G139</f>
        <v/>
      </c>
    </row>
    <row r="159" ht="12.8" customHeight="1" s="82">
      <c r="A159" s="83" t="inlineStr">
        <is>
          <t>Copper rolling, drawing, extruding and alloying</t>
        </is>
      </c>
      <c r="B159" s="83" t="inlineStr">
        <is>
          <t>331420</t>
        </is>
      </c>
      <c r="C159" s="83" t="n">
        <v>2489</v>
      </c>
      <c r="D159" s="83" t="n">
        <v>220</v>
      </c>
      <c r="E159" s="83" t="n">
        <v>1214</v>
      </c>
      <c r="F159" s="83" t="n">
        <v>19</v>
      </c>
      <c r="H159" s="83">
        <f>F140-G140</f>
        <v/>
      </c>
    </row>
    <row r="160" ht="12.8" customHeight="1" s="82">
      <c r="A160" s="83" t="inlineStr">
        <is>
          <t>Nonferrous metal (except copper and aluminum) rolling, drawing, extruding and alloying</t>
        </is>
      </c>
      <c r="B160" s="83" t="inlineStr">
        <is>
          <t>331490</t>
        </is>
      </c>
      <c r="C160" s="83" t="n">
        <v>2057</v>
      </c>
      <c r="D160" s="83" t="n">
        <v>153</v>
      </c>
      <c r="E160" s="83" t="n">
        <v>2306</v>
      </c>
      <c r="F160" s="83" t="n">
        <v>7</v>
      </c>
      <c r="H160" s="83">
        <f>F141-G141</f>
        <v/>
      </c>
    </row>
    <row r="161" ht="12.8" customHeight="1" s="82">
      <c r="A161" s="83" t="inlineStr">
        <is>
          <t>Ferrous metal foundries</t>
        </is>
      </c>
      <c r="B161" s="83" t="inlineStr">
        <is>
          <t>331510</t>
        </is>
      </c>
      <c r="C161" s="83" t="n">
        <v>4608</v>
      </c>
      <c r="D161" s="83" t="n">
        <v>198</v>
      </c>
      <c r="E161" s="83" t="n">
        <v>2223</v>
      </c>
      <c r="F161" s="83" t="n">
        <v>27</v>
      </c>
      <c r="H161" s="83">
        <f>F142-G142</f>
        <v/>
      </c>
    </row>
    <row r="162" ht="12.8" customHeight="1" s="82">
      <c r="A162" s="83" t="inlineStr">
        <is>
          <t>Nonferrous metal foundries</t>
        </is>
      </c>
      <c r="B162" s="83" t="inlineStr">
        <is>
          <t>331520</t>
        </is>
      </c>
      <c r="C162" s="83" t="n">
        <v>3607</v>
      </c>
      <c r="D162" s="83" t="n">
        <v>139</v>
      </c>
      <c r="E162" s="83" t="n">
        <v>1441</v>
      </c>
      <c r="F162" s="83" t="n">
        <v>15</v>
      </c>
      <c r="H162" s="83">
        <f>F143-G143</f>
        <v/>
      </c>
    </row>
    <row r="163" ht="12.8" customHeight="1" s="82">
      <c r="A163" s="83" t="inlineStr">
        <is>
          <t>Custom roll forming</t>
        </is>
      </c>
      <c r="B163" s="83" t="inlineStr">
        <is>
          <t>332114</t>
        </is>
      </c>
      <c r="C163" s="83" t="n">
        <v>675</v>
      </c>
      <c r="D163" s="83" t="n">
        <v>58</v>
      </c>
      <c r="E163" s="83" t="n">
        <v>1144</v>
      </c>
      <c r="F163" s="83" t="n">
        <v>1</v>
      </c>
      <c r="H163" s="83">
        <f>F144-G144</f>
        <v/>
      </c>
    </row>
    <row r="164" ht="12.8" customHeight="1" s="82">
      <c r="A164" s="83" t="inlineStr">
        <is>
          <t>Metal crown, closure, and other metal stamping (except automotive)</t>
        </is>
      </c>
      <c r="B164" s="83" t="inlineStr">
        <is>
          <t>332119</t>
        </is>
      </c>
      <c r="C164" s="83" t="n">
        <v>3491</v>
      </c>
      <c r="D164" s="83" t="n">
        <v>89</v>
      </c>
      <c r="E164" s="83" t="n">
        <v>1025</v>
      </c>
      <c r="F164" s="83" t="n">
        <v>0</v>
      </c>
      <c r="H164" s="83">
        <f>F145-G145</f>
        <v/>
      </c>
    </row>
    <row r="165" ht="12.8" customHeight="1" s="82">
      <c r="A165" s="83" t="inlineStr">
        <is>
          <t>All other forging, stamping, and sintering</t>
        </is>
      </c>
      <c r="B165" s="83" t="inlineStr">
        <is>
          <t>33211A</t>
        </is>
      </c>
      <c r="C165" s="83" t="n">
        <v>3145</v>
      </c>
      <c r="D165" s="83" t="n">
        <v>103</v>
      </c>
      <c r="E165" s="83" t="n">
        <v>1278</v>
      </c>
      <c r="F165" s="83" t="n">
        <v>2</v>
      </c>
      <c r="H165" s="83">
        <f>F146-G146</f>
        <v/>
      </c>
    </row>
    <row r="166" ht="12.8" customHeight="1" s="82">
      <c r="A166" s="83" t="inlineStr">
        <is>
          <t>Cutlery and handtool manufacturing</t>
        </is>
      </c>
      <c r="B166" s="83" t="inlineStr">
        <is>
          <t>332200</t>
        </is>
      </c>
      <c r="C166" s="83" t="n">
        <v>2858</v>
      </c>
      <c r="D166" s="83" t="n">
        <v>83</v>
      </c>
      <c r="E166" s="83" t="n">
        <v>1457</v>
      </c>
      <c r="F166" s="83" t="n">
        <v>18</v>
      </c>
      <c r="H166" s="83">
        <f>F147-G147</f>
        <v/>
      </c>
    </row>
    <row r="167" ht="12.8" customHeight="1" s="82">
      <c r="A167" s="83" t="inlineStr">
        <is>
          <t>Plate work and fabricated structural product manufacturing</t>
        </is>
      </c>
      <c r="B167" s="83" t="inlineStr">
        <is>
          <t>332310</t>
        </is>
      </c>
      <c r="C167" s="83" t="n">
        <v>11440</v>
      </c>
      <c r="D167" s="83" t="n">
        <v>411</v>
      </c>
      <c r="E167" s="83" t="n">
        <v>4156</v>
      </c>
      <c r="F167" s="83" t="n">
        <v>55</v>
      </c>
      <c r="H167" s="83">
        <f>F148-G148</f>
        <v/>
      </c>
    </row>
    <row r="168" ht="12.8" customHeight="1" s="82">
      <c r="A168" s="83" t="inlineStr">
        <is>
          <t>Ornamental and architectural metal products manufacturing</t>
        </is>
      </c>
      <c r="B168" s="83" t="inlineStr">
        <is>
          <t>332320</t>
        </is>
      </c>
      <c r="C168" s="83" t="n">
        <v>13208</v>
      </c>
      <c r="D168" s="83" t="n">
        <v>360</v>
      </c>
      <c r="E168" s="83" t="n">
        <v>4299</v>
      </c>
      <c r="F168" s="83" t="n">
        <v>38</v>
      </c>
      <c r="H168" s="83">
        <f>F149-G149</f>
        <v/>
      </c>
    </row>
    <row r="169" ht="12.8" customHeight="1" s="82">
      <c r="A169" s="83" t="inlineStr">
        <is>
          <t>Power boiler and heat exchanger manufacturing</t>
        </is>
      </c>
      <c r="B169" s="83" t="inlineStr">
        <is>
          <t>332410</t>
        </is>
      </c>
      <c r="C169" s="83" t="n">
        <v>1850</v>
      </c>
      <c r="D169" s="83" t="n">
        <v>59</v>
      </c>
      <c r="E169" s="83" t="n">
        <v>1051</v>
      </c>
      <c r="F169" s="83" t="n">
        <v>4</v>
      </c>
      <c r="H169" s="83">
        <f>F150-G150</f>
        <v/>
      </c>
    </row>
    <row r="170" ht="12.8" customHeight="1" s="82">
      <c r="A170" s="83" t="inlineStr">
        <is>
          <t>Metal tank (heavy gauge) manufacturing</t>
        </is>
      </c>
      <c r="B170" s="83" t="inlineStr">
        <is>
          <t>332420</t>
        </is>
      </c>
      <c r="C170" s="83" t="n">
        <v>2549</v>
      </c>
      <c r="D170" s="83" t="n">
        <v>67</v>
      </c>
      <c r="E170" s="83" t="n">
        <v>1018</v>
      </c>
      <c r="F170" s="83" t="n">
        <v>1</v>
      </c>
      <c r="H170" s="83">
        <f>F151-G151</f>
        <v/>
      </c>
    </row>
    <row r="171" ht="12.8" customHeight="1" s="82">
      <c r="A171" s="83" t="inlineStr">
        <is>
          <t>Metal can, box, and other metal container (light gauge) manufacturing</t>
        </is>
      </c>
      <c r="B171" s="83" t="inlineStr">
        <is>
          <t>332430</t>
        </is>
      </c>
      <c r="C171" s="83" t="n">
        <v>3908</v>
      </c>
      <c r="D171" s="83" t="n">
        <v>141</v>
      </c>
      <c r="E171" s="83" t="n">
        <v>2118</v>
      </c>
      <c r="F171" s="83" t="n">
        <v>3</v>
      </c>
      <c r="H171" s="83">
        <f>F152-G152</f>
        <v/>
      </c>
    </row>
    <row r="172" ht="12.8" customHeight="1" s="82">
      <c r="A172" s="83" t="inlineStr">
        <is>
          <t>Hardware manufacturing</t>
        </is>
      </c>
      <c r="B172" s="83" t="inlineStr">
        <is>
          <t>332500</t>
        </is>
      </c>
      <c r="C172" s="83" t="n">
        <v>1987</v>
      </c>
      <c r="D172" s="83" t="n">
        <v>76</v>
      </c>
      <c r="E172" s="83" t="n">
        <v>922</v>
      </c>
      <c r="F172" s="83" t="n">
        <v>2</v>
      </c>
      <c r="H172" s="83">
        <f>F153-G153</f>
        <v/>
      </c>
    </row>
    <row r="173" ht="12.8" customHeight="1" s="82">
      <c r="A173" s="83" t="inlineStr">
        <is>
          <t>Spring and wire product manufacturing</t>
        </is>
      </c>
      <c r="B173" s="83" t="inlineStr">
        <is>
          <t>332600</t>
        </is>
      </c>
      <c r="C173" s="83" t="n">
        <v>2849</v>
      </c>
      <c r="D173" s="83" t="n">
        <v>76</v>
      </c>
      <c r="E173" s="83" t="n">
        <v>875</v>
      </c>
      <c r="F173" s="83" t="n">
        <v>3</v>
      </c>
      <c r="H173" s="83">
        <f>F154-G154</f>
        <v/>
      </c>
    </row>
    <row r="174" ht="12.8" customHeight="1" s="82">
      <c r="A174" s="83" t="inlineStr">
        <is>
          <t>Machine shops</t>
        </is>
      </c>
      <c r="B174" s="83" t="inlineStr">
        <is>
          <t>332710</t>
        </is>
      </c>
      <c r="C174" s="83" t="n">
        <v>16680</v>
      </c>
      <c r="D174" s="83" t="n">
        <v>313</v>
      </c>
      <c r="E174" s="83" t="n">
        <v>2440</v>
      </c>
      <c r="F174" s="83" t="n">
        <v>2</v>
      </c>
      <c r="H174" s="83">
        <f>F155-G155</f>
        <v/>
      </c>
    </row>
    <row r="175" ht="12.8" customHeight="1" s="82">
      <c r="A175" s="83" t="inlineStr">
        <is>
          <t>Turned product and screw, nut, and bolt manufacturing</t>
        </is>
      </c>
      <c r="B175" s="83" t="inlineStr">
        <is>
          <t>332720</t>
        </is>
      </c>
      <c r="C175" s="83" t="n">
        <v>5736</v>
      </c>
      <c r="D175" s="83" t="n">
        <v>260</v>
      </c>
      <c r="E175" s="83" t="n">
        <v>5946</v>
      </c>
      <c r="F175" s="83" t="n">
        <v>16</v>
      </c>
      <c r="H175" s="83">
        <f>F156-G156</f>
        <v/>
      </c>
    </row>
    <row r="176" ht="12.8" customHeight="1" s="82">
      <c r="A176" s="83" t="inlineStr">
        <is>
          <t>Coating, engraving, heat treating and allied activities</t>
        </is>
      </c>
      <c r="B176" s="83" t="inlineStr">
        <is>
          <t>332800</t>
        </is>
      </c>
      <c r="C176" s="83" t="n">
        <v>8249</v>
      </c>
      <c r="D176" s="83" t="n">
        <v>216</v>
      </c>
      <c r="E176" s="83" t="n">
        <v>4006</v>
      </c>
      <c r="F176" s="83" t="n">
        <v>4</v>
      </c>
      <c r="H176" s="83">
        <f>F157-G157</f>
        <v/>
      </c>
    </row>
    <row r="177" ht="12.8" customHeight="1" s="82">
      <c r="A177" s="83" t="inlineStr">
        <is>
          <t>Plumbing fixture fitting and trim manufacturing</t>
        </is>
      </c>
      <c r="B177" s="83" t="inlineStr">
        <is>
          <t>332913</t>
        </is>
      </c>
      <c r="C177" s="83" t="n">
        <v>836</v>
      </c>
      <c r="D177" s="83" t="n">
        <v>46</v>
      </c>
      <c r="E177" s="83" t="n">
        <v>857</v>
      </c>
      <c r="F177" s="83" t="n">
        <v>7</v>
      </c>
      <c r="H177" s="83">
        <f>F158-G158</f>
        <v/>
      </c>
    </row>
    <row r="178" ht="12.8" customHeight="1" s="82">
      <c r="A178" s="83" t="inlineStr">
        <is>
          <t>Valve and fittings other than plumbing</t>
        </is>
      </c>
      <c r="B178" s="83" t="inlineStr">
        <is>
          <t>33291A</t>
        </is>
      </c>
      <c r="C178" s="83" t="n">
        <v>7179</v>
      </c>
      <c r="D178" s="83" t="n">
        <v>216</v>
      </c>
      <c r="E178" s="83" t="n">
        <v>4356</v>
      </c>
      <c r="F178" s="83" t="n">
        <v>18</v>
      </c>
      <c r="H178" s="83">
        <f>F159-G159</f>
        <v/>
      </c>
    </row>
    <row r="179" ht="12.8" customHeight="1" s="82">
      <c r="A179" s="83" t="inlineStr">
        <is>
          <t>Ball and roller bearing manufacturing</t>
        </is>
      </c>
      <c r="B179" s="83" t="inlineStr">
        <is>
          <t>332991</t>
        </is>
      </c>
      <c r="C179" s="83" t="n">
        <v>2122</v>
      </c>
      <c r="D179" s="83" t="n">
        <v>50</v>
      </c>
      <c r="E179" s="83" t="n">
        <v>889</v>
      </c>
      <c r="F179" s="83" t="n">
        <v>1</v>
      </c>
      <c r="H179" s="83">
        <f>F160-G160</f>
        <v/>
      </c>
    </row>
    <row r="180" ht="12.8" customHeight="1" s="82">
      <c r="A180" s="83" t="inlineStr">
        <is>
          <t>Fabricated pipe and pipe fitting manufacturing</t>
        </is>
      </c>
      <c r="B180" s="83" t="inlineStr">
        <is>
          <t>332996</t>
        </is>
      </c>
      <c r="C180" s="83" t="n">
        <v>2316</v>
      </c>
      <c r="D180" s="83" t="n">
        <v>47</v>
      </c>
      <c r="E180" s="83" t="n">
        <v>674</v>
      </c>
      <c r="F180" s="83" t="n">
        <v>4</v>
      </c>
      <c r="H180" s="83">
        <f>F161-G161</f>
        <v/>
      </c>
    </row>
    <row r="181" ht="12.8" customHeight="1" s="82">
      <c r="A181" s="83" t="inlineStr">
        <is>
          <t>Other fabricated metal manufacturing</t>
        </is>
      </c>
      <c r="B181" s="83" t="inlineStr">
        <is>
          <t>332999</t>
        </is>
      </c>
      <c r="C181" s="83" t="n">
        <v>4378</v>
      </c>
      <c r="D181" s="83" t="n">
        <v>113</v>
      </c>
      <c r="E181" s="83" t="n">
        <v>1129</v>
      </c>
      <c r="F181" s="83" t="n">
        <v>9</v>
      </c>
      <c r="H181" s="83">
        <f>F162-G162</f>
        <v/>
      </c>
    </row>
    <row r="182" ht="12.8" customHeight="1" s="82">
      <c r="A182" s="83" t="inlineStr">
        <is>
          <t>Ammunition, arms, ordnance, and accessories manufacturing</t>
        </is>
      </c>
      <c r="B182" s="83" t="inlineStr">
        <is>
          <t>33299A</t>
        </is>
      </c>
      <c r="C182" s="83" t="n">
        <v>3885</v>
      </c>
      <c r="D182" s="83" t="n">
        <v>95</v>
      </c>
      <c r="E182" s="83" t="n">
        <v>2281</v>
      </c>
      <c r="F182" s="83" t="n">
        <v>440</v>
      </c>
      <c r="H182" s="83">
        <f>F163-G163</f>
        <v/>
      </c>
    </row>
    <row r="183" ht="12.8" customHeight="1" s="82">
      <c r="A183" s="83" t="inlineStr">
        <is>
          <t>Farm machinery and equipment manufacturing</t>
        </is>
      </c>
      <c r="B183" s="83" t="inlineStr">
        <is>
          <t>333111</t>
        </is>
      </c>
      <c r="C183" s="83" t="n">
        <v>5737</v>
      </c>
      <c r="D183" s="83" t="n">
        <v>227</v>
      </c>
      <c r="E183" s="83" t="n">
        <v>3770</v>
      </c>
      <c r="F183" s="83" t="n">
        <v>4</v>
      </c>
      <c r="H183" s="83">
        <f>F164-G164</f>
        <v/>
      </c>
    </row>
    <row r="184" ht="12.8" customHeight="1" s="82">
      <c r="A184" s="83" t="inlineStr">
        <is>
          <t>Lawn and garden equipment manufacturing</t>
        </is>
      </c>
      <c r="B184" s="83" t="inlineStr">
        <is>
          <t>333112</t>
        </is>
      </c>
      <c r="C184" s="83" t="n">
        <v>2002</v>
      </c>
      <c r="D184" s="83" t="n">
        <v>69</v>
      </c>
      <c r="E184" s="83" t="n">
        <v>697</v>
      </c>
      <c r="F184" s="83" t="n">
        <v>0</v>
      </c>
      <c r="H184" s="83">
        <f>F165-G165</f>
        <v/>
      </c>
    </row>
    <row r="185" ht="12.8" customHeight="1" s="82">
      <c r="A185" s="83" t="inlineStr">
        <is>
          <t>Construction machinery manufacturing</t>
        </is>
      </c>
      <c r="B185" s="83" t="inlineStr">
        <is>
          <t>333120</t>
        </is>
      </c>
      <c r="C185" s="83" t="n">
        <v>6412</v>
      </c>
      <c r="D185" s="83" t="n">
        <v>302</v>
      </c>
      <c r="E185" s="83" t="n">
        <v>5691</v>
      </c>
      <c r="F185" s="83" t="n">
        <v>16</v>
      </c>
      <c r="H185" s="83">
        <f>F166-G166</f>
        <v/>
      </c>
    </row>
    <row r="186" ht="12.8" customHeight="1" s="82">
      <c r="A186" s="83" t="inlineStr">
        <is>
          <t>Mining and oil and gas field machinery manufacturing</t>
        </is>
      </c>
      <c r="B186" s="83" t="inlineStr">
        <is>
          <t>333130</t>
        </is>
      </c>
      <c r="C186" s="83" t="n">
        <v>5349</v>
      </c>
      <c r="D186" s="83" t="n">
        <v>164</v>
      </c>
      <c r="E186" s="83" t="n">
        <v>645</v>
      </c>
      <c r="F186" s="83" t="n">
        <v>4</v>
      </c>
      <c r="H186" s="83">
        <f>F167-G167</f>
        <v/>
      </c>
    </row>
    <row r="187" ht="12.8" customHeight="1" s="82">
      <c r="A187" s="83" t="inlineStr">
        <is>
          <t>Semiconductor machinery manufacturing</t>
        </is>
      </c>
      <c r="B187" s="83" t="inlineStr">
        <is>
          <t>333242</t>
        </is>
      </c>
      <c r="C187" s="83" t="n">
        <v>4183</v>
      </c>
      <c r="D187" s="83" t="n">
        <v>71</v>
      </c>
      <c r="E187" s="83" t="n">
        <v>959</v>
      </c>
      <c r="F187" s="83" t="n">
        <v>11</v>
      </c>
      <c r="H187" s="83">
        <f>F168-G168</f>
        <v/>
      </c>
    </row>
    <row r="188" ht="12.8" customHeight="1" s="82">
      <c r="A188" s="83" t="inlineStr">
        <is>
          <t>Other industrial machinery manufacturing</t>
        </is>
      </c>
      <c r="B188" s="83" t="inlineStr">
        <is>
          <t>33329A</t>
        </is>
      </c>
      <c r="C188" s="83" t="n">
        <v>7868</v>
      </c>
      <c r="D188" s="83" t="n">
        <v>240</v>
      </c>
      <c r="E188" s="83" t="n">
        <v>3747</v>
      </c>
      <c r="F188" s="83" t="n">
        <v>13</v>
      </c>
      <c r="H188" s="83">
        <f>F169-G169</f>
        <v/>
      </c>
    </row>
    <row r="189" ht="12.8" customHeight="1" s="82">
      <c r="A189" s="83" t="inlineStr">
        <is>
          <t>Optical instrument and lens manufacturing</t>
        </is>
      </c>
      <c r="B189" s="83" t="inlineStr">
        <is>
          <t>333314</t>
        </is>
      </c>
      <c r="C189" s="83" t="n">
        <v>2153</v>
      </c>
      <c r="D189" s="83" t="n">
        <v>43</v>
      </c>
      <c r="E189" s="83" t="n">
        <v>25</v>
      </c>
      <c r="F189" s="83" t="n">
        <v>0</v>
      </c>
      <c r="H189" s="83">
        <f>F170-G170</f>
        <v/>
      </c>
    </row>
    <row r="190" ht="12.8" customHeight="1" s="82">
      <c r="A190" s="83" t="inlineStr">
        <is>
          <t>Photographic and photocopying equipment manufacturing</t>
        </is>
      </c>
      <c r="B190" s="83" t="inlineStr">
        <is>
          <t>333316</t>
        </is>
      </c>
      <c r="C190" s="83" t="n">
        <v>704</v>
      </c>
      <c r="D190" s="83" t="n">
        <v>15</v>
      </c>
      <c r="E190" s="83" t="n">
        <v>54</v>
      </c>
      <c r="F190" s="83" t="n">
        <v>0</v>
      </c>
      <c r="H190" s="83">
        <f>F171-G171</f>
        <v/>
      </c>
    </row>
    <row r="191" ht="12.8" customHeight="1" s="82">
      <c r="A191" s="83" t="inlineStr">
        <is>
          <t>Other commercial and service industry machinery manufacturing</t>
        </is>
      </c>
      <c r="B191" s="83" t="inlineStr">
        <is>
          <t>333318</t>
        </is>
      </c>
      <c r="C191" s="83" t="n">
        <v>5428</v>
      </c>
      <c r="D191" s="83" t="n">
        <v>188</v>
      </c>
      <c r="E191" s="83" t="n">
        <v>2378</v>
      </c>
      <c r="F191" s="83" t="n">
        <v>3</v>
      </c>
      <c r="H191" s="83">
        <f>F172-G172</f>
        <v/>
      </c>
    </row>
    <row r="192" ht="12.8" customHeight="1" s="82">
      <c r="A192" s="83" t="inlineStr">
        <is>
          <t>Industrial and commercial fan and blower and air purification equipment manufacturing</t>
        </is>
      </c>
      <c r="B192" s="83" t="inlineStr">
        <is>
          <t>333413</t>
        </is>
      </c>
      <c r="C192" s="83" t="n">
        <v>2057</v>
      </c>
      <c r="D192" s="83" t="n">
        <v>56</v>
      </c>
      <c r="E192" s="83" t="n">
        <v>418</v>
      </c>
      <c r="F192" s="83" t="n">
        <v>9</v>
      </c>
      <c r="H192" s="83">
        <f>F173-G173</f>
        <v/>
      </c>
    </row>
    <row r="193" ht="12.8" customHeight="1" s="82">
      <c r="A193" s="83" t="inlineStr">
        <is>
          <t>Heating equipment (except warm air furnaces) manufacturing</t>
        </is>
      </c>
      <c r="B193" s="83" t="inlineStr">
        <is>
          <t>333414</t>
        </is>
      </c>
      <c r="C193" s="83" t="n">
        <v>1003</v>
      </c>
      <c r="D193" s="83" t="n">
        <v>42</v>
      </c>
      <c r="E193" s="83" t="n">
        <v>833</v>
      </c>
      <c r="F193" s="83" t="n">
        <v>9</v>
      </c>
      <c r="H193" s="83">
        <f>F174-G174</f>
        <v/>
      </c>
    </row>
    <row r="194" ht="12.8" customHeight="1" s="82">
      <c r="A194" s="83" t="inlineStr">
        <is>
          <t>Air conditioning, refrigeration, and warm air heating equipment manufacturing</t>
        </is>
      </c>
      <c r="B194" s="83" t="inlineStr">
        <is>
          <t>333415</t>
        </is>
      </c>
      <c r="C194" s="83" t="n">
        <v>6400</v>
      </c>
      <c r="D194" s="83" t="n">
        <v>318</v>
      </c>
      <c r="E194" s="83" t="n">
        <v>6250</v>
      </c>
      <c r="F194" s="83" t="n">
        <v>17</v>
      </c>
      <c r="H194" s="83">
        <f>F175-G175</f>
        <v/>
      </c>
    </row>
    <row r="195" ht="12.8" customHeight="1" s="82">
      <c r="A195" s="83" t="inlineStr">
        <is>
          <t>Industrial mold manufacturing</t>
        </is>
      </c>
      <c r="B195" s="83" t="inlineStr">
        <is>
          <t>333511</t>
        </is>
      </c>
      <c r="C195" s="83" t="n">
        <v>2714</v>
      </c>
      <c r="D195" s="83" t="n">
        <v>63</v>
      </c>
      <c r="E195" s="83" t="n">
        <v>244</v>
      </c>
      <c r="F195" s="83" t="n">
        <v>2</v>
      </c>
      <c r="H195" s="83">
        <f>F176-G176</f>
        <v/>
      </c>
    </row>
    <row r="196" ht="12.8" customHeight="1" s="82">
      <c r="A196" s="83" t="inlineStr">
        <is>
          <t>Special tool, die, jig, and fixture manufacturing</t>
        </is>
      </c>
      <c r="B196" s="83" t="inlineStr">
        <is>
          <t>333514</t>
        </is>
      </c>
      <c r="C196" s="83" t="n">
        <v>4659</v>
      </c>
      <c r="D196" s="83" t="n">
        <v>86</v>
      </c>
      <c r="E196" s="83" t="n">
        <v>194</v>
      </c>
      <c r="F196" s="83" t="n">
        <v>10</v>
      </c>
      <c r="H196" s="83">
        <f>F177-G177</f>
        <v/>
      </c>
    </row>
    <row r="197" ht="12.8" customHeight="1" s="82">
      <c r="A197" s="83" t="inlineStr">
        <is>
          <t>Machine tool manufacturing</t>
        </is>
      </c>
      <c r="B197" s="83" t="inlineStr">
        <is>
          <t>333517</t>
        </is>
      </c>
      <c r="C197" s="83" t="n">
        <v>3127</v>
      </c>
      <c r="D197" s="83" t="n">
        <v>73</v>
      </c>
      <c r="E197" s="83" t="n">
        <v>207</v>
      </c>
      <c r="F197" s="83" t="n">
        <v>4</v>
      </c>
      <c r="H197" s="83">
        <f>F178-G178</f>
        <v/>
      </c>
    </row>
    <row r="198" ht="12.8" customHeight="1" s="82">
      <c r="A198" s="83" t="inlineStr">
        <is>
          <t>Cutting and machine tool accessory, rolling mill, and other metalworking machinery manufacturing</t>
        </is>
      </c>
      <c r="B198" s="83" t="inlineStr">
        <is>
          <t>33351B</t>
        </is>
      </c>
      <c r="C198" s="83" t="n">
        <v>2869</v>
      </c>
      <c r="D198" s="83" t="n">
        <v>84</v>
      </c>
      <c r="E198" s="83" t="n">
        <v>666</v>
      </c>
      <c r="F198" s="83" t="n">
        <v>12</v>
      </c>
      <c r="H198" s="83">
        <f>F179-G179</f>
        <v/>
      </c>
    </row>
    <row r="199" ht="12.8" customHeight="1" s="82">
      <c r="A199" s="83" t="inlineStr">
        <is>
          <t>Turbine and turbine generator set units manufacturing</t>
        </is>
      </c>
      <c r="B199" s="83" t="inlineStr">
        <is>
          <t>333611</t>
        </is>
      </c>
      <c r="C199" s="83" t="n">
        <v>2892</v>
      </c>
      <c r="D199" s="83" t="n">
        <v>118</v>
      </c>
      <c r="E199" s="83" t="n">
        <v>2503</v>
      </c>
      <c r="F199" s="83" t="n">
        <v>4</v>
      </c>
      <c r="H199" s="83">
        <f>F180-G180</f>
        <v/>
      </c>
    </row>
    <row r="200" ht="12.8" customHeight="1" s="82">
      <c r="A200" s="83" t="inlineStr">
        <is>
          <t>Speed changer, industrial high-speed drive, and gear manufacturing</t>
        </is>
      </c>
      <c r="B200" s="83" t="inlineStr">
        <is>
          <t>333612</t>
        </is>
      </c>
      <c r="C200" s="83" t="n">
        <v>940</v>
      </c>
      <c r="D200" s="83" t="n">
        <v>30</v>
      </c>
      <c r="E200" s="83" t="n">
        <v>341</v>
      </c>
      <c r="F200" s="83" t="n">
        <v>0</v>
      </c>
      <c r="H200" s="83">
        <f>F181-G181</f>
        <v/>
      </c>
    </row>
    <row r="201" ht="12.8" customHeight="1" s="82">
      <c r="A201" s="83" t="inlineStr">
        <is>
          <t>Mechanical power transmission equipment manufacturing</t>
        </is>
      </c>
      <c r="B201" s="83" t="inlineStr">
        <is>
          <t>333613</t>
        </is>
      </c>
      <c r="C201" s="83" t="n">
        <v>1025</v>
      </c>
      <c r="D201" s="83" t="n">
        <v>47</v>
      </c>
      <c r="E201" s="83" t="n">
        <v>1137</v>
      </c>
      <c r="F201" s="83" t="n">
        <v>0</v>
      </c>
      <c r="H201" s="83">
        <f>F182-G182</f>
        <v/>
      </c>
    </row>
    <row r="202" ht="12.8" customHeight="1" s="82">
      <c r="A202" s="83" t="inlineStr">
        <is>
          <t>Other engine equipment manufacturing</t>
        </is>
      </c>
      <c r="B202" s="83" t="inlineStr">
        <is>
          <t>333618</t>
        </is>
      </c>
      <c r="C202" s="83" t="n">
        <v>4853</v>
      </c>
      <c r="D202" s="83" t="n">
        <v>239</v>
      </c>
      <c r="E202" s="83" t="n">
        <v>1007</v>
      </c>
      <c r="F202" s="83" t="n">
        <v>2</v>
      </c>
      <c r="H202" s="83">
        <f>F183-G183</f>
        <v/>
      </c>
    </row>
    <row r="203" ht="12.8" customHeight="1" s="82">
      <c r="A203" s="83" t="inlineStr">
        <is>
          <t>Air and gas compressor manufacturing</t>
        </is>
      </c>
      <c r="B203" s="83" t="inlineStr">
        <is>
          <t>333912</t>
        </is>
      </c>
      <c r="C203" s="83" t="n">
        <v>1972</v>
      </c>
      <c r="D203" s="83" t="n">
        <v>83</v>
      </c>
      <c r="E203" s="83" t="n">
        <v>1113</v>
      </c>
      <c r="F203" s="83" t="n">
        <v>2</v>
      </c>
      <c r="H203" s="83">
        <f>F184-G184</f>
        <v/>
      </c>
    </row>
    <row r="204" ht="12.8" customHeight="1" s="82">
      <c r="A204" s="83" t="inlineStr">
        <is>
          <t>Measuring, dispensing, and other pumping equipment manufacturing</t>
        </is>
      </c>
      <c r="B204" s="83" t="inlineStr">
        <is>
          <t>333914</t>
        </is>
      </c>
      <c r="C204" s="83" t="n">
        <v>2679</v>
      </c>
      <c r="D204" s="83" t="n">
        <v>171</v>
      </c>
      <c r="E204" s="83" t="n">
        <v>4231</v>
      </c>
      <c r="F204" s="83" t="n">
        <v>18</v>
      </c>
      <c r="H204" s="83">
        <f>F185-G185</f>
        <v/>
      </c>
    </row>
    <row r="205" ht="12.8" customHeight="1" s="82">
      <c r="A205" s="83" t="inlineStr">
        <is>
          <t>Material handling equipment manufacturing</t>
        </is>
      </c>
      <c r="B205" s="83" t="inlineStr">
        <is>
          <t>333920</t>
        </is>
      </c>
      <c r="C205" s="83" t="n">
        <v>6402</v>
      </c>
      <c r="D205" s="83" t="n">
        <v>278</v>
      </c>
      <c r="E205" s="83" t="n">
        <v>4818</v>
      </c>
      <c r="F205" s="83" t="n">
        <v>39</v>
      </c>
      <c r="H205" s="83">
        <f>F186-G186</f>
        <v/>
      </c>
    </row>
    <row r="206" ht="12.8" customHeight="1" s="82">
      <c r="A206" s="83" t="inlineStr">
        <is>
          <t>Power-driven handtool manufacturing</t>
        </is>
      </c>
      <c r="B206" s="83" t="inlineStr">
        <is>
          <t>333991</t>
        </is>
      </c>
      <c r="C206" s="83" t="n">
        <v>769</v>
      </c>
      <c r="D206" s="83" t="n">
        <v>32</v>
      </c>
      <c r="E206" s="83" t="n">
        <v>648</v>
      </c>
      <c r="F206" s="83" t="n">
        <v>7</v>
      </c>
      <c r="H206" s="83">
        <f>F187-G187</f>
        <v/>
      </c>
    </row>
    <row r="207" ht="12.8" customHeight="1" s="82">
      <c r="A207" s="83" t="inlineStr">
        <is>
          <t>Packaging machinery manufacturing</t>
        </is>
      </c>
      <c r="B207" s="83" t="inlineStr">
        <is>
          <t>333993</t>
        </is>
      </c>
      <c r="C207" s="83" t="n">
        <v>1783</v>
      </c>
      <c r="D207" s="83" t="n">
        <v>62</v>
      </c>
      <c r="E207" s="83" t="n">
        <v>967</v>
      </c>
      <c r="F207" s="83" t="n">
        <v>5</v>
      </c>
      <c r="H207" s="83">
        <f>F188-G188</f>
        <v/>
      </c>
    </row>
    <row r="208" ht="12.8" customHeight="1" s="82">
      <c r="A208" s="83" t="inlineStr">
        <is>
          <t>Industrial process furnace and oven manufacturing</t>
        </is>
      </c>
      <c r="B208" s="83" t="inlineStr">
        <is>
          <t>333994</t>
        </is>
      </c>
      <c r="C208" s="83" t="n">
        <v>793</v>
      </c>
      <c r="D208" s="83" t="n">
        <v>24</v>
      </c>
      <c r="E208" s="83" t="n">
        <v>236</v>
      </c>
      <c r="F208" s="83" t="n">
        <v>1</v>
      </c>
      <c r="H208" s="83">
        <f>F189-G189</f>
        <v/>
      </c>
    </row>
    <row r="209" ht="12.8" customHeight="1" s="82">
      <c r="A209" s="83" t="inlineStr">
        <is>
          <t>Other general purpose machinery manufacturing</t>
        </is>
      </c>
      <c r="B209" s="83" t="inlineStr">
        <is>
          <t>33399A</t>
        </is>
      </c>
      <c r="C209" s="83" t="n">
        <v>4891</v>
      </c>
      <c r="D209" s="83" t="n">
        <v>220</v>
      </c>
      <c r="E209" s="83" t="n">
        <v>4325</v>
      </c>
      <c r="F209" s="83" t="n">
        <v>14</v>
      </c>
      <c r="H209" s="83">
        <f>F190-G190</f>
        <v/>
      </c>
    </row>
    <row r="210" ht="12.8" customHeight="1" s="82">
      <c r="A210" s="83" t="inlineStr">
        <is>
          <t>Fluid power process machinery</t>
        </is>
      </c>
      <c r="B210" s="83" t="inlineStr">
        <is>
          <t>33399B</t>
        </is>
      </c>
      <c r="C210" s="83" t="n">
        <v>3117</v>
      </c>
      <c r="D210" s="83" t="n">
        <v>106</v>
      </c>
      <c r="E210" s="83" t="n">
        <v>1078</v>
      </c>
      <c r="F210" s="83" t="n">
        <v>22</v>
      </c>
      <c r="H210" s="83">
        <f>F191-G191</f>
        <v/>
      </c>
    </row>
    <row r="211" ht="12.8" customHeight="1" s="82">
      <c r="A211" s="83" t="inlineStr">
        <is>
          <t>Electronic computer manufacturing</t>
        </is>
      </c>
      <c r="B211" s="83" t="inlineStr">
        <is>
          <t>334111</t>
        </is>
      </c>
      <c r="C211" s="83" t="n">
        <v>7655</v>
      </c>
      <c r="D211" s="83" t="n">
        <v>416</v>
      </c>
      <c r="E211" s="83" t="n">
        <v>4822</v>
      </c>
      <c r="F211" s="83" t="n">
        <v>18</v>
      </c>
      <c r="H211" s="83">
        <f>F192-G192</f>
        <v/>
      </c>
    </row>
    <row r="212" ht="12.8" customHeight="1" s="82">
      <c r="A212" s="83" t="inlineStr">
        <is>
          <t>Computer storage device manufacturing</t>
        </is>
      </c>
      <c r="B212" s="83" t="inlineStr">
        <is>
          <t>334112</t>
        </is>
      </c>
      <c r="C212" s="83" t="n">
        <v>2274</v>
      </c>
      <c r="D212" s="83" t="n">
        <v>106</v>
      </c>
      <c r="E212" s="83" t="n">
        <v>1342</v>
      </c>
      <c r="F212" s="83" t="n">
        <v>3</v>
      </c>
      <c r="H212" s="83">
        <f>F193-G193</f>
        <v/>
      </c>
    </row>
    <row r="213" ht="12.8" customHeight="1" s="82">
      <c r="A213" s="83" t="inlineStr">
        <is>
          <t>Computer terminals and other computer peripheral equipment manufacturing</t>
        </is>
      </c>
      <c r="B213" s="83" t="inlineStr">
        <is>
          <t>334118</t>
        </is>
      </c>
      <c r="C213" s="83" t="n">
        <v>3272</v>
      </c>
      <c r="D213" s="83" t="n">
        <v>219</v>
      </c>
      <c r="E213" s="83" t="n">
        <v>2215</v>
      </c>
      <c r="F213" s="83" t="n">
        <v>12</v>
      </c>
      <c r="H213" s="83">
        <f>F194-G194</f>
        <v/>
      </c>
    </row>
    <row r="214" ht="12.8" customHeight="1" s="82">
      <c r="A214" s="83" t="inlineStr">
        <is>
          <t>Telephone apparatus manufacturing</t>
        </is>
      </c>
      <c r="B214" s="83" t="inlineStr">
        <is>
          <t>334210</t>
        </is>
      </c>
      <c r="C214" s="83" t="n">
        <v>2971</v>
      </c>
      <c r="D214" s="83" t="n">
        <v>164</v>
      </c>
      <c r="E214" s="83" t="n">
        <v>2002</v>
      </c>
      <c r="F214" s="83" t="n">
        <v>5</v>
      </c>
      <c r="H214" s="83">
        <f>F195-G195</f>
        <v/>
      </c>
    </row>
    <row r="215" ht="12.8" customHeight="1" s="82">
      <c r="A215" s="83" t="inlineStr">
        <is>
          <t>Broadcast and wireless communications equipment</t>
        </is>
      </c>
      <c r="B215" s="83" t="inlineStr">
        <is>
          <t>334220</t>
        </is>
      </c>
      <c r="C215" s="83" t="n">
        <v>12673</v>
      </c>
      <c r="D215" s="83" t="n">
        <v>675</v>
      </c>
      <c r="E215" s="83" t="n">
        <v>7477</v>
      </c>
      <c r="F215" s="83" t="n">
        <v>1</v>
      </c>
      <c r="H215" s="83">
        <f>F196-G196</f>
        <v/>
      </c>
    </row>
    <row r="216" ht="12.8" customHeight="1" s="82">
      <c r="A216" s="83" t="inlineStr">
        <is>
          <t>Other communications equipment manufacturing</t>
        </is>
      </c>
      <c r="B216" s="83" t="inlineStr">
        <is>
          <t>334290</t>
        </is>
      </c>
      <c r="C216" s="83" t="n">
        <v>2233</v>
      </c>
      <c r="D216" s="83" t="n">
        <v>135</v>
      </c>
      <c r="E216" s="83" t="n">
        <v>1381</v>
      </c>
      <c r="F216" s="83" t="n">
        <v>8</v>
      </c>
      <c r="H216" s="83">
        <f>F197-G197</f>
        <v/>
      </c>
    </row>
    <row r="217" ht="12.8" customHeight="1" s="82">
      <c r="A217" s="83" t="inlineStr">
        <is>
          <t>Audio and video equipment manufacturing</t>
        </is>
      </c>
      <c r="B217" s="83" t="inlineStr">
        <is>
          <t>334300</t>
        </is>
      </c>
      <c r="C217" s="83" t="n">
        <v>1159</v>
      </c>
      <c r="D217" s="83" t="n">
        <v>71</v>
      </c>
      <c r="E217" s="83" t="n">
        <v>791</v>
      </c>
      <c r="F217" s="83" t="n">
        <v>12</v>
      </c>
      <c r="H217" s="83">
        <f>F198-G198</f>
        <v/>
      </c>
    </row>
    <row r="218" ht="12.8" customHeight="1" s="82">
      <c r="A218" s="83" t="inlineStr">
        <is>
          <t>Semiconductor and related device manufacturing</t>
        </is>
      </c>
      <c r="B218" s="83" t="inlineStr">
        <is>
          <t>334413</t>
        </is>
      </c>
      <c r="C218" s="83" t="n">
        <v>26798</v>
      </c>
      <c r="D218" s="83" t="n">
        <v>1420</v>
      </c>
      <c r="E218" s="83" t="n">
        <v>20266</v>
      </c>
      <c r="F218" s="83" t="n">
        <v>59</v>
      </c>
      <c r="H218" s="83">
        <f>F199-G199</f>
        <v/>
      </c>
    </row>
    <row r="219" ht="12.8" customHeight="1" s="82">
      <c r="A219" s="83" t="inlineStr">
        <is>
          <t>Printed circuit assembly (electronic assembly) manufacturing</t>
        </is>
      </c>
      <c r="B219" s="83" t="inlineStr">
        <is>
          <t>334418</t>
        </is>
      </c>
      <c r="C219" s="83" t="n">
        <v>8431</v>
      </c>
      <c r="D219" s="83" t="n">
        <v>367</v>
      </c>
      <c r="E219" s="83" t="n">
        <v>5078</v>
      </c>
      <c r="F219" s="83" t="n">
        <v>42</v>
      </c>
      <c r="H219" s="83">
        <f>F200-G200</f>
        <v/>
      </c>
    </row>
    <row r="220" ht="12.8" customHeight="1" s="82">
      <c r="A220" s="83" t="inlineStr">
        <is>
          <t>Other electronic component manufacturing</t>
        </is>
      </c>
      <c r="B220" s="83" t="inlineStr">
        <is>
          <t>33441A</t>
        </is>
      </c>
      <c r="C220" s="83" t="n">
        <v>16720</v>
      </c>
      <c r="D220" s="83" t="n">
        <v>703</v>
      </c>
      <c r="E220" s="83" t="n">
        <v>3628</v>
      </c>
      <c r="F220" s="83" t="n">
        <v>39</v>
      </c>
      <c r="H220" s="83">
        <f>F201-G201</f>
        <v/>
      </c>
    </row>
    <row r="221" ht="12.8" customHeight="1" s="82">
      <c r="A221" s="83" t="inlineStr">
        <is>
          <t>Electromedical and electrotherapeutic apparatus manufacturing</t>
        </is>
      </c>
      <c r="B221" s="83" t="inlineStr">
        <is>
          <t>334510</t>
        </is>
      </c>
      <c r="C221" s="83" t="n">
        <v>11072</v>
      </c>
      <c r="D221" s="83" t="n">
        <v>832</v>
      </c>
      <c r="E221" s="83" t="n">
        <v>9488</v>
      </c>
      <c r="F221" s="83" t="n">
        <v>104</v>
      </c>
      <c r="H221" s="83">
        <f>F202-G202</f>
        <v/>
      </c>
    </row>
    <row r="222" ht="12.8" customHeight="1" s="82">
      <c r="A222" s="83" t="inlineStr">
        <is>
          <t>Search, detection, and navigation instruments manufacturing</t>
        </is>
      </c>
      <c r="B222" s="83" t="inlineStr">
        <is>
          <t>334511</t>
        </is>
      </c>
      <c r="C222" s="83" t="n">
        <v>23071</v>
      </c>
      <c r="D222" s="83" t="n">
        <v>1206</v>
      </c>
      <c r="E222" s="83" t="n">
        <v>15138</v>
      </c>
      <c r="F222" s="83" t="n">
        <v>19</v>
      </c>
      <c r="H222" s="83">
        <f>F203-G203</f>
        <v/>
      </c>
    </row>
    <row r="223" ht="12.8" customHeight="1" s="82">
      <c r="A223" s="83" t="inlineStr">
        <is>
          <t>Automatic environmental control manufacturing</t>
        </is>
      </c>
      <c r="B223" s="83" t="inlineStr">
        <is>
          <t>334512</t>
        </is>
      </c>
      <c r="C223" s="83" t="n">
        <v>1467</v>
      </c>
      <c r="D223" s="83" t="n">
        <v>75</v>
      </c>
      <c r="E223" s="83" t="n">
        <v>829</v>
      </c>
      <c r="F223" s="83" t="n">
        <v>4</v>
      </c>
      <c r="H223" s="83">
        <f>F204-G204</f>
        <v/>
      </c>
    </row>
    <row r="224" ht="12.8" customHeight="1" s="82">
      <c r="A224" s="83" t="inlineStr">
        <is>
          <t>Industrial process variable instruments manufacturing</t>
        </is>
      </c>
      <c r="B224" s="83" t="inlineStr">
        <is>
          <t>334513</t>
        </is>
      </c>
      <c r="C224" s="83" t="n">
        <v>8013</v>
      </c>
      <c r="D224" s="83" t="n">
        <v>257</v>
      </c>
      <c r="E224" s="83" t="n">
        <v>405</v>
      </c>
      <c r="F224" s="83" t="n">
        <v>7</v>
      </c>
      <c r="H224" s="83">
        <f>F205-G205</f>
        <v/>
      </c>
    </row>
    <row r="225" ht="12.8" customHeight="1" s="82">
      <c r="A225" s="83" t="inlineStr">
        <is>
          <t>Totalizing fluid meter and counting device manufacturing</t>
        </is>
      </c>
      <c r="B225" s="83" t="inlineStr">
        <is>
          <t>334514</t>
        </is>
      </c>
      <c r="C225" s="83" t="n">
        <v>1559</v>
      </c>
      <c r="D225" s="83" t="n">
        <v>140</v>
      </c>
      <c r="E225" s="83" t="n">
        <v>1497</v>
      </c>
      <c r="F225" s="83" t="n">
        <v>10</v>
      </c>
      <c r="H225" s="83">
        <f>F206-G206</f>
        <v/>
      </c>
    </row>
    <row r="226" ht="12.8" customHeight="1" s="82">
      <c r="A226" s="83" t="inlineStr">
        <is>
          <t>Electricity and signal testing instruments manufacturing</t>
        </is>
      </c>
      <c r="B226" s="83" t="inlineStr">
        <is>
          <t>334515</t>
        </is>
      </c>
      <c r="C226" s="83" t="n">
        <v>4816</v>
      </c>
      <c r="D226" s="83" t="n">
        <v>275</v>
      </c>
      <c r="E226" s="83" t="n">
        <v>3048</v>
      </c>
      <c r="F226" s="83" t="n">
        <v>4</v>
      </c>
      <c r="H226" s="83">
        <f>F207-G207</f>
        <v/>
      </c>
    </row>
    <row r="227" ht="12.8" customHeight="1" s="82">
      <c r="A227" s="83" t="inlineStr">
        <is>
          <t>Analytical laboratory instrument manufacturing</t>
        </is>
      </c>
      <c r="B227" s="83" t="inlineStr">
        <is>
          <t>334516</t>
        </is>
      </c>
      <c r="C227" s="83" t="n">
        <v>6764</v>
      </c>
      <c r="D227" s="83" t="n">
        <v>370</v>
      </c>
      <c r="E227" s="83" t="n">
        <v>4026</v>
      </c>
      <c r="F227" s="83" t="n">
        <v>19</v>
      </c>
      <c r="H227" s="83">
        <f>F208-G208</f>
        <v/>
      </c>
    </row>
    <row r="228" ht="12.8" customHeight="1" s="82">
      <c r="A228" s="83" t="inlineStr">
        <is>
          <t>Irradiation apparatus manufacturing</t>
        </is>
      </c>
      <c r="B228" s="83" t="inlineStr">
        <is>
          <t>334517</t>
        </is>
      </c>
      <c r="C228" s="83" t="n">
        <v>3723</v>
      </c>
      <c r="D228" s="83" t="n">
        <v>226</v>
      </c>
      <c r="E228" s="83" t="n">
        <v>2412</v>
      </c>
      <c r="F228" s="83" t="n">
        <v>6</v>
      </c>
      <c r="H228" s="83">
        <f>F209-G209</f>
        <v/>
      </c>
    </row>
    <row r="229" ht="12.8" customHeight="1" s="82">
      <c r="A229" s="83" t="inlineStr">
        <is>
          <t>Watch, clock, and other measuring and controlling device manufacturing</t>
        </is>
      </c>
      <c r="B229" s="83" t="inlineStr">
        <is>
          <t>33451A</t>
        </is>
      </c>
      <c r="C229" s="83" t="n">
        <v>5166</v>
      </c>
      <c r="D229" s="83" t="n">
        <v>302</v>
      </c>
      <c r="E229" s="83" t="n">
        <v>3338</v>
      </c>
      <c r="F229" s="83" t="n">
        <v>6</v>
      </c>
      <c r="H229" s="83">
        <f>F210-G210</f>
        <v/>
      </c>
    </row>
    <row r="230" ht="12.8" customHeight="1" s="82">
      <c r="A230" s="83" t="inlineStr">
        <is>
          <t>Manufacturing and reproducing magnetic and optical media</t>
        </is>
      </c>
      <c r="B230" s="83" t="inlineStr">
        <is>
          <t>334610</t>
        </is>
      </c>
      <c r="C230" s="83" t="n">
        <v>869</v>
      </c>
      <c r="D230" s="83" t="n">
        <v>45</v>
      </c>
      <c r="E230" s="83" t="n">
        <v>471</v>
      </c>
      <c r="F230" s="83" t="n">
        <v>1</v>
      </c>
      <c r="H230" s="83">
        <f>F211-G211</f>
        <v/>
      </c>
    </row>
    <row r="231" ht="12.8" customHeight="1" s="82">
      <c r="A231" s="83" t="inlineStr">
        <is>
          <t>Electric lamp bulb and part manufacturing</t>
        </is>
      </c>
      <c r="B231" s="83" t="inlineStr">
        <is>
          <t>335110</t>
        </is>
      </c>
      <c r="C231" s="83" t="n">
        <v>803</v>
      </c>
      <c r="D231" s="83" t="n">
        <v>13</v>
      </c>
      <c r="E231" s="83" t="n">
        <v>48</v>
      </c>
      <c r="F231" s="83" t="n">
        <v>3</v>
      </c>
      <c r="H231" s="83">
        <f>F212-G212</f>
        <v/>
      </c>
    </row>
    <row r="232" ht="12.8" customHeight="1" s="82">
      <c r="A232" s="83" t="inlineStr">
        <is>
          <t>Lighting fixture manufacturing</t>
        </is>
      </c>
      <c r="B232" s="83" t="inlineStr">
        <is>
          <t>335120</t>
        </is>
      </c>
      <c r="C232" s="83" t="n">
        <v>3406</v>
      </c>
      <c r="D232" s="83" t="n">
        <v>116</v>
      </c>
      <c r="E232" s="83" t="n">
        <v>2112</v>
      </c>
      <c r="F232" s="83" t="n">
        <v>24</v>
      </c>
      <c r="H232" s="83">
        <f>F213-G213</f>
        <v/>
      </c>
    </row>
    <row r="233" ht="12.8" customHeight="1" s="82">
      <c r="A233" s="83" t="inlineStr">
        <is>
          <t>Small electrical appliance manufacturing</t>
        </is>
      </c>
      <c r="B233" s="83" t="inlineStr">
        <is>
          <t>335210</t>
        </is>
      </c>
      <c r="C233" s="83" t="n">
        <v>1002</v>
      </c>
      <c r="D233" s="83" t="n">
        <v>33</v>
      </c>
      <c r="E233" s="83" t="n">
        <v>889</v>
      </c>
      <c r="F233" s="83" t="n">
        <v>10</v>
      </c>
      <c r="H233" s="83">
        <f>F214-G214</f>
        <v/>
      </c>
    </row>
    <row r="234" ht="12.8" customHeight="1" s="82">
      <c r="A234" s="83" t="inlineStr">
        <is>
          <t>Major household appliance manufacturing</t>
        </is>
      </c>
      <c r="B234" s="83" t="inlineStr">
        <is>
          <t>335220</t>
        </is>
      </c>
      <c r="C234" s="83" t="n">
        <v>4761</v>
      </c>
      <c r="D234" s="83" t="n">
        <v>173</v>
      </c>
      <c r="E234" s="83" t="n">
        <v>4282</v>
      </c>
      <c r="F234" s="83" t="n">
        <v>14</v>
      </c>
      <c r="H234" s="83">
        <f>F215-G215</f>
        <v/>
      </c>
    </row>
    <row r="235" ht="12.8" customHeight="1" s="82">
      <c r="A235" s="83" t="inlineStr">
        <is>
          <t>Power, distribution, and specialty transformer manufacturing</t>
        </is>
      </c>
      <c r="B235" s="83" t="inlineStr">
        <is>
          <t>335311</t>
        </is>
      </c>
      <c r="C235" s="83" t="n">
        <v>2472</v>
      </c>
      <c r="D235" s="83" t="n">
        <v>45</v>
      </c>
      <c r="E235" s="83" t="n">
        <v>420</v>
      </c>
      <c r="F235" s="83" t="n">
        <v>3</v>
      </c>
      <c r="H235" s="83">
        <f>F216-G216</f>
        <v/>
      </c>
    </row>
    <row r="236" ht="12.8" customHeight="1" s="82">
      <c r="A236" s="83" t="inlineStr">
        <is>
          <t>Motor and generator manufacturing</t>
        </is>
      </c>
      <c r="B236" s="83" t="inlineStr">
        <is>
          <t>335312</t>
        </is>
      </c>
      <c r="C236" s="83" t="n">
        <v>3097</v>
      </c>
      <c r="D236" s="83" t="n">
        <v>89</v>
      </c>
      <c r="E236" s="83" t="n">
        <v>761</v>
      </c>
      <c r="F236" s="83" t="n">
        <v>4</v>
      </c>
      <c r="H236" s="83">
        <f>F217-G217</f>
        <v/>
      </c>
    </row>
    <row r="237" ht="12.8" customHeight="1" s="82">
      <c r="A237" s="83" t="inlineStr">
        <is>
          <t>Switchgear and switchboard apparatus manufacturing</t>
        </is>
      </c>
      <c r="B237" s="83" t="inlineStr">
        <is>
          <t>335313</t>
        </is>
      </c>
      <c r="C237" s="83" t="n">
        <v>3309</v>
      </c>
      <c r="D237" s="83" t="n">
        <v>114</v>
      </c>
      <c r="E237" s="83" t="n">
        <v>2026</v>
      </c>
      <c r="F237" s="83" t="n">
        <v>14</v>
      </c>
      <c r="H237" s="83">
        <f>F218-G218</f>
        <v/>
      </c>
    </row>
    <row r="238" ht="12.8" customHeight="1" s="82">
      <c r="A238" s="83" t="inlineStr">
        <is>
          <t>Relay and industrial control manufacturing</t>
        </is>
      </c>
      <c r="B238" s="83" t="inlineStr">
        <is>
          <t>335314</t>
        </is>
      </c>
      <c r="C238" s="83" t="n">
        <v>4911</v>
      </c>
      <c r="D238" s="83" t="n">
        <v>96</v>
      </c>
      <c r="E238" s="83" t="n">
        <v>139</v>
      </c>
      <c r="F238" s="83" t="n">
        <v>5</v>
      </c>
      <c r="H238" s="83">
        <f>F219-G219</f>
        <v/>
      </c>
    </row>
    <row r="239" ht="12.8" customHeight="1" s="82">
      <c r="A239" s="83" t="inlineStr">
        <is>
          <t>Storage battery manufacturing</t>
        </is>
      </c>
      <c r="B239" s="83" t="inlineStr">
        <is>
          <t>335911</t>
        </is>
      </c>
      <c r="C239" s="83" t="n">
        <v>1839</v>
      </c>
      <c r="D239" s="83" t="n">
        <v>68</v>
      </c>
      <c r="E239" s="83" t="n">
        <v>742</v>
      </c>
      <c r="F239" s="83" t="n">
        <v>6</v>
      </c>
      <c r="H239" s="83">
        <f>F220-G220</f>
        <v/>
      </c>
    </row>
    <row r="240" ht="12.8" customHeight="1" s="82">
      <c r="A240" s="83" t="inlineStr">
        <is>
          <t>Primary battery manufacturing</t>
        </is>
      </c>
      <c r="B240" s="83" t="inlineStr">
        <is>
          <t>335912</t>
        </is>
      </c>
      <c r="C240" s="83" t="n">
        <v>1086</v>
      </c>
      <c r="D240" s="83" t="n">
        <v>14</v>
      </c>
      <c r="E240" s="83" t="n">
        <v>689</v>
      </c>
      <c r="F240" s="83" t="n">
        <v>0</v>
      </c>
      <c r="G240" s="83" t="n">
        <v>264</v>
      </c>
      <c r="H240" s="83">
        <f>F221-G221</f>
        <v/>
      </c>
    </row>
    <row r="241" ht="12.8" customHeight="1" s="82">
      <c r="A241" s="83" t="inlineStr">
        <is>
          <t>Communication and energy wire and cable manufacturing</t>
        </is>
      </c>
      <c r="B241" s="83" t="inlineStr">
        <is>
          <t>335920</t>
        </is>
      </c>
      <c r="C241" s="83" t="n">
        <v>2330</v>
      </c>
      <c r="D241" s="83" t="n">
        <v>102</v>
      </c>
      <c r="E241" s="83" t="n">
        <v>1476</v>
      </c>
      <c r="F241" s="83" t="n">
        <v>7</v>
      </c>
      <c r="H241" s="83">
        <f>F222-G222</f>
        <v/>
      </c>
    </row>
    <row r="242" ht="12.8" customHeight="1" s="82">
      <c r="A242" s="83" t="inlineStr">
        <is>
          <t>Wiring device manufacturing</t>
        </is>
      </c>
      <c r="B242" s="83" t="inlineStr">
        <is>
          <t>335930</t>
        </is>
      </c>
      <c r="C242" s="83" t="n">
        <v>3960</v>
      </c>
      <c r="D242" s="83" t="n">
        <v>130</v>
      </c>
      <c r="E242" s="83" t="n">
        <v>3754</v>
      </c>
      <c r="F242" s="83" t="n">
        <v>16</v>
      </c>
      <c r="H242" s="83">
        <f>F223-G223</f>
        <v/>
      </c>
    </row>
    <row r="243" ht="12.8" customHeight="1" s="82">
      <c r="A243" s="83" t="inlineStr">
        <is>
          <t>Carbon and graphite product manufacturing</t>
        </is>
      </c>
      <c r="B243" s="83" t="inlineStr">
        <is>
          <t>335991</t>
        </is>
      </c>
      <c r="C243" s="83" t="n">
        <v>715</v>
      </c>
      <c r="D243" s="83" t="n">
        <v>30</v>
      </c>
      <c r="E243" s="83" t="n">
        <v>1131</v>
      </c>
      <c r="F243" s="83" t="n">
        <v>5</v>
      </c>
      <c r="H243" s="83">
        <f>F224-G224</f>
        <v/>
      </c>
    </row>
    <row r="244" ht="12.8" customHeight="1" s="82">
      <c r="A244" s="83" t="inlineStr">
        <is>
          <t>All other miscellaneous electrical equipment and component manufacturing</t>
        </is>
      </c>
      <c r="B244" s="83" t="inlineStr">
        <is>
          <t>335999</t>
        </is>
      </c>
      <c r="C244" s="83" t="n">
        <v>2767</v>
      </c>
      <c r="D244" s="83" t="n">
        <v>99</v>
      </c>
      <c r="E244" s="83" t="n">
        <v>1731</v>
      </c>
      <c r="F244" s="83" t="n">
        <v>1</v>
      </c>
      <c r="H244" s="83">
        <f>F225-G225</f>
        <v/>
      </c>
    </row>
    <row r="245" ht="12.8" customHeight="1" s="82">
      <c r="A245" s="83" t="inlineStr">
        <is>
          <t>Automobile manufacturing</t>
        </is>
      </c>
      <c r="B245" s="83" t="inlineStr">
        <is>
          <t>336111</t>
        </is>
      </c>
      <c r="C245" s="83" t="n">
        <v>6382</v>
      </c>
      <c r="D245" s="83" t="n">
        <v>376</v>
      </c>
      <c r="E245" s="83" t="n">
        <v>5192</v>
      </c>
      <c r="F245" s="83" t="n">
        <v>26</v>
      </c>
      <c r="H245" s="83">
        <f>F226-G226</f>
        <v/>
      </c>
    </row>
    <row r="246" ht="12.8" customHeight="1" s="82">
      <c r="A246" s="83" t="inlineStr">
        <is>
          <t>Light truck and utility vehicle manufacturing</t>
        </is>
      </c>
      <c r="B246" s="83" t="inlineStr">
        <is>
          <t>336112</t>
        </is>
      </c>
      <c r="C246" s="83" t="n">
        <v>14210</v>
      </c>
      <c r="D246" s="83" t="n">
        <v>1366</v>
      </c>
      <c r="E246" s="83" t="n">
        <v>40156</v>
      </c>
      <c r="F246" s="83" t="n">
        <v>0</v>
      </c>
      <c r="H246" s="83">
        <f>F227-G227</f>
        <v/>
      </c>
    </row>
    <row r="247" ht="12.8" customHeight="1" s="82">
      <c r="A247" s="83" t="inlineStr">
        <is>
          <t>Heavy duty truck manufacturing</t>
        </is>
      </c>
      <c r="B247" s="83" t="inlineStr">
        <is>
          <t>336120</t>
        </is>
      </c>
      <c r="C247" s="83" t="n">
        <v>2619</v>
      </c>
      <c r="D247" s="83" t="n">
        <v>128</v>
      </c>
      <c r="E247" s="83" t="n">
        <v>2845</v>
      </c>
      <c r="F247" s="83" t="n">
        <v>3</v>
      </c>
      <c r="H247" s="83">
        <f>F228-G228</f>
        <v/>
      </c>
    </row>
    <row r="248" ht="12.8" customHeight="1" s="82">
      <c r="A248" s="83" t="inlineStr">
        <is>
          <t>Motor vehicle body manufacturing</t>
        </is>
      </c>
      <c r="B248" s="83" t="inlineStr">
        <is>
          <t>336211</t>
        </is>
      </c>
      <c r="C248" s="83" t="n">
        <v>3658</v>
      </c>
      <c r="D248" s="83" t="n">
        <v>76</v>
      </c>
      <c r="E248" s="83" t="n">
        <v>385</v>
      </c>
      <c r="F248" s="83" t="n">
        <v>6</v>
      </c>
      <c r="H248" s="83">
        <f>F229-G229</f>
        <v/>
      </c>
    </row>
    <row r="249" ht="12.8" customHeight="1" s="82">
      <c r="A249" s="83" t="inlineStr">
        <is>
          <t>Truck trailer manufacturing</t>
        </is>
      </c>
      <c r="B249" s="83" t="inlineStr">
        <is>
          <t>336212</t>
        </is>
      </c>
      <c r="C249" s="83" t="n">
        <v>2103</v>
      </c>
      <c r="D249" s="83" t="n">
        <v>53</v>
      </c>
      <c r="E249" s="83" t="n">
        <v>721</v>
      </c>
      <c r="F249" s="83" t="n">
        <v>2</v>
      </c>
      <c r="H249" s="83">
        <f>F230-G230</f>
        <v/>
      </c>
    </row>
    <row r="250" ht="12.8" customHeight="1" s="82">
      <c r="A250" s="83" t="inlineStr">
        <is>
          <t>Motor home manufacturing</t>
        </is>
      </c>
      <c r="B250" s="83" t="inlineStr">
        <is>
          <t>336213</t>
        </is>
      </c>
      <c r="C250" s="83" t="n">
        <v>1318</v>
      </c>
      <c r="D250" s="83" t="n">
        <v>27</v>
      </c>
      <c r="E250" s="83" t="n">
        <v>24</v>
      </c>
      <c r="F250" s="83" t="n">
        <v>0</v>
      </c>
      <c r="H250" s="83">
        <f>F231-G231</f>
        <v/>
      </c>
    </row>
    <row r="251" ht="12.8" customHeight="1" s="82">
      <c r="A251" s="83" t="inlineStr">
        <is>
          <t>Travel trailer and camper manufacturing</t>
        </is>
      </c>
      <c r="B251" s="83" t="inlineStr">
        <is>
          <t>336214</t>
        </is>
      </c>
      <c r="C251" s="83" t="n">
        <v>2885</v>
      </c>
      <c r="D251" s="83" t="n">
        <v>85</v>
      </c>
      <c r="E251" s="83" t="n">
        <v>3094</v>
      </c>
      <c r="F251" s="83" t="n">
        <v>3</v>
      </c>
      <c r="H251" s="83">
        <f>F232-G232</f>
        <v/>
      </c>
    </row>
    <row r="252" ht="12.8" customHeight="1" s="82">
      <c r="A252" s="83" t="inlineStr">
        <is>
          <t>Motor vehicle gasoline engine and engine parts manufacturing</t>
        </is>
      </c>
      <c r="B252" s="83" t="inlineStr">
        <is>
          <t>336310</t>
        </is>
      </c>
      <c r="C252" s="83" t="n">
        <v>5110</v>
      </c>
      <c r="D252" s="83" t="n">
        <v>203</v>
      </c>
      <c r="E252" s="83" t="n">
        <v>3493</v>
      </c>
      <c r="F252" s="83" t="n">
        <v>10</v>
      </c>
      <c r="H252" s="83">
        <f>F233-G233</f>
        <v/>
      </c>
    </row>
    <row r="253" ht="12.8" customHeight="1" s="82">
      <c r="A253" s="83" t="inlineStr">
        <is>
          <t>Motor vehicle electrical and electronic equipment manufacturing</t>
        </is>
      </c>
      <c r="B253" s="83" t="inlineStr">
        <is>
          <t>336320</t>
        </is>
      </c>
      <c r="C253" s="83" t="n">
        <v>4364</v>
      </c>
      <c r="D253" s="83" t="n">
        <v>122</v>
      </c>
      <c r="E253" s="83" t="n">
        <v>1857</v>
      </c>
      <c r="F253" s="83" t="n">
        <v>24</v>
      </c>
      <c r="H253" s="83">
        <f>F234-G234</f>
        <v/>
      </c>
    </row>
    <row r="254" ht="12.8" customHeight="1" s="82">
      <c r="A254" s="83" t="inlineStr">
        <is>
          <t>Motor vehicle transmission and power train parts manufacturing</t>
        </is>
      </c>
      <c r="B254" s="83" t="inlineStr">
        <is>
          <t>336350</t>
        </is>
      </c>
      <c r="C254" s="83" t="n">
        <v>7132</v>
      </c>
      <c r="D254" s="83" t="n">
        <v>210</v>
      </c>
      <c r="E254" s="83" t="n">
        <v>5151</v>
      </c>
      <c r="F254" s="83" t="n">
        <v>13</v>
      </c>
      <c r="H254" s="83">
        <f>F235-G235</f>
        <v/>
      </c>
    </row>
    <row r="255" ht="12.8" customHeight="1" s="82">
      <c r="A255" s="83" t="inlineStr">
        <is>
          <t>Motor vehicle seating and interior trim manufacturing</t>
        </is>
      </c>
      <c r="B255" s="83" t="inlineStr">
        <is>
          <t>336360</t>
        </is>
      </c>
      <c r="C255" s="83" t="n">
        <v>4702</v>
      </c>
      <c r="D255" s="83" t="n">
        <v>161</v>
      </c>
      <c r="E255" s="83" t="n">
        <v>3241</v>
      </c>
      <c r="F255" s="83" t="n">
        <v>0</v>
      </c>
      <c r="H255" s="83">
        <f>F236-G236</f>
        <v/>
      </c>
    </row>
    <row r="256" ht="12.8" customHeight="1" s="82">
      <c r="A256" s="83" t="inlineStr">
        <is>
          <t>Motor vehicle metal stamping</t>
        </is>
      </c>
      <c r="B256" s="83" t="inlineStr">
        <is>
          <t>336370</t>
        </is>
      </c>
      <c r="C256" s="83" t="n">
        <v>6486</v>
      </c>
      <c r="D256" s="83" t="n">
        <v>192</v>
      </c>
      <c r="E256" s="83" t="n">
        <v>4501</v>
      </c>
      <c r="F256" s="83" t="n">
        <v>12</v>
      </c>
      <c r="H256" s="83">
        <f>F237-G237</f>
        <v/>
      </c>
    </row>
    <row r="257" ht="12.8" customHeight="1" s="82">
      <c r="A257" s="83" t="inlineStr">
        <is>
          <t>Other motor vehicle parts manufacturing</t>
        </is>
      </c>
      <c r="B257" s="83" t="inlineStr">
        <is>
          <t>336390</t>
        </is>
      </c>
      <c r="C257" s="83" t="n">
        <v>9975</v>
      </c>
      <c r="D257" s="83" t="n">
        <v>337</v>
      </c>
      <c r="E257" s="83" t="n">
        <v>7606</v>
      </c>
      <c r="F257" s="83" t="n">
        <v>91</v>
      </c>
      <c r="H257" s="83">
        <f>F238-G238</f>
        <v/>
      </c>
    </row>
    <row r="258" ht="12.8" customHeight="1" s="82">
      <c r="A258" s="83" t="inlineStr">
        <is>
          <t>Motor vehicle steering, suspension component (except spring), and brake systems manufacturing</t>
        </is>
      </c>
      <c r="B258" s="83" t="inlineStr">
        <is>
          <t>3363A0</t>
        </is>
      </c>
      <c r="C258" s="83" t="n">
        <v>4394</v>
      </c>
      <c r="D258" s="83" t="n">
        <v>143</v>
      </c>
      <c r="E258" s="83" t="n">
        <v>1829</v>
      </c>
      <c r="F258" s="83" t="n">
        <v>23</v>
      </c>
      <c r="H258" s="83">
        <f>F239-G239</f>
        <v/>
      </c>
    </row>
    <row r="259" ht="12.8" customHeight="1" s="82">
      <c r="A259" s="83" t="inlineStr">
        <is>
          <t>Aircraft manufacturing</t>
        </is>
      </c>
      <c r="B259" s="83" t="inlineStr">
        <is>
          <t>336411</t>
        </is>
      </c>
      <c r="C259" s="83" t="n">
        <v>29130</v>
      </c>
      <c r="D259" s="83" t="n">
        <v>1185</v>
      </c>
      <c r="E259" s="83" t="n">
        <v>44108</v>
      </c>
      <c r="F259" s="83" t="n">
        <v>29</v>
      </c>
      <c r="H259" s="83">
        <f>F240-G240</f>
        <v/>
      </c>
    </row>
    <row r="260" ht="12.8" customHeight="1" s="82">
      <c r="A260" s="83" t="inlineStr">
        <is>
          <t>Aircraft engine and engine parts manufacturing</t>
        </is>
      </c>
      <c r="B260" s="83" t="inlineStr">
        <is>
          <t>336412</t>
        </is>
      </c>
      <c r="C260" s="83" t="n">
        <v>9060</v>
      </c>
      <c r="D260" s="83" t="n">
        <v>311</v>
      </c>
      <c r="E260" s="83" t="n">
        <v>8994</v>
      </c>
      <c r="F260" s="83" t="n">
        <v>24</v>
      </c>
      <c r="H260" s="83">
        <f>F241-G241</f>
        <v/>
      </c>
    </row>
    <row r="261" ht="12.8" customHeight="1" s="82">
      <c r="A261" s="83" t="inlineStr">
        <is>
          <t>Other aircraft parts and auxiliary equipment manufacturing</t>
        </is>
      </c>
      <c r="B261" s="83" t="inlineStr">
        <is>
          <t>336413</t>
        </is>
      </c>
      <c r="C261" s="83" t="n">
        <v>9554</v>
      </c>
      <c r="D261" s="83" t="n">
        <v>293</v>
      </c>
      <c r="E261" s="83" t="n">
        <v>7669</v>
      </c>
      <c r="F261" s="83" t="n">
        <v>8</v>
      </c>
      <c r="H261" s="83">
        <f>F242-G242</f>
        <v/>
      </c>
    </row>
    <row r="262" ht="12.8" customHeight="1" s="82">
      <c r="A262" s="83" t="inlineStr">
        <is>
          <t>Guided missile and space vehicle manufacturing</t>
        </is>
      </c>
      <c r="B262" s="83" t="inlineStr">
        <is>
          <t>336414</t>
        </is>
      </c>
      <c r="C262" s="83" t="n">
        <v>9833</v>
      </c>
      <c r="D262" s="83" t="n">
        <v>163</v>
      </c>
      <c r="E262" s="83" t="n">
        <v>81</v>
      </c>
      <c r="F262" s="83" t="n">
        <v>0</v>
      </c>
      <c r="H262" s="83">
        <f>F243-G243</f>
        <v/>
      </c>
    </row>
    <row r="263" ht="12.8" customHeight="1" s="82">
      <c r="A263" s="83" t="inlineStr">
        <is>
          <t>Propulsion units and parts for space vehicles and guided missiles</t>
        </is>
      </c>
      <c r="B263" s="83" t="inlineStr">
        <is>
          <t>33641A</t>
        </is>
      </c>
      <c r="C263" s="83" t="n">
        <v>1973</v>
      </c>
      <c r="D263" s="83" t="n">
        <v>78</v>
      </c>
      <c r="E263" s="83" t="n">
        <v>430</v>
      </c>
      <c r="F263" s="83" t="n">
        <v>0</v>
      </c>
      <c r="H263" s="83">
        <f>F244-G244</f>
        <v/>
      </c>
    </row>
    <row r="264" ht="12.8" customHeight="1" s="82">
      <c r="A264" s="83" t="inlineStr">
        <is>
          <t>Railroad rolling stock manufacturing</t>
        </is>
      </c>
      <c r="B264" s="83" t="inlineStr">
        <is>
          <t>336500</t>
        </is>
      </c>
      <c r="C264" s="83" t="n">
        <v>1480</v>
      </c>
      <c r="D264" s="83" t="n">
        <v>105</v>
      </c>
      <c r="E264" s="83" t="n">
        <v>1550</v>
      </c>
      <c r="F264" s="83" t="n">
        <v>2</v>
      </c>
      <c r="H264" s="83">
        <f>F245-G245</f>
        <v/>
      </c>
    </row>
    <row r="265" ht="12.8" customHeight="1" s="82">
      <c r="A265" s="83" t="inlineStr">
        <is>
          <t>Ship building and repairing</t>
        </is>
      </c>
      <c r="B265" s="83" t="inlineStr">
        <is>
          <t>336611</t>
        </is>
      </c>
      <c r="C265" s="83" t="n">
        <v>10395</v>
      </c>
      <c r="D265" s="83" t="n">
        <v>219</v>
      </c>
      <c r="E265" s="83" t="n">
        <v>1610</v>
      </c>
      <c r="F265" s="83" t="n">
        <v>0</v>
      </c>
      <c r="H265" s="83">
        <f>F246-G246</f>
        <v/>
      </c>
    </row>
    <row r="266" ht="12.8" customHeight="1" s="82">
      <c r="A266" s="83" t="inlineStr">
        <is>
          <t>Boat building</t>
        </is>
      </c>
      <c r="B266" s="83" t="inlineStr">
        <is>
          <t>336612</t>
        </is>
      </c>
      <c r="C266" s="83" t="n">
        <v>2055</v>
      </c>
      <c r="D266" s="83" t="n">
        <v>95</v>
      </c>
      <c r="E266" s="83" t="n">
        <v>581</v>
      </c>
      <c r="F266" s="83" t="n">
        <v>18</v>
      </c>
      <c r="H266" s="83">
        <f>F247-G247</f>
        <v/>
      </c>
    </row>
    <row r="267" ht="12.8" customHeight="1" s="82">
      <c r="A267" s="83" t="inlineStr">
        <is>
          <t>Motorcycle, bicycle, and parts manufacturing</t>
        </is>
      </c>
      <c r="B267" s="83" t="inlineStr">
        <is>
          <t>336991</t>
        </is>
      </c>
      <c r="C267" s="83" t="n">
        <v>2188</v>
      </c>
      <c r="D267" s="83" t="n">
        <v>57</v>
      </c>
      <c r="E267" s="83" t="n">
        <v>1466</v>
      </c>
      <c r="F267" s="83" t="n">
        <v>1</v>
      </c>
      <c r="H267" s="83">
        <f>F248-G248</f>
        <v/>
      </c>
    </row>
    <row r="268" ht="12.8" customHeight="1" s="82">
      <c r="A268" s="83" t="inlineStr">
        <is>
          <t>Military armored vehicle, tank, and tank component manufacturing</t>
        </is>
      </c>
      <c r="B268" s="83" t="inlineStr">
        <is>
          <t>336992</t>
        </is>
      </c>
      <c r="C268" s="83" t="n">
        <v>1840</v>
      </c>
      <c r="D268" s="83" t="n">
        <v>63</v>
      </c>
      <c r="E268" s="83" t="n">
        <v>1488</v>
      </c>
      <c r="F268" s="83" t="n">
        <v>17</v>
      </c>
      <c r="H268" s="83">
        <f>F249-G249</f>
        <v/>
      </c>
    </row>
    <row r="269" ht="12.8" customHeight="1" s="82">
      <c r="A269" s="83" t="inlineStr">
        <is>
          <t>All other transportation equipment manufacturing</t>
        </is>
      </c>
      <c r="B269" s="83" t="inlineStr">
        <is>
          <t>336999</t>
        </is>
      </c>
      <c r="C269" s="83" t="n">
        <v>1457</v>
      </c>
      <c r="D269" s="83" t="n">
        <v>72</v>
      </c>
      <c r="E269" s="83" t="n">
        <v>1229</v>
      </c>
      <c r="F269" s="83" t="n">
        <v>1</v>
      </c>
      <c r="H269" s="83">
        <f>F250-G250</f>
        <v/>
      </c>
    </row>
    <row r="270" ht="12.8" customHeight="1" s="82">
      <c r="A270" s="83" t="inlineStr">
        <is>
          <t>Wood kitchen cabinet and countertop manufacturing</t>
        </is>
      </c>
      <c r="B270" s="83" t="inlineStr">
        <is>
          <t>337110</t>
        </is>
      </c>
      <c r="C270" s="83" t="n">
        <v>6033</v>
      </c>
      <c r="D270" s="83" t="n">
        <v>74</v>
      </c>
      <c r="E270" s="83" t="n">
        <v>623</v>
      </c>
      <c r="F270" s="83" t="n">
        <v>1</v>
      </c>
      <c r="H270" s="83">
        <f>F251-G251</f>
        <v/>
      </c>
    </row>
    <row r="271" ht="12.8" customHeight="1" s="82">
      <c r="A271" s="83" t="inlineStr">
        <is>
          <t>Upholstered household furniture manufacturing</t>
        </is>
      </c>
      <c r="B271" s="83" t="inlineStr">
        <is>
          <t>337121</t>
        </is>
      </c>
      <c r="C271" s="83" t="n">
        <v>2962</v>
      </c>
      <c r="D271" s="83" t="n">
        <v>63</v>
      </c>
      <c r="E271" s="83" t="n">
        <v>1182</v>
      </c>
      <c r="F271" s="83" t="n">
        <v>9</v>
      </c>
      <c r="H271" s="83">
        <f>F252-G252</f>
        <v/>
      </c>
    </row>
    <row r="272" ht="12.8" customHeight="1" s="82">
      <c r="A272" s="83" t="inlineStr">
        <is>
          <t>Nonupholstered wood household furniture manufacturing</t>
        </is>
      </c>
      <c r="B272" s="83" t="inlineStr">
        <is>
          <t>337122</t>
        </is>
      </c>
      <c r="C272" s="83" t="n">
        <v>1502</v>
      </c>
      <c r="D272" s="83" t="n">
        <v>17</v>
      </c>
      <c r="E272" s="83" t="n">
        <v>91</v>
      </c>
      <c r="F272" s="83" t="n">
        <v>3</v>
      </c>
      <c r="H272" s="83">
        <f>F253-G253</f>
        <v/>
      </c>
    </row>
    <row r="273" ht="12.8" customHeight="1" s="82">
      <c r="A273" s="83" t="inlineStr">
        <is>
          <t>Institutional furniture manufacturing</t>
        </is>
      </c>
      <c r="B273" s="83" t="inlineStr">
        <is>
          <t>337127</t>
        </is>
      </c>
      <c r="C273" s="83" t="n">
        <v>1514</v>
      </c>
      <c r="D273" s="83" t="n">
        <v>24</v>
      </c>
      <c r="E273" s="83" t="n">
        <v>380</v>
      </c>
      <c r="F273" s="83" t="n">
        <v>3</v>
      </c>
      <c r="H273" s="83">
        <f>F254-G254</f>
        <v/>
      </c>
    </row>
    <row r="274" ht="12.8" customHeight="1" s="82">
      <c r="A274" s="83" t="inlineStr">
        <is>
          <t>Other household nonupholstered furniture</t>
        </is>
      </c>
      <c r="B274" s="83" t="inlineStr">
        <is>
          <t>33712N</t>
        </is>
      </c>
      <c r="C274" s="83" t="n">
        <v>638</v>
      </c>
      <c r="D274" s="83" t="n">
        <v>16</v>
      </c>
      <c r="E274" s="83" t="n">
        <v>320</v>
      </c>
      <c r="F274" s="83" t="n">
        <v>6</v>
      </c>
      <c r="H274" s="83">
        <f>F255-G255</f>
        <v/>
      </c>
    </row>
    <row r="275" ht="12.8" customHeight="1" s="82">
      <c r="A275" s="83" t="inlineStr">
        <is>
          <t>Showcase, partition, shelving, and locker manufacturing</t>
        </is>
      </c>
      <c r="B275" s="83" t="inlineStr">
        <is>
          <t>337215</t>
        </is>
      </c>
      <c r="C275" s="83" t="n">
        <v>2698</v>
      </c>
      <c r="D275" s="83" t="n">
        <v>35</v>
      </c>
      <c r="E275" s="83" t="n">
        <v>288</v>
      </c>
      <c r="F275" s="83" t="n">
        <v>7</v>
      </c>
      <c r="H275" s="83">
        <f>F256-G256</f>
        <v/>
      </c>
    </row>
    <row r="276" ht="12.8" customHeight="1" s="82">
      <c r="A276" s="83" t="inlineStr">
        <is>
          <t>Office furniture and custom architectural woodwork and millwork manufacturing</t>
        </is>
      </c>
      <c r="B276" s="83" t="inlineStr">
        <is>
          <t>33721A</t>
        </is>
      </c>
      <c r="C276" s="83" t="n">
        <v>4556</v>
      </c>
      <c r="D276" s="83" t="n">
        <v>97</v>
      </c>
      <c r="E276" s="83" t="n">
        <v>2456</v>
      </c>
      <c r="F276" s="83" t="n">
        <v>11</v>
      </c>
      <c r="H276" s="83">
        <f>F257-G257</f>
        <v/>
      </c>
    </row>
    <row r="277" ht="12.8" customHeight="1" s="82">
      <c r="A277" s="83" t="inlineStr">
        <is>
          <t>Other furniture related product manufacturing</t>
        </is>
      </c>
      <c r="B277" s="83" t="inlineStr">
        <is>
          <t>337900</t>
        </is>
      </c>
      <c r="C277" s="83" t="n">
        <v>2055</v>
      </c>
      <c r="D277" s="83" t="n">
        <v>49</v>
      </c>
      <c r="E277" s="83" t="n">
        <v>1181</v>
      </c>
      <c r="F277" s="83" t="n">
        <v>3</v>
      </c>
      <c r="H277" s="83">
        <f>F258-G258</f>
        <v/>
      </c>
    </row>
    <row r="278" ht="12.8" customHeight="1" s="82">
      <c r="A278" s="83" t="inlineStr">
        <is>
          <t>Surgical and medical instrument manufacturing</t>
        </is>
      </c>
      <c r="B278" s="83" t="inlineStr">
        <is>
          <t>339112</t>
        </is>
      </c>
      <c r="C278" s="83" t="n">
        <v>15116</v>
      </c>
      <c r="D278" s="83" t="n">
        <v>418</v>
      </c>
      <c r="E278" s="83" t="n">
        <v>11929</v>
      </c>
      <c r="F278" s="83" t="n">
        <v>21</v>
      </c>
      <c r="H278" s="83">
        <f>F259-G259</f>
        <v/>
      </c>
    </row>
    <row r="279" ht="12.8" customHeight="1" s="82">
      <c r="A279" s="83" t="inlineStr">
        <is>
          <t>Surgical appliance and supplies manufacturing</t>
        </is>
      </c>
      <c r="B279" s="83" t="inlineStr">
        <is>
          <t>339113</t>
        </is>
      </c>
      <c r="C279" s="83" t="n">
        <v>11166</v>
      </c>
      <c r="D279" s="83" t="n">
        <v>345</v>
      </c>
      <c r="E279" s="83" t="n">
        <v>9031</v>
      </c>
      <c r="F279" s="83" t="n">
        <v>51</v>
      </c>
      <c r="H279" s="83">
        <f>F260-G260</f>
        <v/>
      </c>
    </row>
    <row r="280" ht="12.8" customHeight="1" s="82">
      <c r="A280" s="83" t="inlineStr">
        <is>
          <t>Dental equipment and supplies manufacturing</t>
        </is>
      </c>
      <c r="B280" s="83" t="inlineStr">
        <is>
          <t>339114</t>
        </is>
      </c>
      <c r="C280" s="83" t="n">
        <v>1477</v>
      </c>
      <c r="D280" s="83" t="n">
        <v>50</v>
      </c>
      <c r="E280" s="83" t="n">
        <v>966</v>
      </c>
      <c r="F280" s="83" t="n">
        <v>10</v>
      </c>
      <c r="H280" s="83">
        <f>F261-G261</f>
        <v/>
      </c>
    </row>
    <row r="281" ht="12.8" customHeight="1" s="82">
      <c r="A281" s="83" t="inlineStr">
        <is>
          <t>Ophthalmic goods manufacturing</t>
        </is>
      </c>
      <c r="B281" s="83" t="inlineStr">
        <is>
          <t>339115</t>
        </is>
      </c>
      <c r="C281" s="83" t="n">
        <v>2289</v>
      </c>
      <c r="D281" s="83" t="n">
        <v>63</v>
      </c>
      <c r="E281" s="83" t="n">
        <v>1651</v>
      </c>
      <c r="F281" s="83" t="n">
        <v>13</v>
      </c>
      <c r="H281" s="83">
        <f>F262-G262</f>
        <v/>
      </c>
    </row>
    <row r="282" ht="12.8" customHeight="1" s="82">
      <c r="A282" s="83" t="inlineStr">
        <is>
          <t>Dental laboratories</t>
        </is>
      </c>
      <c r="B282" s="83" t="inlineStr">
        <is>
          <t>339116</t>
        </is>
      </c>
      <c r="C282" s="83" t="n">
        <v>2680</v>
      </c>
      <c r="D282" s="83" t="n">
        <v>59</v>
      </c>
      <c r="E282" s="83" t="n">
        <v>380</v>
      </c>
      <c r="F282" s="83" t="n">
        <v>1</v>
      </c>
      <c r="H282" s="83">
        <f>F263-G263</f>
        <v/>
      </c>
    </row>
    <row r="283" ht="12.8" customHeight="1" s="82">
      <c r="A283" s="83" t="inlineStr">
        <is>
          <t>Jewelry and silverware manufacturing</t>
        </is>
      </c>
      <c r="B283" s="83" t="inlineStr">
        <is>
          <t>339910</t>
        </is>
      </c>
      <c r="C283" s="83" t="n">
        <v>1723</v>
      </c>
      <c r="D283" s="83" t="n">
        <v>79</v>
      </c>
      <c r="E283" s="83" t="n">
        <v>1115</v>
      </c>
      <c r="F283" s="83" t="n">
        <v>5</v>
      </c>
      <c r="H283" s="83">
        <f>F264-G264</f>
        <v/>
      </c>
    </row>
    <row r="284" ht="12.8" customHeight="1" s="82">
      <c r="A284" s="83" t="inlineStr">
        <is>
          <t>Sporting and athletic goods manufacturing</t>
        </is>
      </c>
      <c r="B284" s="83" t="inlineStr">
        <is>
          <t>339920</t>
        </is>
      </c>
      <c r="C284" s="83" t="n">
        <v>3403</v>
      </c>
      <c r="D284" s="83" t="n">
        <v>103</v>
      </c>
      <c r="E284" s="83" t="n">
        <v>1276</v>
      </c>
      <c r="F284" s="83" t="n">
        <v>108</v>
      </c>
      <c r="H284" s="83">
        <f>F265-G265</f>
        <v/>
      </c>
    </row>
    <row r="285" ht="12.8" customHeight="1" s="82">
      <c r="A285" s="83" t="inlineStr">
        <is>
          <t>Doll, toy, and game manufacturing</t>
        </is>
      </c>
      <c r="B285" s="83" t="inlineStr">
        <is>
          <t>339930</t>
        </is>
      </c>
      <c r="C285" s="83" t="n">
        <v>1139</v>
      </c>
      <c r="D285" s="83" t="n">
        <v>15</v>
      </c>
      <c r="E285" s="83" t="n">
        <v>149</v>
      </c>
      <c r="F285" s="83" t="n">
        <v>2</v>
      </c>
      <c r="H285" s="83">
        <f>F266-G266</f>
        <v/>
      </c>
    </row>
    <row r="286" ht="12.8" customHeight="1" s="82">
      <c r="A286" s="83" t="inlineStr">
        <is>
          <t>Office supplies (except paper) manufacturing</t>
        </is>
      </c>
      <c r="B286" s="83" t="inlineStr">
        <is>
          <t>339940</t>
        </is>
      </c>
      <c r="C286" s="83" t="n">
        <v>791</v>
      </c>
      <c r="D286" s="83" t="n">
        <v>29</v>
      </c>
      <c r="E286" s="83" t="n">
        <v>138</v>
      </c>
      <c r="F286" s="83" t="n">
        <v>3</v>
      </c>
      <c r="H286" s="83">
        <f>F267-G267</f>
        <v/>
      </c>
    </row>
    <row r="287" ht="12.8" customHeight="1" s="82">
      <c r="A287" s="83" t="inlineStr">
        <is>
          <t>Sign manufacturing</t>
        </is>
      </c>
      <c r="B287" s="83" t="inlineStr">
        <is>
          <t>339950</t>
        </is>
      </c>
      <c r="C287" s="83" t="n">
        <v>5201</v>
      </c>
      <c r="D287" s="83" t="n">
        <v>142</v>
      </c>
      <c r="E287" s="83" t="n">
        <v>594</v>
      </c>
      <c r="F287" s="83" t="n">
        <v>2</v>
      </c>
      <c r="H287" s="83">
        <f>F268-G268</f>
        <v/>
      </c>
    </row>
    <row r="288" ht="12.8" customHeight="1" s="82">
      <c r="A288" s="83" t="inlineStr">
        <is>
          <t>All other miscellaneous manufacturing</t>
        </is>
      </c>
      <c r="B288" s="83" t="inlineStr">
        <is>
          <t>339990</t>
        </is>
      </c>
      <c r="C288" s="83" t="n">
        <v>8819</v>
      </c>
      <c r="D288" s="83" t="n">
        <v>260</v>
      </c>
      <c r="E288" s="83" t="n">
        <v>3783</v>
      </c>
      <c r="F288" s="83" t="n">
        <v>12</v>
      </c>
      <c r="H288" s="83">
        <f>F269-G269</f>
        <v/>
      </c>
    </row>
    <row r="289" ht="12.8" customHeight="1" s="82">
      <c r="A289" s="83" t="inlineStr">
        <is>
          <t>Customs duties</t>
        </is>
      </c>
      <c r="B289" s="83" t="inlineStr">
        <is>
          <t>4200ID</t>
        </is>
      </c>
      <c r="D289" s="83" t="n">
        <v>0</v>
      </c>
      <c r="F289" s="83" t="n">
        <v>38513</v>
      </c>
      <c r="H289" s="83">
        <f>F270-G270</f>
        <v/>
      </c>
    </row>
    <row r="290" ht="12.8" customHeight="1" s="82">
      <c r="A290" s="83" t="inlineStr">
        <is>
          <t>Motor vehicle and motor vehicle parts and supplies</t>
        </is>
      </c>
      <c r="B290" s="83" t="inlineStr">
        <is>
          <t>423100</t>
        </is>
      </c>
      <c r="C290" s="83" t="n">
        <v>28670</v>
      </c>
      <c r="D290" s="83" t="n">
        <v>965</v>
      </c>
      <c r="E290" s="83" t="n">
        <v>33161</v>
      </c>
      <c r="F290" s="83" t="n">
        <v>5256</v>
      </c>
      <c r="H290" s="83">
        <f>F271-G271</f>
        <v/>
      </c>
    </row>
    <row r="291" ht="12.8" customHeight="1" s="82">
      <c r="A291" s="83" t="inlineStr">
        <is>
          <t>Professional and commercial equipment and supplies</t>
        </is>
      </c>
      <c r="B291" s="83" t="inlineStr">
        <is>
          <t>423400</t>
        </is>
      </c>
      <c r="C291" s="83" t="n">
        <v>81746</v>
      </c>
      <c r="D291" s="83" t="n">
        <v>1238</v>
      </c>
      <c r="E291" s="83" t="n">
        <v>33508</v>
      </c>
      <c r="F291" s="83" t="n">
        <v>7063</v>
      </c>
      <c r="H291" s="83">
        <f>F272-G272</f>
        <v/>
      </c>
    </row>
    <row r="292" ht="12.8" customHeight="1" s="82">
      <c r="A292" s="83" t="inlineStr">
        <is>
          <t xml:space="preserve">Household appliances and electrical and electronic goods </t>
        </is>
      </c>
      <c r="B292" s="83" t="inlineStr">
        <is>
          <t>423600</t>
        </is>
      </c>
      <c r="C292" s="83" t="n">
        <v>45681</v>
      </c>
      <c r="D292" s="83" t="n">
        <v>1569</v>
      </c>
      <c r="E292" s="83" t="n">
        <v>62785</v>
      </c>
      <c r="F292" s="83" t="n">
        <v>6991</v>
      </c>
      <c r="H292" s="83">
        <f>F273-G273</f>
        <v/>
      </c>
    </row>
    <row r="293" ht="12.8" customHeight="1" s="82">
      <c r="A293" s="83" t="inlineStr">
        <is>
          <t>Machinery, equipment, and supplies</t>
        </is>
      </c>
      <c r="B293" s="83" t="inlineStr">
        <is>
          <t>423800</t>
        </is>
      </c>
      <c r="C293" s="83" t="n">
        <v>63904</v>
      </c>
      <c r="D293" s="83" t="n">
        <v>1088</v>
      </c>
      <c r="E293" s="83" t="n">
        <v>32627</v>
      </c>
      <c r="F293" s="83" t="n">
        <v>7743</v>
      </c>
      <c r="H293" s="83">
        <f>F274-G274</f>
        <v/>
      </c>
    </row>
    <row r="294" ht="12.8" customHeight="1" s="82">
      <c r="A294" s="83" t="inlineStr">
        <is>
          <t>Other durable goods merchant wholesalers</t>
        </is>
      </c>
      <c r="B294" s="83" t="inlineStr">
        <is>
          <t>423A00</t>
        </is>
      </c>
      <c r="C294" s="83" t="n">
        <v>76780</v>
      </c>
      <c r="D294" s="83" t="n">
        <v>1749</v>
      </c>
      <c r="E294" s="83" t="n">
        <v>58493</v>
      </c>
      <c r="F294" s="83" t="n">
        <v>16113</v>
      </c>
      <c r="H294" s="83">
        <f>F275-G275</f>
        <v/>
      </c>
    </row>
    <row r="295" ht="12.8" customHeight="1" s="82">
      <c r="A295" s="83" t="inlineStr">
        <is>
          <t>Drugs and druggists sundries</t>
        </is>
      </c>
      <c r="B295" s="83" t="inlineStr">
        <is>
          <t>424200</t>
        </is>
      </c>
      <c r="C295" s="83" t="n">
        <v>43090</v>
      </c>
      <c r="D295" s="83" t="n">
        <v>1340</v>
      </c>
      <c r="E295" s="83" t="n">
        <v>59997</v>
      </c>
      <c r="F295" s="83" t="n">
        <v>2783</v>
      </c>
      <c r="H295" s="83">
        <f>F276-G276</f>
        <v/>
      </c>
    </row>
    <row r="296" ht="12.8" customHeight="1" s="82">
      <c r="A296" s="83" t="inlineStr">
        <is>
          <t xml:space="preserve">Grocery and related product wholesalers </t>
        </is>
      </c>
      <c r="B296" s="83" t="inlineStr">
        <is>
          <t>424400</t>
        </is>
      </c>
      <c r="C296" s="83" t="n">
        <v>55047</v>
      </c>
      <c r="D296" s="83" t="n">
        <v>1123</v>
      </c>
      <c r="E296" s="83" t="n">
        <v>36990</v>
      </c>
      <c r="F296" s="83" t="n">
        <v>2363</v>
      </c>
      <c r="H296" s="83">
        <f>F277-G277</f>
        <v/>
      </c>
    </row>
    <row r="297" ht="12.8" customHeight="1" s="82">
      <c r="A297" s="83" t="inlineStr">
        <is>
          <t>Petroleum and petroleum products</t>
        </is>
      </c>
      <c r="B297" s="83" t="inlineStr">
        <is>
          <t>424700</t>
        </is>
      </c>
      <c r="C297" s="83" t="n">
        <v>16763</v>
      </c>
      <c r="D297" s="83" t="n">
        <v>966</v>
      </c>
      <c r="E297" s="83" t="n">
        <v>17682</v>
      </c>
      <c r="F297" s="83" t="n">
        <v>88362</v>
      </c>
      <c r="H297" s="83">
        <f>F278-G278</f>
        <v/>
      </c>
    </row>
    <row r="298" ht="12.8" customHeight="1" s="82">
      <c r="A298" s="83" t="inlineStr">
        <is>
          <t>Other nondurable goods merchant wholesalers</t>
        </is>
      </c>
      <c r="B298" s="83" t="inlineStr">
        <is>
          <t>424A00</t>
        </is>
      </c>
      <c r="C298" s="83" t="n">
        <v>97018</v>
      </c>
      <c r="D298" s="83" t="n">
        <v>2325</v>
      </c>
      <c r="E298" s="83" t="n">
        <v>77766</v>
      </c>
      <c r="F298" s="83" t="n">
        <v>35487</v>
      </c>
      <c r="H298" s="83">
        <f>F279-G279</f>
        <v/>
      </c>
    </row>
    <row r="299" ht="12.8" customHeight="1" s="82">
      <c r="A299" s="83" t="inlineStr">
        <is>
          <t>Wholesale electronic markets and agents and brokers</t>
        </is>
      </c>
      <c r="B299" s="83" t="inlineStr">
        <is>
          <t>425000</t>
        </is>
      </c>
      <c r="C299" s="83" t="n">
        <v>24242</v>
      </c>
      <c r="D299" s="83" t="n">
        <v>296</v>
      </c>
      <c r="E299" s="83" t="n">
        <v>6829</v>
      </c>
      <c r="F299" s="83" t="n">
        <v>33</v>
      </c>
      <c r="H299" s="83">
        <f>F280-G280</f>
        <v/>
      </c>
    </row>
    <row r="300" ht="12.8" customHeight="1" s="82">
      <c r="A300" s="83" t="inlineStr">
        <is>
          <t>Motor vehicle and parts dealers</t>
        </is>
      </c>
      <c r="B300" s="83" t="inlineStr">
        <is>
          <t>441000</t>
        </is>
      </c>
      <c r="C300" s="83" t="n">
        <v>118071</v>
      </c>
      <c r="D300" s="83" t="n">
        <v>3108</v>
      </c>
      <c r="E300" s="83" t="n">
        <v>68657</v>
      </c>
      <c r="F300" s="83" t="n">
        <v>45947</v>
      </c>
      <c r="G300" s="83" t="n">
        <v>0</v>
      </c>
      <c r="H300" s="83">
        <f>F281-G281</f>
        <v/>
      </c>
    </row>
    <row r="301" ht="12.8" customHeight="1" s="82">
      <c r="A301" s="83" t="inlineStr">
        <is>
          <t>Building material and garden equipment and supplies dealers</t>
        </is>
      </c>
      <c r="B301" s="83" t="inlineStr">
        <is>
          <t>444000</t>
        </is>
      </c>
      <c r="C301" s="83" t="n">
        <v>52804</v>
      </c>
      <c r="D301" s="83" t="n">
        <v>1921</v>
      </c>
      <c r="E301" s="83" t="n">
        <v>27879</v>
      </c>
      <c r="F301" s="83" t="n">
        <v>21701</v>
      </c>
      <c r="H301" s="83">
        <f>F282-G282</f>
        <v/>
      </c>
    </row>
    <row r="302" ht="12.8" customHeight="1" s="82">
      <c r="A302" s="83" t="inlineStr">
        <is>
          <t>Food and beverage stores</t>
        </is>
      </c>
      <c r="B302" s="83" t="inlineStr">
        <is>
          <t>445000</t>
        </is>
      </c>
      <c r="C302" s="83" t="n">
        <v>96461</v>
      </c>
      <c r="D302" s="83" t="n">
        <v>3223</v>
      </c>
      <c r="E302" s="83" t="n">
        <v>40131</v>
      </c>
      <c r="F302" s="83" t="n">
        <v>22253</v>
      </c>
      <c r="H302" s="83">
        <f>F283-G283</f>
        <v/>
      </c>
    </row>
    <row r="303" ht="12.8" customHeight="1" s="82">
      <c r="A303" s="83" t="inlineStr">
        <is>
          <t>Health and personal care stores</t>
        </is>
      </c>
      <c r="B303" s="83" t="inlineStr">
        <is>
          <t>446000</t>
        </is>
      </c>
      <c r="C303" s="83" t="n">
        <v>50169</v>
      </c>
      <c r="D303" s="83" t="n">
        <v>1479</v>
      </c>
      <c r="E303" s="83" t="n">
        <v>13624</v>
      </c>
      <c r="F303" s="83" t="n">
        <v>6833</v>
      </c>
      <c r="H303" s="83">
        <f>F284-G284</f>
        <v/>
      </c>
    </row>
    <row r="304" ht="12.8" customHeight="1" s="82">
      <c r="A304" s="83" t="inlineStr">
        <is>
          <t>Gasoline stations</t>
        </is>
      </c>
      <c r="B304" s="83" t="inlineStr">
        <is>
          <t>447000</t>
        </is>
      </c>
      <c r="C304" s="83" t="n">
        <v>24942</v>
      </c>
      <c r="D304" s="83" t="n">
        <v>1419</v>
      </c>
      <c r="E304" s="83" t="n">
        <v>21627</v>
      </c>
      <c r="F304" s="83" t="n">
        <v>12963</v>
      </c>
      <c r="H304" s="83">
        <f>F285-G285</f>
        <v/>
      </c>
    </row>
    <row r="305" ht="12.8" customHeight="1" s="82">
      <c r="A305" s="83" t="inlineStr">
        <is>
          <t>Clothing and clothing accessories stores</t>
        </is>
      </c>
      <c r="B305" s="83" t="inlineStr">
        <is>
          <t>448000</t>
        </is>
      </c>
      <c r="C305" s="83" t="n">
        <v>37806</v>
      </c>
      <c r="D305" s="83" t="n">
        <v>1833</v>
      </c>
      <c r="E305" s="83" t="n">
        <v>13408</v>
      </c>
      <c r="F305" s="83" t="n">
        <v>17160</v>
      </c>
      <c r="H305" s="83">
        <f>F286-G286</f>
        <v/>
      </c>
    </row>
    <row r="306" ht="12.8" customHeight="1" s="82">
      <c r="A306" s="83" t="inlineStr">
        <is>
          <t>General merchandise stores</t>
        </is>
      </c>
      <c r="B306" s="83" t="inlineStr">
        <is>
          <t>452000</t>
        </is>
      </c>
      <c r="C306" s="83" t="n">
        <v>93086</v>
      </c>
      <c r="D306" s="83" t="n">
        <v>2493</v>
      </c>
      <c r="E306" s="83" t="n">
        <v>18546</v>
      </c>
      <c r="F306" s="83" t="n">
        <v>37990</v>
      </c>
      <c r="H306" s="83">
        <f>F287-G287</f>
        <v/>
      </c>
    </row>
    <row r="307" ht="12.8" customHeight="1" s="82">
      <c r="A307" s="83" t="inlineStr">
        <is>
          <t>Nonstore retailers</t>
        </is>
      </c>
      <c r="B307" s="83" t="inlineStr">
        <is>
          <t>454000</t>
        </is>
      </c>
      <c r="C307" s="83" t="n">
        <v>42272</v>
      </c>
      <c r="D307" s="83" t="n">
        <v>3840</v>
      </c>
      <c r="E307" s="83" t="n">
        <v>116764</v>
      </c>
      <c r="F307" s="83" t="n">
        <v>20524</v>
      </c>
      <c r="H307" s="83">
        <f>F288-G288</f>
        <v/>
      </c>
    </row>
    <row r="308" ht="12.8" customHeight="1" s="82">
      <c r="A308" s="83" t="inlineStr">
        <is>
          <t>Air transportation</t>
        </is>
      </c>
      <c r="B308" s="83" t="inlineStr">
        <is>
          <t>481000</t>
        </is>
      </c>
      <c r="C308" s="83" t="n">
        <v>57095</v>
      </c>
      <c r="D308" s="83" t="n">
        <v>3542</v>
      </c>
      <c r="E308" s="83" t="n">
        <v>46346</v>
      </c>
      <c r="F308" s="83" t="n">
        <v>21938</v>
      </c>
      <c r="G308" s="83" t="n">
        <v>238</v>
      </c>
      <c r="H308" s="83">
        <f>F289-G289</f>
        <v/>
      </c>
    </row>
    <row r="309" ht="12.8" customHeight="1" s="82">
      <c r="A309" s="83" t="inlineStr">
        <is>
          <t>Rail transportation</t>
        </is>
      </c>
      <c r="B309" s="83" t="inlineStr">
        <is>
          <t>482000</t>
        </is>
      </c>
      <c r="C309" s="83" t="n">
        <v>21893</v>
      </c>
      <c r="D309" s="83" t="n">
        <v>1436</v>
      </c>
      <c r="E309" s="83" t="n">
        <v>22481</v>
      </c>
      <c r="F309" s="83" t="n">
        <v>787</v>
      </c>
      <c r="G309" s="83" t="n">
        <v>2263</v>
      </c>
      <c r="H309" s="83">
        <f>F290-G290</f>
        <v/>
      </c>
    </row>
    <row r="310" ht="12.8" customHeight="1" s="82">
      <c r="A310" s="83" t="inlineStr">
        <is>
          <t>Water transportation</t>
        </is>
      </c>
      <c r="B310" s="83" t="inlineStr">
        <is>
          <t>483000</t>
        </is>
      </c>
      <c r="C310" s="83" t="n">
        <v>7144</v>
      </c>
      <c r="D310" s="83" t="n">
        <v>807</v>
      </c>
      <c r="E310" s="83" t="n">
        <v>5828</v>
      </c>
      <c r="F310" s="83" t="n">
        <v>224</v>
      </c>
      <c r="G310" s="83" t="n">
        <v>47</v>
      </c>
      <c r="H310" s="83">
        <f>F291-G291</f>
        <v/>
      </c>
    </row>
    <row r="311" ht="12.8" customHeight="1" s="82">
      <c r="A311" s="83" t="inlineStr">
        <is>
          <t>Truck transportation</t>
        </is>
      </c>
      <c r="B311" s="83" t="inlineStr">
        <is>
          <t>484000</t>
        </is>
      </c>
      <c r="C311" s="83" t="n">
        <v>96307</v>
      </c>
      <c r="D311" s="83" t="n">
        <v>3965</v>
      </c>
      <c r="E311" s="83" t="n">
        <v>77160</v>
      </c>
      <c r="F311" s="83" t="n">
        <v>535</v>
      </c>
      <c r="G311" s="83" t="n">
        <v>0</v>
      </c>
      <c r="H311" s="83">
        <f>F292-G292</f>
        <v/>
      </c>
    </row>
    <row r="312" ht="12.8" customHeight="1" s="82">
      <c r="A312" s="83" t="inlineStr">
        <is>
          <t>Transit and ground passenger transportation</t>
        </is>
      </c>
      <c r="B312" s="83" t="inlineStr">
        <is>
          <t>485000</t>
        </is>
      </c>
      <c r="C312" s="83" t="n">
        <v>21954</v>
      </c>
      <c r="D312" s="83" t="n">
        <v>861</v>
      </c>
      <c r="E312" s="83" t="n">
        <v>19576</v>
      </c>
      <c r="F312" s="83" t="n">
        <v>1017</v>
      </c>
      <c r="H312" s="83">
        <f>F293-G293</f>
        <v/>
      </c>
    </row>
    <row r="313" ht="12.8" customHeight="1" s="82">
      <c r="A313" s="83" t="inlineStr">
        <is>
          <t>Pipeline transportation</t>
        </is>
      </c>
      <c r="B313" s="83" t="inlineStr">
        <is>
          <t>486000</t>
        </is>
      </c>
      <c r="C313" s="83" t="n">
        <v>7617</v>
      </c>
      <c r="D313" s="83" t="n">
        <v>3256</v>
      </c>
      <c r="E313" s="83" t="n">
        <v>30054</v>
      </c>
      <c r="F313" s="83" t="n">
        <v>77</v>
      </c>
      <c r="H313" s="83">
        <f>F294-G294</f>
        <v/>
      </c>
    </row>
    <row r="314" ht="12.8" customHeight="1" s="82">
      <c r="A314" s="83" t="inlineStr">
        <is>
          <t>Scenic and sightseeing transportation and support activities for transportation</t>
        </is>
      </c>
      <c r="B314" s="83" t="inlineStr">
        <is>
          <t>48A000</t>
        </is>
      </c>
      <c r="C314" s="83" t="n">
        <v>47282</v>
      </c>
      <c r="D314" s="83" t="n">
        <v>1290</v>
      </c>
      <c r="E314" s="83" t="n">
        <v>19739</v>
      </c>
      <c r="F314" s="83" t="n">
        <v>153</v>
      </c>
      <c r="H314" s="83">
        <f>F295-G295</f>
        <v/>
      </c>
    </row>
    <row r="315" ht="12.8" customHeight="1" s="82">
      <c r="A315" s="83" t="inlineStr">
        <is>
          <t>Postal service</t>
        </is>
      </c>
      <c r="B315" s="83" t="inlineStr">
        <is>
          <t>491000</t>
        </is>
      </c>
      <c r="C315" s="83" t="n">
        <v>54249</v>
      </c>
      <c r="E315" s="83" t="n">
        <v>2781</v>
      </c>
      <c r="H315" s="83">
        <f>F296-G296</f>
        <v/>
      </c>
    </row>
    <row r="316" ht="12.8" customHeight="1" s="82">
      <c r="A316" s="83" t="inlineStr">
        <is>
          <t>Couriers and messengers</t>
        </is>
      </c>
      <c r="B316" s="83" t="inlineStr">
        <is>
          <t>492000</t>
        </is>
      </c>
      <c r="C316" s="83" t="n">
        <v>38870</v>
      </c>
      <c r="D316" s="83" t="n">
        <v>933</v>
      </c>
      <c r="E316" s="83" t="n">
        <v>16597</v>
      </c>
      <c r="F316" s="83" t="n">
        <v>132</v>
      </c>
      <c r="H316" s="83">
        <f>F297-G297</f>
        <v/>
      </c>
    </row>
    <row r="317" ht="12.8" customHeight="1" s="82">
      <c r="A317" s="83" t="inlineStr">
        <is>
          <t>Warehousing and storage</t>
        </is>
      </c>
      <c r="B317" s="83" t="inlineStr">
        <is>
          <t>493000</t>
        </is>
      </c>
      <c r="C317" s="83" t="n">
        <v>53892</v>
      </c>
      <c r="D317" s="83" t="n">
        <v>771</v>
      </c>
      <c r="E317" s="83" t="n">
        <v>6319</v>
      </c>
      <c r="F317" s="83" t="n">
        <v>133</v>
      </c>
      <c r="H317" s="83">
        <f>F298-G298</f>
        <v/>
      </c>
    </row>
    <row r="318" ht="12.8" customHeight="1" s="82">
      <c r="A318" s="83" t="inlineStr">
        <is>
          <t>All other retail</t>
        </is>
      </c>
      <c r="B318" s="83" t="inlineStr">
        <is>
          <t>4B0000</t>
        </is>
      </c>
      <c r="C318" s="83" t="n">
        <v>91257</v>
      </c>
      <c r="D318" s="83" t="n">
        <v>2810</v>
      </c>
      <c r="E318" s="83" t="n">
        <v>18998</v>
      </c>
      <c r="F318" s="83" t="n">
        <v>24926</v>
      </c>
      <c r="H318" s="83">
        <f>F299-G299</f>
        <v/>
      </c>
    </row>
    <row r="319" ht="12.8" customHeight="1" s="82">
      <c r="A319" s="83" t="inlineStr">
        <is>
          <t>Newspaper publishers</t>
        </is>
      </c>
      <c r="B319" s="83" t="inlineStr">
        <is>
          <t>511110</t>
        </is>
      </c>
      <c r="C319" s="83" t="n">
        <v>9580</v>
      </c>
      <c r="D319" s="83" t="n">
        <v>295</v>
      </c>
      <c r="E319" s="83" t="n">
        <v>7987</v>
      </c>
      <c r="F319" s="83" t="n">
        <v>66</v>
      </c>
      <c r="H319" s="83">
        <f>F300-G300</f>
        <v/>
      </c>
    </row>
    <row r="320" ht="12.8" customHeight="1" s="82">
      <c r="A320" s="83" t="inlineStr">
        <is>
          <t>Periodical Publishers</t>
        </is>
      </c>
      <c r="B320" s="83" t="inlineStr">
        <is>
          <t>511120</t>
        </is>
      </c>
      <c r="C320" s="83" t="n">
        <v>10016</v>
      </c>
      <c r="D320" s="83" t="n">
        <v>311</v>
      </c>
      <c r="E320" s="83" t="n">
        <v>6702</v>
      </c>
      <c r="F320" s="83" t="n">
        <v>38</v>
      </c>
      <c r="H320" s="83">
        <f>F301-G301</f>
        <v/>
      </c>
    </row>
    <row r="321" ht="12.8" customHeight="1" s="82">
      <c r="A321" s="83" t="inlineStr">
        <is>
          <t>Book publishers</t>
        </is>
      </c>
      <c r="B321" s="83" t="inlineStr">
        <is>
          <t>511130</t>
        </is>
      </c>
      <c r="C321" s="83" t="n">
        <v>5911</v>
      </c>
      <c r="D321" s="83" t="n">
        <v>418</v>
      </c>
      <c r="E321" s="83" t="n">
        <v>11737</v>
      </c>
      <c r="F321" s="83" t="n">
        <v>85</v>
      </c>
      <c r="H321" s="83">
        <f>F302-G302</f>
        <v/>
      </c>
    </row>
    <row r="322" ht="12.8" customHeight="1" s="82">
      <c r="A322" s="83" t="inlineStr">
        <is>
          <t>Directory, mailing list, and other publishers</t>
        </is>
      </c>
      <c r="B322" s="83" t="inlineStr">
        <is>
          <t>5111A0</t>
        </is>
      </c>
      <c r="C322" s="83" t="n">
        <v>2805</v>
      </c>
      <c r="D322" s="83" t="n">
        <v>123</v>
      </c>
      <c r="E322" s="83" t="n">
        <v>3445</v>
      </c>
      <c r="F322" s="83" t="n">
        <v>19</v>
      </c>
      <c r="H322" s="83">
        <f>F303-G303</f>
        <v/>
      </c>
    </row>
    <row r="323" ht="12.8" customHeight="1" s="82">
      <c r="A323" s="83" t="inlineStr">
        <is>
          <t>Software publishers</t>
        </is>
      </c>
      <c r="B323" s="83" t="inlineStr">
        <is>
          <t>511200</t>
        </is>
      </c>
      <c r="C323" s="83" t="n">
        <v>71879</v>
      </c>
      <c r="D323" s="83" t="n">
        <v>3677</v>
      </c>
      <c r="E323" s="83" t="n">
        <v>99964</v>
      </c>
      <c r="F323" s="83" t="n">
        <v>958</v>
      </c>
      <c r="H323" s="83">
        <f>F304-G304</f>
        <v/>
      </c>
    </row>
    <row r="324" ht="12.8" customHeight="1" s="82">
      <c r="A324" s="83" t="inlineStr">
        <is>
          <t>Motion picture and video industries</t>
        </is>
      </c>
      <c r="B324" s="83" t="inlineStr">
        <is>
          <t>512100</t>
        </is>
      </c>
      <c r="C324" s="83" t="n">
        <v>33679</v>
      </c>
      <c r="D324" s="83" t="n">
        <v>2627</v>
      </c>
      <c r="E324" s="83" t="n">
        <v>45022</v>
      </c>
      <c r="F324" s="83" t="n">
        <v>2624</v>
      </c>
      <c r="H324" s="83">
        <f>F305-G305</f>
        <v/>
      </c>
    </row>
    <row r="325" ht="12.8" customHeight="1" s="82">
      <c r="A325" s="83" t="inlineStr">
        <is>
          <t>Sound recording industries</t>
        </is>
      </c>
      <c r="B325" s="83" t="inlineStr">
        <is>
          <t>512200</t>
        </is>
      </c>
      <c r="C325" s="83" t="n">
        <v>1757</v>
      </c>
      <c r="D325" s="83" t="n">
        <v>975</v>
      </c>
      <c r="E325" s="83" t="n">
        <v>10907</v>
      </c>
      <c r="F325" s="83" t="n">
        <v>134</v>
      </c>
      <c r="H325" s="83">
        <f>F306-G306</f>
        <v/>
      </c>
    </row>
    <row r="326" ht="12.8" customHeight="1" s="82">
      <c r="A326" s="83" t="inlineStr">
        <is>
          <t>Radio and television broadcasting</t>
        </is>
      </c>
      <c r="B326" s="83" t="inlineStr">
        <is>
          <t>515100</t>
        </is>
      </c>
      <c r="C326" s="83" t="n">
        <v>17950</v>
      </c>
      <c r="D326" s="83" t="n">
        <v>209</v>
      </c>
      <c r="E326" s="83" t="n">
        <v>22637</v>
      </c>
      <c r="F326" s="83" t="n">
        <v>2011</v>
      </c>
      <c r="H326" s="83">
        <f>F307-G307</f>
        <v/>
      </c>
    </row>
    <row r="327" ht="12.8" customHeight="1" s="82">
      <c r="A327" s="83" t="inlineStr">
        <is>
          <t>Cable and other subscription programming</t>
        </is>
      </c>
      <c r="B327" s="83" t="inlineStr">
        <is>
          <t>515200</t>
        </is>
      </c>
      <c r="C327" s="83" t="n">
        <v>10426</v>
      </c>
      <c r="D327" s="83" t="n">
        <v>654</v>
      </c>
      <c r="E327" s="83" t="n">
        <v>49756</v>
      </c>
      <c r="F327" s="83" t="n">
        <v>775</v>
      </c>
      <c r="G327" s="83" t="n">
        <v>11</v>
      </c>
      <c r="H327" s="83">
        <f>F308-G308</f>
        <v/>
      </c>
    </row>
    <row r="328" ht="12.8" customHeight="1" s="82">
      <c r="A328" s="83" t="inlineStr">
        <is>
          <t>Wired telecommunications carriers</t>
        </is>
      </c>
      <c r="B328" s="83" t="inlineStr">
        <is>
          <t>517110</t>
        </is>
      </c>
      <c r="C328" s="83" t="n">
        <v>61328</v>
      </c>
      <c r="D328" s="83" t="n">
        <v>1608</v>
      </c>
      <c r="E328" s="83" t="n">
        <v>109598</v>
      </c>
      <c r="F328" s="83" t="n">
        <v>17233</v>
      </c>
      <c r="H328" s="83">
        <f>F309-G309</f>
        <v/>
      </c>
    </row>
    <row r="329" ht="12.8" customHeight="1" s="82">
      <c r="A329" s="83" t="inlineStr">
        <is>
          <t>Wireless telecommunications carriers (except satellite)</t>
        </is>
      </c>
      <c r="B329" s="83" t="inlineStr">
        <is>
          <t>517210</t>
        </is>
      </c>
      <c r="C329" s="83" t="n">
        <v>12221</v>
      </c>
      <c r="D329" s="83" t="n">
        <v>1171</v>
      </c>
      <c r="E329" s="83" t="n">
        <v>116524</v>
      </c>
      <c r="F329" s="83" t="n">
        <v>12438</v>
      </c>
      <c r="H329" s="83">
        <f>F310-G310</f>
        <v/>
      </c>
    </row>
    <row r="330" ht="12.8" customHeight="1" s="82">
      <c r="A330" s="83" t="inlineStr">
        <is>
          <t>Satellite, telecommunications resellers, and all other telecommunications</t>
        </is>
      </c>
      <c r="B330" s="83" t="inlineStr">
        <is>
          <t>517A00</t>
        </is>
      </c>
      <c r="C330" s="83" t="n">
        <v>10248</v>
      </c>
      <c r="D330" s="83" t="n">
        <v>119</v>
      </c>
      <c r="E330" s="83" t="n">
        <v>10336</v>
      </c>
      <c r="F330" s="83" t="n">
        <v>4886</v>
      </c>
      <c r="H330" s="83">
        <f>F311-G311</f>
        <v/>
      </c>
    </row>
    <row r="331" ht="12.8" customHeight="1" s="82">
      <c r="A331" s="83" t="inlineStr">
        <is>
          <t>Data processing, hosting, and related services</t>
        </is>
      </c>
      <c r="B331" s="83" t="inlineStr">
        <is>
          <t>518200</t>
        </is>
      </c>
      <c r="C331" s="83" t="n">
        <v>42813</v>
      </c>
      <c r="D331" s="83" t="n">
        <v>1696</v>
      </c>
      <c r="E331" s="83" t="n">
        <v>50886</v>
      </c>
      <c r="F331" s="83" t="n">
        <v>990</v>
      </c>
      <c r="H331" s="83">
        <f>F312-G312</f>
        <v/>
      </c>
    </row>
    <row r="332" ht="12.8" customHeight="1" s="82">
      <c r="A332" s="83" t="inlineStr">
        <is>
          <t>Internet publishing and broadcasting and Web search portals</t>
        </is>
      </c>
      <c r="B332" s="83" t="inlineStr">
        <is>
          <t>519130</t>
        </is>
      </c>
      <c r="C332" s="83" t="n">
        <v>52084</v>
      </c>
      <c r="D332" s="83" t="n">
        <v>1808</v>
      </c>
      <c r="E332" s="83" t="n">
        <v>55437</v>
      </c>
      <c r="F332" s="83" t="n">
        <v>525</v>
      </c>
      <c r="H332" s="83">
        <f>F313-G313</f>
        <v/>
      </c>
    </row>
    <row r="333" ht="12.8" customHeight="1" s="82">
      <c r="A333" s="83" t="inlineStr">
        <is>
          <t>News syndicates, libraries, archives and all other information services</t>
        </is>
      </c>
      <c r="B333" s="83" t="inlineStr">
        <is>
          <t>5191A0</t>
        </is>
      </c>
      <c r="C333" s="83" t="n">
        <v>6076</v>
      </c>
      <c r="D333" s="83" t="n">
        <v>94</v>
      </c>
      <c r="E333" s="83" t="n">
        <v>1740</v>
      </c>
      <c r="F333" s="83" t="n">
        <v>14</v>
      </c>
      <c r="H333" s="83">
        <f>F314-G314</f>
        <v/>
      </c>
    </row>
    <row r="334" ht="12.8" customHeight="1" s="82">
      <c r="A334" s="83" t="inlineStr">
        <is>
          <t>Nondepository credit intermediation and related activities</t>
        </is>
      </c>
      <c r="B334" s="83" t="inlineStr">
        <is>
          <t>522A00</t>
        </is>
      </c>
      <c r="C334" s="83" t="n">
        <v>97437</v>
      </c>
      <c r="D334" s="83" t="n">
        <v>5896</v>
      </c>
      <c r="E334" s="83" t="n">
        <v>105317</v>
      </c>
      <c r="F334" s="83" t="n">
        <v>2524</v>
      </c>
      <c r="H334" s="83">
        <f>F315-G315</f>
        <v/>
      </c>
    </row>
    <row r="335" ht="12.8" customHeight="1" s="82">
      <c r="A335" s="83" t="inlineStr">
        <is>
          <t>Other financial investment activities</t>
        </is>
      </c>
      <c r="B335" s="83" t="inlineStr">
        <is>
          <t>523900</t>
        </is>
      </c>
      <c r="C335" s="83" t="n">
        <v>153414</v>
      </c>
      <c r="D335" s="83" t="n">
        <v>3013</v>
      </c>
      <c r="E335" s="83" t="n">
        <v>20528</v>
      </c>
      <c r="F335" s="83" t="n">
        <v>1182</v>
      </c>
      <c r="H335" s="83">
        <f>F316-G316</f>
        <v/>
      </c>
    </row>
    <row r="336" ht="12.8" customHeight="1" s="82">
      <c r="A336" s="83" t="inlineStr">
        <is>
          <t>Securities and commodity contracts intermediation and brokerage</t>
        </is>
      </c>
      <c r="B336" s="83" t="inlineStr">
        <is>
          <t>523A00</t>
        </is>
      </c>
      <c r="C336" s="83" t="n">
        <v>97818</v>
      </c>
      <c r="D336" s="83" t="n">
        <v>1290</v>
      </c>
      <c r="E336" s="83" t="n">
        <v>6083</v>
      </c>
      <c r="F336" s="83" t="n">
        <v>99</v>
      </c>
      <c r="H336" s="83">
        <f>F317-G317</f>
        <v/>
      </c>
    </row>
    <row r="337" ht="12.8" customHeight="1" s="82">
      <c r="A337" s="83" t="inlineStr">
        <is>
          <t>Direct life insurance carriers</t>
        </is>
      </c>
      <c r="B337" s="83" t="inlineStr">
        <is>
          <t>524113</t>
        </is>
      </c>
      <c r="C337" s="83" t="n">
        <v>34310</v>
      </c>
      <c r="D337" s="83" t="n">
        <v>595</v>
      </c>
      <c r="E337" s="83" t="n">
        <v>16487</v>
      </c>
      <c r="F337" s="83" t="n">
        <v>3405</v>
      </c>
      <c r="H337" s="83">
        <f>F318-G318</f>
        <v/>
      </c>
    </row>
    <row r="338" ht="12.8" customHeight="1" s="82">
      <c r="A338" s="83" t="inlineStr">
        <is>
          <t>Insurance carriers, except direct life</t>
        </is>
      </c>
      <c r="B338" s="83" t="inlineStr">
        <is>
          <t>5241XX</t>
        </is>
      </c>
      <c r="C338" s="83" t="n">
        <v>116031</v>
      </c>
      <c r="D338" s="83" t="n">
        <v>3740</v>
      </c>
      <c r="E338" s="83" t="n">
        <v>174298</v>
      </c>
      <c r="F338" s="83" t="n">
        <v>20469</v>
      </c>
      <c r="H338" s="83">
        <f>F319-G319</f>
        <v/>
      </c>
    </row>
    <row r="339" ht="12.8" customHeight="1" s="82">
      <c r="A339" s="83" t="inlineStr">
        <is>
          <t>Insurance agencies, brokerages, and related activities</t>
        </is>
      </c>
      <c r="B339" s="83" t="inlineStr">
        <is>
          <t>524200</t>
        </is>
      </c>
      <c r="C339" s="83" t="n">
        <v>120664</v>
      </c>
      <c r="D339" s="83" t="n">
        <v>2373</v>
      </c>
      <c r="E339" s="83" t="n">
        <v>76517</v>
      </c>
      <c r="F339" s="83" t="n">
        <v>0</v>
      </c>
      <c r="H339" s="83">
        <f>F320-G320</f>
        <v/>
      </c>
    </row>
    <row r="340" ht="12.8" customHeight="1" s="82">
      <c r="A340" s="83" t="inlineStr">
        <is>
          <t>Funds, trusts, and other financial vehicles</t>
        </is>
      </c>
      <c r="B340" s="83" t="inlineStr">
        <is>
          <t>525000</t>
        </is>
      </c>
      <c r="C340" s="83" t="n">
        <v>2059</v>
      </c>
      <c r="D340" s="83" t="n">
        <v>701</v>
      </c>
      <c r="E340" s="83" t="n">
        <v>4036</v>
      </c>
      <c r="F340" s="83" t="n">
        <v>38</v>
      </c>
      <c r="H340" s="83">
        <f>F321-G321</f>
        <v/>
      </c>
    </row>
    <row r="341" ht="12.8" customHeight="1" s="82">
      <c r="A341" s="83" t="inlineStr">
        <is>
          <t>Monetary authorities and depository credit intermediation</t>
        </is>
      </c>
      <c r="B341" s="83" t="inlineStr">
        <is>
          <t>52A000</t>
        </is>
      </c>
      <c r="C341" s="83" t="n">
        <v>165916</v>
      </c>
      <c r="D341" s="83" t="n">
        <v>11505</v>
      </c>
      <c r="E341" s="83" t="n">
        <v>260765</v>
      </c>
      <c r="F341" s="83" t="n">
        <v>46</v>
      </c>
      <c r="G341" s="83" t="n">
        <v>546</v>
      </c>
      <c r="H341" s="83">
        <f>F322-G322</f>
        <v/>
      </c>
    </row>
    <row r="342" ht="12.8" customHeight="1" s="82">
      <c r="A342" s="83" t="inlineStr">
        <is>
          <t>Owner-occupied housing</t>
        </is>
      </c>
      <c r="B342" s="83" t="inlineStr">
        <is>
          <t>531HSO</t>
        </is>
      </c>
      <c r="D342" s="83" t="n">
        <v>178599</v>
      </c>
      <c r="E342" s="83" t="n">
        <v>1164524</v>
      </c>
      <c r="G342" s="83" t="n">
        <v>2441</v>
      </c>
      <c r="H342" s="83">
        <f>F323-G323</f>
        <v/>
      </c>
    </row>
    <row r="343" ht="12.8" customHeight="1" s="82">
      <c r="A343" s="83" t="inlineStr">
        <is>
          <t>Tenant-occupied housing</t>
        </is>
      </c>
      <c r="B343" s="83" t="inlineStr">
        <is>
          <t>531HST</t>
        </is>
      </c>
      <c r="C343" s="83" t="n">
        <v>18920</v>
      </c>
      <c r="D343" s="83" t="n">
        <v>75504</v>
      </c>
      <c r="E343" s="83" t="n">
        <v>376515</v>
      </c>
      <c r="G343" s="83" t="n">
        <v>16307</v>
      </c>
      <c r="H343" s="83">
        <f>F324-G324</f>
        <v/>
      </c>
    </row>
    <row r="344" ht="12.8" customHeight="1" s="82">
      <c r="A344" s="83" t="inlineStr">
        <is>
          <t>Other real estate</t>
        </is>
      </c>
      <c r="B344" s="83" t="inlineStr">
        <is>
          <t>531ORE</t>
        </is>
      </c>
      <c r="C344" s="83" t="n">
        <v>93508</v>
      </c>
      <c r="D344" s="83" t="n">
        <v>27704</v>
      </c>
      <c r="E344" s="83" t="n">
        <v>396339</v>
      </c>
      <c r="F344" s="83" t="n">
        <v>1309</v>
      </c>
      <c r="G344" s="83" t="n">
        <v>1417</v>
      </c>
      <c r="H344" s="83">
        <f>F325-G325</f>
        <v/>
      </c>
    </row>
    <row r="345" ht="12.8" customHeight="1" s="82">
      <c r="A345" s="83" t="inlineStr">
        <is>
          <t>Automotive equipment rental and leasing</t>
        </is>
      </c>
      <c r="B345" s="83" t="inlineStr">
        <is>
          <t>532100</t>
        </is>
      </c>
      <c r="C345" s="83" t="n">
        <v>11024</v>
      </c>
      <c r="D345" s="83" t="n">
        <v>1616</v>
      </c>
      <c r="E345" s="83" t="n">
        <v>20862</v>
      </c>
      <c r="F345" s="83" t="n">
        <v>4637</v>
      </c>
      <c r="H345" s="83">
        <f>F326-G326</f>
        <v/>
      </c>
    </row>
    <row r="346" ht="12.8" customHeight="1" s="82">
      <c r="A346" s="83" t="inlineStr">
        <is>
          <t>Commercial and industrial machinery and equipment rental and leasing</t>
        </is>
      </c>
      <c r="B346" s="83" t="inlineStr">
        <is>
          <t>532400</t>
        </is>
      </c>
      <c r="C346" s="83" t="n">
        <v>13103</v>
      </c>
      <c r="D346" s="83" t="n">
        <v>2234</v>
      </c>
      <c r="E346" s="83" t="n">
        <v>33201</v>
      </c>
      <c r="F346" s="83" t="n">
        <v>5531</v>
      </c>
      <c r="H346" s="83">
        <f>F327-G327</f>
        <v/>
      </c>
    </row>
    <row r="347" ht="12.8" customHeight="1" s="82">
      <c r="A347" s="83" t="inlineStr">
        <is>
          <t>General and consumer goods rental</t>
        </is>
      </c>
      <c r="B347" s="83" t="inlineStr">
        <is>
          <t>532A00</t>
        </is>
      </c>
      <c r="C347" s="83" t="n">
        <v>9111</v>
      </c>
      <c r="D347" s="83" t="n">
        <v>641</v>
      </c>
      <c r="E347" s="83" t="n">
        <v>5895</v>
      </c>
      <c r="F347" s="83" t="n">
        <v>2082</v>
      </c>
      <c r="H347" s="83">
        <f>F328-G328</f>
        <v/>
      </c>
    </row>
    <row r="348" ht="12.8" customHeight="1" s="82">
      <c r="A348" s="83" t="inlineStr">
        <is>
          <t>Lessors of nonfinancial intangible assets</t>
        </is>
      </c>
      <c r="B348" s="83" t="inlineStr">
        <is>
          <t>533000</t>
        </is>
      </c>
      <c r="C348" s="83" t="n">
        <v>2990</v>
      </c>
      <c r="D348" s="83" t="n">
        <v>4292</v>
      </c>
      <c r="E348" s="83" t="n">
        <v>95037</v>
      </c>
      <c r="F348" s="83" t="n">
        <v>2</v>
      </c>
      <c r="H348" s="83">
        <f>F329-G329</f>
        <v/>
      </c>
    </row>
    <row r="349" ht="12.8" customHeight="1" s="82">
      <c r="A349" s="83" t="inlineStr">
        <is>
          <t>Legal services</t>
        </is>
      </c>
      <c r="B349" s="83" t="inlineStr">
        <is>
          <t>541100</t>
        </is>
      </c>
      <c r="C349" s="83" t="n">
        <v>131525</v>
      </c>
      <c r="D349" s="83" t="n">
        <v>1243</v>
      </c>
      <c r="E349" s="83" t="n">
        <v>118269</v>
      </c>
      <c r="F349" s="83" t="n">
        <v>15394</v>
      </c>
      <c r="H349" s="83">
        <f>F330-G330</f>
        <v/>
      </c>
    </row>
    <row r="350" ht="12.8" customHeight="1" s="82">
      <c r="A350" s="83" t="inlineStr">
        <is>
          <t>Accounting, tax preparation, bookkeeping, and payroll services</t>
        </is>
      </c>
      <c r="B350" s="83" t="inlineStr">
        <is>
          <t>541200</t>
        </is>
      </c>
      <c r="C350" s="83" t="n">
        <v>88558</v>
      </c>
      <c r="D350" s="83" t="n">
        <v>1175</v>
      </c>
      <c r="E350" s="83" t="n">
        <v>34999</v>
      </c>
      <c r="F350" s="83" t="n">
        <v>449</v>
      </c>
      <c r="H350" s="83">
        <f>F331-G331</f>
        <v/>
      </c>
    </row>
    <row r="351" ht="12.8" customHeight="1" s="82">
      <c r="A351" s="83" t="inlineStr">
        <is>
          <t>Architectural, engineering, and related services</t>
        </is>
      </c>
      <c r="B351" s="83" t="inlineStr">
        <is>
          <t>541300</t>
        </is>
      </c>
      <c r="C351" s="83" t="n">
        <v>149700</v>
      </c>
      <c r="D351" s="83" t="n">
        <v>2363</v>
      </c>
      <c r="E351" s="83" t="n">
        <v>56463</v>
      </c>
      <c r="F351" s="83" t="n">
        <v>1363</v>
      </c>
      <c r="H351" s="83">
        <f>F332-G332</f>
        <v/>
      </c>
    </row>
    <row r="352" ht="12.8" customHeight="1" s="82">
      <c r="A352" s="83" t="inlineStr">
        <is>
          <t>Specialized design services</t>
        </is>
      </c>
      <c r="B352" s="83" t="inlineStr">
        <is>
          <t>541400</t>
        </is>
      </c>
      <c r="C352" s="83" t="n">
        <v>11468</v>
      </c>
      <c r="D352" s="83" t="n">
        <v>254</v>
      </c>
      <c r="E352" s="83" t="n">
        <v>12365</v>
      </c>
      <c r="F352" s="83" t="n">
        <v>934</v>
      </c>
      <c r="H352" s="83">
        <f>F333-G333</f>
        <v/>
      </c>
    </row>
    <row r="353" ht="12.8" customHeight="1" s="82">
      <c r="A353" s="83" t="inlineStr">
        <is>
          <t>Custom computer programming services</t>
        </is>
      </c>
      <c r="B353" s="83" t="inlineStr">
        <is>
          <t>541511</t>
        </is>
      </c>
      <c r="C353" s="83" t="n">
        <v>99401</v>
      </c>
      <c r="D353" s="83" t="n">
        <v>646</v>
      </c>
      <c r="E353" s="83" t="n">
        <v>14390</v>
      </c>
      <c r="F353" s="83" t="n">
        <v>1360</v>
      </c>
      <c r="H353" s="83">
        <f>F334-G334</f>
        <v/>
      </c>
    </row>
    <row r="354" ht="12.8" customHeight="1" s="82">
      <c r="A354" s="83" t="inlineStr">
        <is>
          <t>Computer systems design services</t>
        </is>
      </c>
      <c r="B354" s="83" t="inlineStr">
        <is>
          <t>541512</t>
        </is>
      </c>
      <c r="C354" s="83" t="n">
        <v>140481</v>
      </c>
      <c r="D354" s="83" t="n">
        <v>1122</v>
      </c>
      <c r="E354" s="83" t="n">
        <v>34127</v>
      </c>
      <c r="F354" s="83" t="n">
        <v>2828</v>
      </c>
      <c r="H354" s="83">
        <f>F335-G335</f>
        <v/>
      </c>
    </row>
    <row r="355" ht="12.8" customHeight="1" s="82">
      <c r="A355" s="83" t="inlineStr">
        <is>
          <t>Other computer related services, including facilities management</t>
        </is>
      </c>
      <c r="B355" s="83" t="inlineStr">
        <is>
          <t>54151A</t>
        </is>
      </c>
      <c r="C355" s="83" t="n">
        <v>24875</v>
      </c>
      <c r="D355" s="83" t="n">
        <v>207</v>
      </c>
      <c r="E355" s="83" t="n">
        <v>6412</v>
      </c>
      <c r="F355" s="83" t="n">
        <v>524</v>
      </c>
      <c r="H355" s="83">
        <f>F336-G336</f>
        <v/>
      </c>
    </row>
    <row r="356" ht="12.8" customHeight="1" s="82">
      <c r="A356" s="83" t="inlineStr">
        <is>
          <t>Management consulting services</t>
        </is>
      </c>
      <c r="B356" s="83" t="inlineStr">
        <is>
          <t>541610</t>
        </is>
      </c>
      <c r="C356" s="83" t="n">
        <v>125104</v>
      </c>
      <c r="D356" s="83" t="n">
        <v>1813</v>
      </c>
      <c r="E356" s="83" t="n">
        <v>45077</v>
      </c>
      <c r="F356" s="83" t="n">
        <v>938</v>
      </c>
      <c r="H356" s="83">
        <f>F337-G337</f>
        <v/>
      </c>
    </row>
    <row r="357" ht="12.8" customHeight="1" s="82">
      <c r="A357" s="83" t="inlineStr">
        <is>
          <t>Environmental and other technical consulting services</t>
        </is>
      </c>
      <c r="B357" s="83" t="inlineStr">
        <is>
          <t>5416A0</t>
        </is>
      </c>
      <c r="C357" s="83" t="n">
        <v>27523</v>
      </c>
      <c r="D357" s="83" t="n">
        <v>390</v>
      </c>
      <c r="E357" s="83" t="n">
        <v>3399</v>
      </c>
      <c r="F357" s="83" t="n">
        <v>106</v>
      </c>
      <c r="H357" s="83">
        <f>F338-G338</f>
        <v/>
      </c>
    </row>
    <row r="358" ht="12.8" customHeight="1" s="82">
      <c r="A358" s="83" t="inlineStr">
        <is>
          <t>Scientific research and development services</t>
        </is>
      </c>
      <c r="B358" s="83" t="inlineStr">
        <is>
          <t>541700</t>
        </is>
      </c>
      <c r="C358" s="83" t="n">
        <v>97150</v>
      </c>
      <c r="D358" s="83" t="n">
        <v>1553</v>
      </c>
      <c r="E358" s="83" t="n">
        <v>22155</v>
      </c>
      <c r="F358" s="83" t="n">
        <v>87</v>
      </c>
      <c r="H358" s="83">
        <f>F339-G339</f>
        <v/>
      </c>
    </row>
    <row r="359" ht="12.8" customHeight="1" s="82">
      <c r="A359" s="83" t="inlineStr">
        <is>
          <t>Advertising, public relations, and related services</t>
        </is>
      </c>
      <c r="B359" s="83" t="inlineStr">
        <is>
          <t>541800</t>
        </is>
      </c>
      <c r="C359" s="83" t="n">
        <v>45888</v>
      </c>
      <c r="D359" s="83" t="n">
        <v>893</v>
      </c>
      <c r="E359" s="83" t="n">
        <v>41656</v>
      </c>
      <c r="F359" s="83" t="n">
        <v>830</v>
      </c>
      <c r="H359" s="83">
        <f>F340-G340</f>
        <v/>
      </c>
    </row>
    <row r="360" ht="12.8" customHeight="1" s="82">
      <c r="A360" s="83" t="inlineStr">
        <is>
          <t>Photographic services</t>
        </is>
      </c>
      <c r="B360" s="83" t="inlineStr">
        <is>
          <t>541920</t>
        </is>
      </c>
      <c r="C360" s="83" t="n">
        <v>2172</v>
      </c>
      <c r="D360" s="83" t="n">
        <v>56</v>
      </c>
      <c r="E360" s="83" t="n">
        <v>5073</v>
      </c>
      <c r="F360" s="83" t="n">
        <v>443</v>
      </c>
      <c r="H360" s="83">
        <f>F341-G341</f>
        <v/>
      </c>
    </row>
    <row r="361" ht="12.8" customHeight="1" s="82">
      <c r="A361" s="83" t="inlineStr">
        <is>
          <t>Veterinary services</t>
        </is>
      </c>
      <c r="B361" s="83" t="inlineStr">
        <is>
          <t>541940</t>
        </is>
      </c>
      <c r="C361" s="83" t="n">
        <v>19253</v>
      </c>
      <c r="D361" s="83" t="n">
        <v>285</v>
      </c>
      <c r="E361" s="83" t="n">
        <v>10043</v>
      </c>
      <c r="F361" s="83" t="n">
        <v>123</v>
      </c>
      <c r="H361" s="83">
        <f>F342-G342</f>
        <v/>
      </c>
    </row>
    <row r="362" ht="12.8" customHeight="1" s="82">
      <c r="A362" s="83" t="inlineStr">
        <is>
          <t xml:space="preserve">All other miscellaneous professional, scientific, and technical services </t>
        </is>
      </c>
      <c r="B362" s="83" t="inlineStr">
        <is>
          <t>5419A0</t>
        </is>
      </c>
      <c r="C362" s="83" t="n">
        <v>27448</v>
      </c>
      <c r="D362" s="83" t="n">
        <v>619</v>
      </c>
      <c r="E362" s="83" t="n">
        <v>27553</v>
      </c>
      <c r="F362" s="83" t="n">
        <v>120</v>
      </c>
      <c r="H362" s="83">
        <f>F343-G343</f>
        <v/>
      </c>
    </row>
    <row r="363" ht="12.8" customHeight="1" s="82">
      <c r="A363" s="83" t="inlineStr">
        <is>
          <t>Management of companies and enterprises</t>
        </is>
      </c>
      <c r="B363" s="83" t="inlineStr">
        <is>
          <t>550000</t>
        </is>
      </c>
      <c r="C363" s="83" t="n">
        <v>324518</v>
      </c>
      <c r="D363" s="83" t="n">
        <v>7648</v>
      </c>
      <c r="E363" s="83" t="n">
        <v>36459</v>
      </c>
      <c r="F363" s="83" t="n">
        <v>1509</v>
      </c>
      <c r="H363" s="83">
        <f>F344-G344</f>
        <v/>
      </c>
    </row>
    <row r="364" ht="12.8" customHeight="1" s="82">
      <c r="A364" s="83" t="inlineStr">
        <is>
          <t>Office administrative services</t>
        </is>
      </c>
      <c r="B364" s="83" t="inlineStr">
        <is>
          <t>561100</t>
        </is>
      </c>
      <c r="C364" s="83" t="n">
        <v>38562</v>
      </c>
      <c r="D364" s="83" t="n">
        <v>271</v>
      </c>
      <c r="E364" s="83" t="n">
        <v>2442</v>
      </c>
      <c r="F364" s="83" t="n">
        <v>214</v>
      </c>
      <c r="H364" s="83">
        <f>F345-G345</f>
        <v/>
      </c>
    </row>
    <row r="365" ht="12.8" customHeight="1" s="82">
      <c r="A365" s="83" t="inlineStr">
        <is>
          <t>Facilities support services</t>
        </is>
      </c>
      <c r="B365" s="83" t="inlineStr">
        <is>
          <t>561200</t>
        </is>
      </c>
      <c r="C365" s="83" t="n">
        <v>8062</v>
      </c>
      <c r="D365" s="83" t="n">
        <v>145</v>
      </c>
      <c r="E365" s="83" t="n">
        <v>5037</v>
      </c>
      <c r="F365" s="83" t="n">
        <v>102</v>
      </c>
      <c r="H365" s="83">
        <f>F346-G346</f>
        <v/>
      </c>
    </row>
    <row r="366" ht="12.8" customHeight="1" s="82">
      <c r="A366" s="83" t="inlineStr">
        <is>
          <t>Employment services</t>
        </is>
      </c>
      <c r="B366" s="83" t="inlineStr">
        <is>
          <t>561300</t>
        </is>
      </c>
      <c r="C366" s="83" t="n">
        <v>176327</v>
      </c>
      <c r="D366" s="83" t="n">
        <v>1547</v>
      </c>
      <c r="E366" s="83" t="n">
        <v>70536</v>
      </c>
      <c r="F366" s="83" t="n">
        <v>781</v>
      </c>
      <c r="H366" s="83">
        <f>F347-G347</f>
        <v/>
      </c>
    </row>
    <row r="367" ht="12.8" customHeight="1" s="82">
      <c r="A367" s="83" t="inlineStr">
        <is>
          <t>Business support services</t>
        </is>
      </c>
      <c r="B367" s="83" t="inlineStr">
        <is>
          <t>561400</t>
        </is>
      </c>
      <c r="C367" s="83" t="n">
        <v>33176</v>
      </c>
      <c r="D367" s="83" t="n">
        <v>384</v>
      </c>
      <c r="E367" s="83" t="n">
        <v>8578</v>
      </c>
      <c r="F367" s="83" t="n">
        <v>806</v>
      </c>
      <c r="H367" s="83">
        <f>F348-G348</f>
        <v/>
      </c>
    </row>
    <row r="368" ht="12.8" customHeight="1" s="82">
      <c r="A368" s="83" t="inlineStr">
        <is>
          <t>Travel arrangement and reservation services</t>
        </is>
      </c>
      <c r="B368" s="83" t="inlineStr">
        <is>
          <t>561500</t>
        </is>
      </c>
      <c r="C368" s="83" t="n">
        <v>17878</v>
      </c>
      <c r="D368" s="83" t="n">
        <v>258</v>
      </c>
      <c r="E368" s="83" t="n">
        <v>7663</v>
      </c>
      <c r="F368" s="83" t="n">
        <v>340</v>
      </c>
      <c r="H368" s="83">
        <f>F349-G349</f>
        <v/>
      </c>
    </row>
    <row r="369" ht="12.8" customHeight="1" s="82">
      <c r="A369" s="83" t="inlineStr">
        <is>
          <t>Investigation and security services</t>
        </is>
      </c>
      <c r="B369" s="83" t="inlineStr">
        <is>
          <t>561600</t>
        </is>
      </c>
      <c r="C369" s="83" t="n">
        <v>37273</v>
      </c>
      <c r="D369" s="83" t="n">
        <v>285</v>
      </c>
      <c r="E369" s="83" t="n">
        <v>5324</v>
      </c>
      <c r="F369" s="83" t="n">
        <v>1118</v>
      </c>
      <c r="H369" s="83">
        <f>F350-G350</f>
        <v/>
      </c>
    </row>
    <row r="370" ht="12.8" customHeight="1" s="82">
      <c r="A370" s="83" t="inlineStr">
        <is>
          <t>Services to buildings and dwellings</t>
        </is>
      </c>
      <c r="B370" s="83" t="inlineStr">
        <is>
          <t>561700</t>
        </is>
      </c>
      <c r="C370" s="83" t="n">
        <v>75161</v>
      </c>
      <c r="D370" s="83" t="n">
        <v>805</v>
      </c>
      <c r="E370" s="83" t="n">
        <v>23875</v>
      </c>
      <c r="F370" s="83" t="n">
        <v>2489</v>
      </c>
      <c r="H370" s="83">
        <f>F351-G351</f>
        <v/>
      </c>
    </row>
    <row r="371" ht="12.8" customHeight="1" s="82">
      <c r="A371" s="83" t="inlineStr">
        <is>
          <t>Other support services</t>
        </is>
      </c>
      <c r="B371" s="83" t="inlineStr">
        <is>
          <t>561900</t>
        </is>
      </c>
      <c r="C371" s="83" t="n">
        <v>22892</v>
      </c>
      <c r="D371" s="83" t="n">
        <v>241</v>
      </c>
      <c r="E371" s="83" t="n">
        <v>6684</v>
      </c>
      <c r="F371" s="83" t="n">
        <v>450</v>
      </c>
      <c r="H371" s="83">
        <f>F352-G352</f>
        <v/>
      </c>
    </row>
    <row r="372" ht="12.8" customHeight="1" s="82">
      <c r="A372" s="83" t="inlineStr">
        <is>
          <t>Waste management and remediation services</t>
        </is>
      </c>
      <c r="B372" s="83" t="inlineStr">
        <is>
          <t>562000</t>
        </is>
      </c>
      <c r="C372" s="83" t="n">
        <v>30195</v>
      </c>
      <c r="D372" s="83" t="n">
        <v>1896</v>
      </c>
      <c r="E372" s="83" t="n">
        <v>19317</v>
      </c>
      <c r="F372" s="83" t="n">
        <v>1751</v>
      </c>
      <c r="H372" s="83">
        <f>F353-G353</f>
        <v/>
      </c>
    </row>
    <row r="373" ht="12.8" customHeight="1" s="82">
      <c r="A373" s="83" t="inlineStr">
        <is>
          <t>Elementary and secondary schools</t>
        </is>
      </c>
      <c r="B373" s="83" t="inlineStr">
        <is>
          <t>611100</t>
        </is>
      </c>
      <c r="C373" s="83" t="n">
        <v>34563</v>
      </c>
      <c r="D373" s="83" t="n">
        <v>1206</v>
      </c>
      <c r="E373" s="83" t="n">
        <v>1265</v>
      </c>
      <c r="F373" s="83" t="n">
        <v>4</v>
      </c>
      <c r="H373" s="83">
        <f>F354-G354</f>
        <v/>
      </c>
    </row>
    <row r="374" ht="12.8" customHeight="1" s="82">
      <c r="A374" s="83" t="inlineStr">
        <is>
          <t>Junior colleges, colleges, universities, and professional schools</t>
        </is>
      </c>
      <c r="B374" s="83" t="inlineStr">
        <is>
          <t>611A00</t>
        </is>
      </c>
      <c r="C374" s="83" t="n">
        <v>121810</v>
      </c>
      <c r="D374" s="83" t="n">
        <v>5200</v>
      </c>
      <c r="E374" s="83" t="n">
        <v>41574</v>
      </c>
      <c r="F374" s="83" t="n">
        <v>459</v>
      </c>
      <c r="H374" s="83">
        <f>F355-G355</f>
        <v/>
      </c>
    </row>
    <row r="375" ht="12.8" customHeight="1" s="82">
      <c r="A375" s="83" t="inlineStr">
        <is>
          <t>Other educational services</t>
        </is>
      </c>
      <c r="B375" s="83" t="inlineStr">
        <is>
          <t>611B00</t>
        </is>
      </c>
      <c r="C375" s="83" t="n">
        <v>36048</v>
      </c>
      <c r="D375" s="83" t="n">
        <v>1954</v>
      </c>
      <c r="E375" s="83" t="n">
        <v>1090</v>
      </c>
      <c r="F375" s="83" t="n">
        <v>414</v>
      </c>
      <c r="H375" s="83">
        <f>F356-G356</f>
        <v/>
      </c>
    </row>
    <row r="376" ht="12.8" customHeight="1" s="82">
      <c r="A376" s="83" t="inlineStr">
        <is>
          <t>Offices of physicians</t>
        </is>
      </c>
      <c r="B376" s="83" t="inlineStr">
        <is>
          <t>621100</t>
        </is>
      </c>
      <c r="C376" s="83" t="n">
        <v>279251</v>
      </c>
      <c r="D376" s="83" t="n">
        <v>4095</v>
      </c>
      <c r="E376" s="83" t="n">
        <v>24262</v>
      </c>
      <c r="F376" s="83" t="n">
        <v>308</v>
      </c>
      <c r="H376" s="83">
        <f>F357-G357</f>
        <v/>
      </c>
    </row>
    <row r="377" ht="12.8" customHeight="1" s="82">
      <c r="A377" s="83" t="inlineStr">
        <is>
          <t>Offices of dentists</t>
        </is>
      </c>
      <c r="B377" s="83" t="inlineStr">
        <is>
          <t>621200</t>
        </is>
      </c>
      <c r="C377" s="83" t="n">
        <v>57872</v>
      </c>
      <c r="D377" s="83" t="n">
        <v>966</v>
      </c>
      <c r="E377" s="83" t="n">
        <v>40384</v>
      </c>
      <c r="F377" s="83" t="n">
        <v>4</v>
      </c>
      <c r="H377" s="83">
        <f>F358-G358</f>
        <v/>
      </c>
    </row>
    <row r="378" ht="12.8" customHeight="1" s="82">
      <c r="A378" s="83" t="inlineStr">
        <is>
          <t>Offices of other health practitioners</t>
        </is>
      </c>
      <c r="B378" s="83" t="inlineStr">
        <is>
          <t>621300</t>
        </is>
      </c>
      <c r="C378" s="83" t="n">
        <v>43302</v>
      </c>
      <c r="D378" s="83" t="n">
        <v>641</v>
      </c>
      <c r="E378" s="83" t="n">
        <v>33720</v>
      </c>
      <c r="F378" s="83" t="n">
        <v>679</v>
      </c>
      <c r="H378" s="83">
        <f>F359-G359</f>
        <v/>
      </c>
    </row>
    <row r="379" ht="12.8" customHeight="1" s="82">
      <c r="A379" s="83" t="inlineStr">
        <is>
          <t>Outpatient care centers</t>
        </is>
      </c>
      <c r="B379" s="83" t="inlineStr">
        <is>
          <t>621400</t>
        </is>
      </c>
      <c r="C379" s="83" t="n">
        <v>73909</v>
      </c>
      <c r="D379" s="83" t="n">
        <v>960</v>
      </c>
      <c r="E379" s="83" t="n">
        <v>25868</v>
      </c>
      <c r="F379" s="83" t="n">
        <v>241</v>
      </c>
      <c r="H379" s="83">
        <f>F360-G360</f>
        <v/>
      </c>
    </row>
    <row r="380" ht="12.8" customHeight="1" s="82">
      <c r="A380" s="83" t="inlineStr">
        <is>
          <t>Medical and diagnostic laboratories</t>
        </is>
      </c>
      <c r="B380" s="83" t="inlineStr">
        <is>
          <t>621500</t>
        </is>
      </c>
      <c r="C380" s="83" t="n">
        <v>20867</v>
      </c>
      <c r="D380" s="83" t="n">
        <v>408</v>
      </c>
      <c r="E380" s="83" t="n">
        <v>18285</v>
      </c>
      <c r="F380" s="83" t="n">
        <v>54</v>
      </c>
      <c r="H380" s="83">
        <f>F361-G361</f>
        <v/>
      </c>
    </row>
    <row r="381" ht="12.8" customHeight="1" s="82">
      <c r="A381" s="83" t="inlineStr">
        <is>
          <t>Home health care services</t>
        </is>
      </c>
      <c r="B381" s="83" t="inlineStr">
        <is>
          <t>621600</t>
        </is>
      </c>
      <c r="C381" s="83" t="n">
        <v>52907</v>
      </c>
      <c r="D381" s="83" t="n">
        <v>725</v>
      </c>
      <c r="E381" s="83" t="n">
        <v>11531</v>
      </c>
      <c r="F381" s="83" t="n">
        <v>129</v>
      </c>
      <c r="H381" s="83">
        <f>F362-G362</f>
        <v/>
      </c>
    </row>
    <row r="382" ht="12.8" customHeight="1" s="82">
      <c r="A382" s="83" t="inlineStr">
        <is>
          <t>Other ambulatory health care services</t>
        </is>
      </c>
      <c r="B382" s="83" t="inlineStr">
        <is>
          <t>621900</t>
        </is>
      </c>
      <c r="C382" s="83" t="n">
        <v>17101</v>
      </c>
      <c r="D382" s="83" t="n">
        <v>300</v>
      </c>
      <c r="E382" s="83" t="n">
        <v>833</v>
      </c>
      <c r="F382" s="83" t="n">
        <v>59</v>
      </c>
      <c r="H382" s="83">
        <f>F363-G363</f>
        <v/>
      </c>
    </row>
    <row r="383" ht="12.8" customHeight="1" s="82">
      <c r="A383" s="83" t="inlineStr">
        <is>
          <t>Hospitals</t>
        </is>
      </c>
      <c r="B383" s="83" t="inlineStr">
        <is>
          <t>622000</t>
        </is>
      </c>
      <c r="C383" s="83" t="n">
        <v>396274</v>
      </c>
      <c r="D383" s="83" t="n">
        <v>11590</v>
      </c>
      <c r="E383" s="83" t="n">
        <v>76051</v>
      </c>
      <c r="F383" s="83" t="n">
        <v>2616</v>
      </c>
      <c r="G383" s="83" t="n">
        <v>375</v>
      </c>
      <c r="H383" s="83">
        <f>F364-G364</f>
        <v/>
      </c>
    </row>
    <row r="384" ht="12.8" customHeight="1" s="82">
      <c r="A384" s="83" t="inlineStr">
        <is>
          <t>Nursing and community care facilities</t>
        </is>
      </c>
      <c r="B384" s="83" t="inlineStr">
        <is>
          <t>623A00</t>
        </is>
      </c>
      <c r="C384" s="83" t="n">
        <v>98255</v>
      </c>
      <c r="D384" s="83" t="n">
        <v>2678</v>
      </c>
      <c r="E384" s="83" t="n">
        <v>7290</v>
      </c>
      <c r="F384" s="83" t="n">
        <v>2532</v>
      </c>
      <c r="H384" s="83">
        <f>F365-G365</f>
        <v/>
      </c>
    </row>
    <row r="385" ht="12.8" customHeight="1" s="82">
      <c r="A385" s="83" t="inlineStr">
        <is>
          <t>Residential mental health, substance abuse, and other residential care facilities</t>
        </is>
      </c>
      <c r="B385" s="83" t="inlineStr">
        <is>
          <t>623B00</t>
        </is>
      </c>
      <c r="C385" s="83" t="n">
        <v>33285</v>
      </c>
      <c r="D385" s="83" t="n">
        <v>760</v>
      </c>
      <c r="E385" s="83" t="n">
        <v>2136</v>
      </c>
      <c r="F385" s="83" t="n">
        <v>431</v>
      </c>
      <c r="H385" s="83">
        <f>F366-G366</f>
        <v/>
      </c>
    </row>
    <row r="386" ht="12.8" customHeight="1" s="82">
      <c r="A386" s="83" t="inlineStr">
        <is>
          <t>Individual and family services</t>
        </is>
      </c>
      <c r="B386" s="83" t="inlineStr">
        <is>
          <t>624100</t>
        </is>
      </c>
      <c r="C386" s="83" t="n">
        <v>68790</v>
      </c>
      <c r="D386" s="83" t="n">
        <v>606</v>
      </c>
      <c r="E386" s="83" t="n">
        <v>6311</v>
      </c>
      <c r="F386" s="83" t="n">
        <v>408</v>
      </c>
      <c r="H386" s="83">
        <f>F367-G367</f>
        <v/>
      </c>
    </row>
    <row r="387" ht="12.8" customHeight="1" s="82">
      <c r="A387" s="83" t="inlineStr">
        <is>
          <t>Child day care services</t>
        </is>
      </c>
      <c r="B387" s="83" t="inlineStr">
        <is>
          <t>624400</t>
        </is>
      </c>
      <c r="C387" s="83" t="n">
        <v>25402</v>
      </c>
      <c r="D387" s="83" t="n">
        <v>285</v>
      </c>
      <c r="E387" s="83" t="n">
        <v>2826</v>
      </c>
      <c r="F387" s="83" t="n">
        <v>383</v>
      </c>
      <c r="H387" s="83">
        <f>F368-G368</f>
        <v/>
      </c>
    </row>
    <row r="388" ht="12.8" customHeight="1" s="82">
      <c r="A388" s="83" t="inlineStr">
        <is>
          <t>Community food, housing, and other relief services, including rehabilitation services</t>
        </is>
      </c>
      <c r="B388" s="83" t="inlineStr">
        <is>
          <t>624A00</t>
        </is>
      </c>
      <c r="C388" s="83" t="n">
        <v>19894</v>
      </c>
      <c r="D388" s="83" t="n">
        <v>259</v>
      </c>
      <c r="E388" s="83" t="n">
        <v>2828</v>
      </c>
      <c r="F388" s="83" t="n">
        <v>162</v>
      </c>
      <c r="H388" s="83">
        <f>F369-G369</f>
        <v/>
      </c>
    </row>
    <row r="389" ht="12.8" customHeight="1" s="82">
      <c r="A389" s="83" t="inlineStr">
        <is>
          <t>Performing arts companies</t>
        </is>
      </c>
      <c r="B389" s="83" t="inlineStr">
        <is>
          <t>711100</t>
        </is>
      </c>
      <c r="C389" s="83" t="n">
        <v>7264</v>
      </c>
      <c r="D389" s="83" t="n">
        <v>346</v>
      </c>
      <c r="E389" s="83" t="n">
        <v>8020</v>
      </c>
      <c r="F389" s="83" t="n">
        <v>972</v>
      </c>
      <c r="H389" s="83">
        <f>F370-G370</f>
        <v/>
      </c>
    </row>
    <row r="390" ht="12.8" customHeight="1" s="82">
      <c r="A390" s="83" t="inlineStr">
        <is>
          <t>Spectator sports</t>
        </is>
      </c>
      <c r="B390" s="83" t="inlineStr">
        <is>
          <t>711200</t>
        </is>
      </c>
      <c r="C390" s="83" t="n">
        <v>25961</v>
      </c>
      <c r="D390" s="83" t="n">
        <v>676</v>
      </c>
      <c r="E390" s="83" t="n">
        <v>9100</v>
      </c>
      <c r="F390" s="83" t="n">
        <v>1899</v>
      </c>
      <c r="H390" s="83">
        <f>F371-G371</f>
        <v/>
      </c>
    </row>
    <row r="391" ht="12.8" customHeight="1" s="82">
      <c r="A391" s="83" t="inlineStr">
        <is>
          <t>Independent artists, writers, and performers</t>
        </is>
      </c>
      <c r="B391" s="83" t="inlineStr">
        <is>
          <t>711500</t>
        </is>
      </c>
      <c r="C391" s="83" t="n">
        <v>9125</v>
      </c>
      <c r="D391" s="83" t="n">
        <v>596</v>
      </c>
      <c r="E391" s="83" t="n">
        <v>21794</v>
      </c>
      <c r="F391" s="83" t="n">
        <v>1247</v>
      </c>
      <c r="H391" s="83">
        <f>F372-G372</f>
        <v/>
      </c>
    </row>
    <row r="392" ht="12.8" customHeight="1" s="82">
      <c r="A392" s="83" t="inlineStr">
        <is>
          <t>Promoters of performing arts and sports and agents for public figures</t>
        </is>
      </c>
      <c r="B392" s="83" t="inlineStr">
        <is>
          <t>711A00</t>
        </is>
      </c>
      <c r="C392" s="83" t="n">
        <v>10192</v>
      </c>
      <c r="D392" s="83" t="n">
        <v>685</v>
      </c>
      <c r="E392" s="83" t="n">
        <v>15172</v>
      </c>
      <c r="F392" s="83" t="n">
        <v>1462</v>
      </c>
      <c r="H392" s="83">
        <f>F373-G373</f>
        <v/>
      </c>
    </row>
    <row r="393" ht="12.8" customHeight="1" s="82">
      <c r="A393" s="83" t="inlineStr">
        <is>
          <t>Museums, historical sites, zoos, and parks</t>
        </is>
      </c>
      <c r="B393" s="83" t="inlineStr">
        <is>
          <t>712000</t>
        </is>
      </c>
      <c r="C393" s="83" t="n">
        <v>6975</v>
      </c>
      <c r="D393" s="83" t="n">
        <v>265</v>
      </c>
      <c r="E393" s="83" t="n">
        <v>4580</v>
      </c>
      <c r="F393" s="83" t="n">
        <v>472</v>
      </c>
      <c r="H393" s="83">
        <f>F374-G374</f>
        <v/>
      </c>
    </row>
    <row r="394" ht="12.8" customHeight="1" s="82">
      <c r="A394" s="83" t="inlineStr">
        <is>
          <t>Amusement parks and arcades</t>
        </is>
      </c>
      <c r="B394" s="83" t="inlineStr">
        <is>
          <t>713100</t>
        </is>
      </c>
      <c r="C394" s="83" t="n">
        <v>8012</v>
      </c>
      <c r="D394" s="83" t="n">
        <v>602</v>
      </c>
      <c r="E394" s="83" t="n">
        <v>4595</v>
      </c>
      <c r="F394" s="83" t="n">
        <v>2811</v>
      </c>
      <c r="H394" s="83">
        <f>F375-G375</f>
        <v/>
      </c>
    </row>
    <row r="395" ht="12.8" customHeight="1" s="82">
      <c r="A395" s="83" t="inlineStr">
        <is>
          <t>Gambling industries (except casino hotels)</t>
        </is>
      </c>
      <c r="B395" s="83" t="inlineStr">
        <is>
          <t>713200</t>
        </is>
      </c>
      <c r="C395" s="83" t="n">
        <v>9103</v>
      </c>
      <c r="D395" s="83" t="n">
        <v>737</v>
      </c>
      <c r="E395" s="83" t="n">
        <v>9413</v>
      </c>
      <c r="F395" s="83" t="n">
        <v>1393</v>
      </c>
      <c r="H395" s="83">
        <f>F376-G376</f>
        <v/>
      </c>
    </row>
    <row r="396" ht="12.8" customHeight="1" s="82">
      <c r="A396" s="83" t="inlineStr">
        <is>
          <t>Other amusement and recreation industries</t>
        </is>
      </c>
      <c r="B396" s="83" t="inlineStr">
        <is>
          <t>713900</t>
        </is>
      </c>
      <c r="C396" s="83" t="n">
        <v>37082</v>
      </c>
      <c r="D396" s="83" t="n">
        <v>2310</v>
      </c>
      <c r="E396" s="83" t="n">
        <v>5216</v>
      </c>
      <c r="F396" s="83" t="n">
        <v>5677</v>
      </c>
      <c r="H396" s="83">
        <f>F377-G377</f>
        <v/>
      </c>
    </row>
    <row r="397" ht="12.8" customHeight="1" s="82">
      <c r="A397" s="83" t="inlineStr">
        <is>
          <t>Accommodation</t>
        </is>
      </c>
      <c r="B397" s="83" t="inlineStr">
        <is>
          <t>721000</t>
        </is>
      </c>
      <c r="C397" s="83" t="n">
        <v>82723</v>
      </c>
      <c r="D397" s="83" t="n">
        <v>5831</v>
      </c>
      <c r="E397" s="83" t="n">
        <v>63036</v>
      </c>
      <c r="F397" s="83" t="n">
        <v>24709</v>
      </c>
      <c r="H397" s="83">
        <f>F378-G378</f>
        <v/>
      </c>
    </row>
    <row r="398" ht="12.8" customHeight="1" s="82">
      <c r="A398" s="83" t="inlineStr">
        <is>
          <t>Full-service restaurants</t>
        </is>
      </c>
      <c r="B398" s="83" t="inlineStr">
        <is>
          <t>722110</t>
        </is>
      </c>
      <c r="C398" s="83" t="n">
        <v>153383</v>
      </c>
      <c r="D398" s="83" t="n">
        <v>1911</v>
      </c>
      <c r="E398" s="83" t="n">
        <v>39297</v>
      </c>
      <c r="F398" s="83" t="n">
        <v>24646</v>
      </c>
      <c r="H398" s="83">
        <f>F379-G379</f>
        <v/>
      </c>
    </row>
    <row r="399" ht="12.8" customHeight="1" s="82">
      <c r="A399" s="83" t="inlineStr">
        <is>
          <t>Limited-service restaurants</t>
        </is>
      </c>
      <c r="B399" s="83" t="inlineStr">
        <is>
          <t>722211</t>
        </is>
      </c>
      <c r="C399" s="83" t="n">
        <v>92629</v>
      </c>
      <c r="D399" s="83" t="n">
        <v>1751</v>
      </c>
      <c r="E399" s="83" t="n">
        <v>38095</v>
      </c>
      <c r="F399" s="83" t="n">
        <v>23633</v>
      </c>
      <c r="H399" s="83">
        <f>F380-G380</f>
        <v/>
      </c>
    </row>
    <row r="400" ht="12.8" customHeight="1" s="82">
      <c r="A400" s="83" t="inlineStr">
        <is>
          <t>All other food and drinking places</t>
        </is>
      </c>
      <c r="B400" s="83" t="inlineStr">
        <is>
          <t>722A00</t>
        </is>
      </c>
      <c r="C400" s="83" t="n">
        <v>52024</v>
      </c>
      <c r="D400" s="83" t="n">
        <v>540</v>
      </c>
      <c r="E400" s="83" t="n">
        <v>9080</v>
      </c>
      <c r="F400" s="83" t="n">
        <v>4112</v>
      </c>
      <c r="H400" s="83">
        <f>F381-G381</f>
        <v/>
      </c>
    </row>
    <row r="401" ht="12.8" customHeight="1" s="82">
      <c r="A401" s="83" t="inlineStr">
        <is>
          <t>Automotive repair and maintenance (including car washes)</t>
        </is>
      </c>
      <c r="B401" s="83" t="inlineStr">
        <is>
          <t>811100</t>
        </is>
      </c>
      <c r="C401" s="83" t="n">
        <v>45483</v>
      </c>
      <c r="D401" s="83" t="n">
        <v>2155</v>
      </c>
      <c r="E401" s="83" t="n">
        <v>23211</v>
      </c>
      <c r="F401" s="83" t="n">
        <v>6420</v>
      </c>
      <c r="H401" s="83">
        <f>F382-G382</f>
        <v/>
      </c>
    </row>
    <row r="402" ht="12.8" customHeight="1" s="82">
      <c r="A402" s="83" t="inlineStr">
        <is>
          <t>Electronic and precision equipment repair and maintenance</t>
        </is>
      </c>
      <c r="B402" s="83" t="inlineStr">
        <is>
          <t>811200</t>
        </is>
      </c>
      <c r="C402" s="83" t="n">
        <v>8659</v>
      </c>
      <c r="D402" s="83" t="n">
        <v>345</v>
      </c>
      <c r="E402" s="83" t="n">
        <v>4176</v>
      </c>
      <c r="F402" s="83" t="n">
        <v>466</v>
      </c>
      <c r="H402" s="83">
        <f>F383-G383</f>
        <v/>
      </c>
    </row>
    <row r="403" ht="12.8" customHeight="1" s="82">
      <c r="A403" s="83" t="inlineStr">
        <is>
          <t>Commercial and industrial machinery and equipment repair and maintenance</t>
        </is>
      </c>
      <c r="B403" s="83" t="inlineStr">
        <is>
          <t>811300</t>
        </is>
      </c>
      <c r="C403" s="83" t="n">
        <v>15059</v>
      </c>
      <c r="D403" s="83" t="n">
        <v>814</v>
      </c>
      <c r="E403" s="83" t="n">
        <v>8394</v>
      </c>
      <c r="F403" s="83" t="n">
        <v>741</v>
      </c>
      <c r="H403" s="83">
        <f>F384-G384</f>
        <v/>
      </c>
    </row>
    <row r="404">
      <c r="A404" s="83" t="inlineStr">
        <is>
          <t>Personal and household goods repair and maintenance</t>
        </is>
      </c>
      <c r="B404" s="83" t="inlineStr">
        <is>
          <t>811400</t>
        </is>
      </c>
      <c r="C404" s="83" t="n">
        <v>6344</v>
      </c>
      <c r="D404" s="83" t="n">
        <v>438</v>
      </c>
      <c r="E404" s="83" t="n">
        <v>5625</v>
      </c>
      <c r="F404" s="83" t="n">
        <v>990</v>
      </c>
      <c r="H404" s="83">
        <f>F385-G385</f>
        <v/>
      </c>
    </row>
    <row r="405" ht="12.8" customHeight="1" s="82">
      <c r="A405" s="83" t="inlineStr">
        <is>
          <t>Personal care services</t>
        </is>
      </c>
      <c r="B405" s="83" t="inlineStr">
        <is>
          <t>812100</t>
        </is>
      </c>
      <c r="C405" s="83" t="n">
        <v>29909</v>
      </c>
      <c r="D405" s="83" t="n">
        <v>1515</v>
      </c>
      <c r="E405" s="83" t="n">
        <v>11995</v>
      </c>
      <c r="F405" s="83" t="n">
        <v>1407</v>
      </c>
      <c r="H405" s="83">
        <f>F386-G386</f>
        <v/>
      </c>
    </row>
    <row r="406">
      <c r="A406" s="83" t="inlineStr">
        <is>
          <t>Death care services</t>
        </is>
      </c>
      <c r="B406" s="83" t="inlineStr">
        <is>
          <t>812200</t>
        </is>
      </c>
      <c r="C406" s="83" t="n">
        <v>7741</v>
      </c>
      <c r="D406" s="83" t="n">
        <v>391</v>
      </c>
      <c r="E406" s="83" t="n">
        <v>5520</v>
      </c>
      <c r="F406" s="83" t="n">
        <v>482</v>
      </c>
      <c r="H406" s="83">
        <f>F387-G387</f>
        <v/>
      </c>
    </row>
    <row r="407">
      <c r="A407" s="83" t="inlineStr">
        <is>
          <t>Dry-cleaning and laundry services</t>
        </is>
      </c>
      <c r="B407" s="83" t="inlineStr">
        <is>
          <t>812300</t>
        </is>
      </c>
      <c r="C407" s="83" t="n">
        <v>13444</v>
      </c>
      <c r="D407" s="83" t="n">
        <v>479</v>
      </c>
      <c r="E407" s="83" t="n">
        <v>4365</v>
      </c>
      <c r="F407" s="83" t="n">
        <v>1220</v>
      </c>
      <c r="H407" s="83">
        <f>F388-G388</f>
        <v/>
      </c>
    </row>
    <row r="408">
      <c r="A408" s="83" t="inlineStr">
        <is>
          <t>Other personal services</t>
        </is>
      </c>
      <c r="B408" s="83" t="inlineStr">
        <is>
          <t>812900</t>
        </is>
      </c>
      <c r="C408" s="83" t="n">
        <v>18426</v>
      </c>
      <c r="D408" s="83" t="n">
        <v>1367</v>
      </c>
      <c r="E408" s="83" t="n">
        <v>15077</v>
      </c>
      <c r="F408" s="83" t="n">
        <v>1338</v>
      </c>
      <c r="H408" s="83">
        <f>F389-G389</f>
        <v/>
      </c>
    </row>
    <row r="409">
      <c r="A409" s="83" t="inlineStr">
        <is>
          <t>Religious organizations</t>
        </is>
      </c>
      <c r="B409" s="83" t="inlineStr">
        <is>
          <t>813100</t>
        </is>
      </c>
      <c r="C409" s="83" t="n">
        <v>57158</v>
      </c>
      <c r="D409" s="83" t="n">
        <v>234</v>
      </c>
      <c r="E409" s="83" t="n">
        <v>11860</v>
      </c>
      <c r="H409" s="83">
        <f>F390-G390</f>
        <v/>
      </c>
    </row>
    <row r="410">
      <c r="A410" s="83" t="inlineStr">
        <is>
          <t>Grantmaking, giving, and social advocacy organizations</t>
        </is>
      </c>
      <c r="B410" s="83" t="inlineStr">
        <is>
          <t>813A00</t>
        </is>
      </c>
      <c r="C410" s="83" t="n">
        <v>29428</v>
      </c>
      <c r="D410" s="83" t="n">
        <v>918</v>
      </c>
      <c r="E410" s="83" t="n">
        <v>8858</v>
      </c>
      <c r="F410" s="83" t="n">
        <v>10</v>
      </c>
      <c r="H410" s="83">
        <f>F391-G391</f>
        <v/>
      </c>
    </row>
    <row r="411">
      <c r="A411" s="83" t="inlineStr">
        <is>
          <t>Civic, social, professional, and similar organizations</t>
        </is>
      </c>
      <c r="B411" s="83" t="inlineStr">
        <is>
          <t>813B00</t>
        </is>
      </c>
      <c r="C411" s="83" t="n">
        <v>55157</v>
      </c>
      <c r="D411" s="83" t="n">
        <v>1637</v>
      </c>
      <c r="E411" s="83" t="n">
        <v>4905</v>
      </c>
      <c r="F411" s="83" t="n">
        <v>323</v>
      </c>
      <c r="H411" s="83">
        <f>F392-G392</f>
        <v/>
      </c>
    </row>
    <row r="412">
      <c r="A412" s="83" t="inlineStr">
        <is>
          <t>Private households</t>
        </is>
      </c>
      <c r="B412" s="83" t="inlineStr">
        <is>
          <t>814000</t>
        </is>
      </c>
      <c r="C412" s="83" t="n">
        <v>18684</v>
      </c>
      <c r="D412" s="83" t="n">
        <v>0</v>
      </c>
      <c r="H412" s="83">
        <f>F393-G393</f>
        <v/>
      </c>
    </row>
    <row r="413">
      <c r="A413" s="83" t="inlineStr">
        <is>
          <t>State and local government (educational services)</t>
        </is>
      </c>
      <c r="B413" s="83" t="inlineStr">
        <is>
          <t>GSLGE</t>
        </is>
      </c>
      <c r="C413" s="83" t="n">
        <v>731648</v>
      </c>
      <c r="E413" s="83" t="n">
        <v>76537</v>
      </c>
      <c r="H413" s="83">
        <f>F394-G394</f>
        <v/>
      </c>
    </row>
    <row r="414">
      <c r="A414" s="83" t="inlineStr">
        <is>
          <t>State and local government (hospitals and health services)</t>
        </is>
      </c>
      <c r="B414" s="83" t="inlineStr">
        <is>
          <t>GSLGH</t>
        </is>
      </c>
      <c r="C414" s="83" t="n">
        <v>139316</v>
      </c>
      <c r="E414" s="83" t="n">
        <v>17879</v>
      </c>
      <c r="H414" s="83">
        <f>F395-G395</f>
        <v/>
      </c>
    </row>
    <row r="415">
      <c r="A415" s="83" t="inlineStr">
        <is>
          <t>State and local government (other services)</t>
        </is>
      </c>
      <c r="B415" s="83" t="inlineStr">
        <is>
          <t>GSLGO</t>
        </is>
      </c>
      <c r="C415" s="83" t="n">
        <v>467952</v>
      </c>
      <c r="E415" s="83" t="n">
        <v>111540</v>
      </c>
      <c r="H415" s="83">
        <f>F396-G396</f>
        <v/>
      </c>
    </row>
    <row r="416">
      <c r="A416" s="83" t="inlineStr">
        <is>
          <t>Federal electric utilities</t>
        </is>
      </c>
      <c r="B416" s="83" t="inlineStr">
        <is>
          <t>S00101</t>
        </is>
      </c>
      <c r="C416" s="83" t="n">
        <v>1997</v>
      </c>
      <c r="E416" s="83" t="n">
        <v>4566</v>
      </c>
      <c r="H416" s="83">
        <f>F397-G397</f>
        <v/>
      </c>
    </row>
    <row r="417">
      <c r="A417" s="83" t="inlineStr">
        <is>
          <t>Other federal government enterprises</t>
        </is>
      </c>
      <c r="B417" s="83" t="inlineStr">
        <is>
          <t>S00102</t>
        </is>
      </c>
      <c r="C417" s="83" t="n">
        <v>2973</v>
      </c>
      <c r="E417" s="83" t="n">
        <v>4080</v>
      </c>
      <c r="G417" s="83" t="n">
        <v>6339</v>
      </c>
      <c r="H417" s="83">
        <f>F398-G398</f>
        <v/>
      </c>
    </row>
    <row r="418">
      <c r="A418" s="83" t="inlineStr">
        <is>
          <t>State and local government passenger transit</t>
        </is>
      </c>
      <c r="B418" s="83" t="inlineStr">
        <is>
          <t>S00201</t>
        </is>
      </c>
      <c r="C418" s="83" t="n">
        <v>26850</v>
      </c>
      <c r="E418" s="83" t="n">
        <v>-36919</v>
      </c>
      <c r="G418" s="83" t="n">
        <v>0</v>
      </c>
      <c r="H418" s="83">
        <f>F399-G399</f>
        <v/>
      </c>
    </row>
    <row r="419">
      <c r="A419" s="83" t="inlineStr">
        <is>
          <t>State and local government electric utilities</t>
        </is>
      </c>
      <c r="B419" s="83" t="inlineStr">
        <is>
          <t>S00202</t>
        </is>
      </c>
      <c r="C419" s="83" t="n">
        <v>10203</v>
      </c>
      <c r="E419" s="83" t="n">
        <v>19288</v>
      </c>
      <c r="H419" s="83">
        <f>F400-G400</f>
        <v/>
      </c>
    </row>
    <row r="420">
      <c r="A420" s="83" t="inlineStr">
        <is>
          <t>Other state and local government enterprises</t>
        </is>
      </c>
      <c r="B420" s="83" t="inlineStr">
        <is>
          <t>S00203</t>
        </is>
      </c>
      <c r="C420" s="83" t="n">
        <v>69979</v>
      </c>
      <c r="E420" s="83" t="n">
        <v>74058</v>
      </c>
      <c r="F420" s="83" t="n">
        <v>538</v>
      </c>
      <c r="G420" s="83" t="n">
        <v>19471</v>
      </c>
      <c r="H420" s="83">
        <f>F401-G401</f>
        <v/>
      </c>
    </row>
    <row r="421">
      <c r="A421" s="83" t="inlineStr">
        <is>
          <t>Federal general government (defense)</t>
        </is>
      </c>
      <c r="B421" s="83" t="inlineStr">
        <is>
          <t>S00500</t>
        </is>
      </c>
      <c r="C421" s="83" t="n">
        <v>246097</v>
      </c>
      <c r="E421" s="83" t="n">
        <v>159521</v>
      </c>
      <c r="H421" s="83">
        <f>F402-G402</f>
        <v/>
      </c>
    </row>
    <row r="422">
      <c r="A422" s="83" t="inlineStr">
        <is>
          <t>Federal general government (nondefense)</t>
        </is>
      </c>
      <c r="B422" s="83" t="inlineStr">
        <is>
          <t>S00600</t>
        </is>
      </c>
      <c r="C422" s="83" t="n">
        <v>184220</v>
      </c>
      <c r="E422" s="83" t="n">
        <v>112305</v>
      </c>
      <c r="H422" s="83">
        <f>F403-G403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74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7" activeCellId="0" sqref="A7"/>
    </sheetView>
  </sheetViews>
  <sheetFormatPr baseColWidth="8" defaultColWidth="11.53515625" defaultRowHeight="12.8" zeroHeight="0" outlineLevelRow="0"/>
  <sheetData>
    <row r="1" ht="12.8" customHeight="1" s="82">
      <c r="A1" s="83" t="inlineStr">
        <is>
          <t>code</t>
        </is>
      </c>
      <c r="B1" s="83" t="inlineStr">
        <is>
          <t>title</t>
        </is>
      </c>
      <c r="C1" s="83" t="inlineStr">
        <is>
          <t>T00TOP</t>
        </is>
      </c>
      <c r="D1" s="83" t="inlineStr">
        <is>
          <t>T00SUB</t>
        </is>
      </c>
      <c r="E1" s="83" t="inlineStr">
        <is>
          <t>extra_tax</t>
        </is>
      </c>
      <c r="F1" s="94" t="inlineStr">
        <is>
          <t>sut_nettax</t>
        </is>
      </c>
      <c r="G1" s="83" t="inlineStr">
        <is>
          <t>sut_joint_tax</t>
        </is>
      </c>
      <c r="H1" s="94" t="inlineStr">
        <is>
          <t>sut_code</t>
        </is>
      </c>
      <c r="I1" s="94" t="inlineStr">
        <is>
          <t>bea_nettax</t>
        </is>
      </c>
      <c r="J1" s="94" t="inlineStr">
        <is>
          <t>bea_code</t>
        </is>
      </c>
      <c r="K1" s="83" t="inlineStr">
        <is>
          <t>sut_bea_diff</t>
        </is>
      </c>
      <c r="L1" s="83" t="inlineStr">
        <is>
          <t>sut_bea_perc</t>
        </is>
      </c>
    </row>
    <row r="2" ht="12.8" customHeight="1" s="82">
      <c r="A2" s="83" t="inlineStr">
        <is>
          <t>111CA</t>
        </is>
      </c>
      <c r="B2" s="83" t="inlineStr">
        <is>
          <t>Farms</t>
        </is>
      </c>
      <c r="C2" s="83" t="n">
        <v>0</v>
      </c>
      <c r="D2" s="83" t="n">
        <v>7036</v>
      </c>
      <c r="E2" s="83">
        <f>C2-D2</f>
        <v/>
      </c>
      <c r="F2" s="83" t="n">
        <v>11957</v>
      </c>
      <c r="G2" s="83">
        <f>F2+E2</f>
        <v/>
      </c>
      <c r="H2" s="83" t="inlineStr">
        <is>
          <t>111CA</t>
        </is>
      </c>
      <c r="I2" s="83" t="n">
        <v>-1278</v>
      </c>
      <c r="J2" s="83" t="inlineStr">
        <is>
          <t>111CA</t>
        </is>
      </c>
      <c r="K2" s="83">
        <f>I2-G2</f>
        <v/>
      </c>
      <c r="L2" s="85">
        <f>K2/I2*100</f>
        <v/>
      </c>
    </row>
    <row r="3" ht="12.8" customHeight="1" s="82">
      <c r="A3" s="83" t="inlineStr">
        <is>
          <t>113FF</t>
        </is>
      </c>
      <c r="B3" s="83" t="inlineStr">
        <is>
          <t>Forestry, fishing, and related activities</t>
        </is>
      </c>
      <c r="C3" s="83" t="n">
        <v>928</v>
      </c>
      <c r="D3" s="83" t="n">
        <v>0</v>
      </c>
      <c r="E3" s="83">
        <f>C3-D3</f>
        <v/>
      </c>
      <c r="F3" s="83" t="n">
        <v>1504</v>
      </c>
      <c r="G3" s="83">
        <f>F3+E3</f>
        <v/>
      </c>
      <c r="H3" s="83" t="inlineStr">
        <is>
          <t>113FF</t>
        </is>
      </c>
      <c r="I3" s="83" t="n">
        <v>2630</v>
      </c>
      <c r="J3" s="83" t="inlineStr">
        <is>
          <t>113FF</t>
        </is>
      </c>
      <c r="K3" s="83">
        <f>I3-G3</f>
        <v/>
      </c>
      <c r="L3" s="85">
        <f>K3/I3*100</f>
        <v/>
      </c>
    </row>
    <row r="4" ht="12.8" customHeight="1" s="82">
      <c r="A4" s="83" t="inlineStr">
        <is>
          <t>211</t>
        </is>
      </c>
      <c r="B4" s="83" t="inlineStr">
        <is>
          <t>Oil and gas extraction</t>
        </is>
      </c>
      <c r="C4" s="83" t="n">
        <v>17169</v>
      </c>
      <c r="D4" s="83" t="n">
        <v>0</v>
      </c>
      <c r="E4" s="83">
        <f>C4-D4</f>
        <v/>
      </c>
      <c r="F4" s="83" t="n">
        <v>27936</v>
      </c>
      <c r="G4" s="83">
        <f>F4+E4</f>
        <v/>
      </c>
      <c r="H4" s="83" t="inlineStr">
        <is>
          <t>211</t>
        </is>
      </c>
      <c r="I4" s="83" t="n">
        <v>52299</v>
      </c>
      <c r="J4" s="83" t="inlineStr">
        <is>
          <t>211</t>
        </is>
      </c>
      <c r="K4" s="83">
        <f>I4-G4</f>
        <v/>
      </c>
      <c r="L4" s="85">
        <f>K4/I4*100</f>
        <v/>
      </c>
    </row>
    <row r="5" ht="12.8" customHeight="1" s="82">
      <c r="A5" s="83" t="inlineStr">
        <is>
          <t>212</t>
        </is>
      </c>
      <c r="B5" s="83" t="inlineStr">
        <is>
          <t>Mining, except oil and gas</t>
        </is>
      </c>
      <c r="C5" s="83" t="n">
        <v>4130</v>
      </c>
      <c r="D5" s="83" t="n">
        <v>0</v>
      </c>
      <c r="E5" s="83">
        <f>C5-D5</f>
        <v/>
      </c>
      <c r="F5" s="83" t="n">
        <v>3373</v>
      </c>
      <c r="G5" s="83">
        <f>F5+E5</f>
        <v/>
      </c>
      <c r="H5" s="83" t="inlineStr">
        <is>
          <t>212</t>
        </is>
      </c>
      <c r="I5" s="83" t="n">
        <v>8915</v>
      </c>
      <c r="J5" s="83" t="inlineStr">
        <is>
          <t>212</t>
        </is>
      </c>
      <c r="K5" s="83">
        <f>I5-G5</f>
        <v/>
      </c>
      <c r="L5" s="85">
        <f>K5/I5*100</f>
        <v/>
      </c>
    </row>
    <row r="6" ht="12.8" customHeight="1" s="82">
      <c r="A6" s="83" t="inlineStr">
        <is>
          <t>213</t>
        </is>
      </c>
      <c r="B6" s="83" t="inlineStr">
        <is>
          <t>Support activities for mining</t>
        </is>
      </c>
      <c r="C6" s="83" t="n">
        <v>271</v>
      </c>
      <c r="D6" s="83" t="n">
        <v>0</v>
      </c>
      <c r="E6" s="83">
        <f>C6-D6</f>
        <v/>
      </c>
      <c r="F6" s="83" t="n">
        <v>2278</v>
      </c>
      <c r="G6" s="83">
        <f>F6+E6</f>
        <v/>
      </c>
      <c r="H6" s="83" t="inlineStr">
        <is>
          <t>213</t>
        </is>
      </c>
      <c r="I6" s="83" t="n">
        <v>2502</v>
      </c>
      <c r="J6" s="83" t="inlineStr">
        <is>
          <t>213</t>
        </is>
      </c>
      <c r="K6" s="83">
        <f>I6-G6</f>
        <v/>
      </c>
      <c r="L6" s="85">
        <f>K6/I6*100</f>
        <v/>
      </c>
    </row>
    <row r="7" ht="12.8" customHeight="1" s="82">
      <c r="A7" s="83" t="inlineStr">
        <is>
          <t>22</t>
        </is>
      </c>
      <c r="B7" s="83" t="inlineStr">
        <is>
          <t>Utilities</t>
        </is>
      </c>
      <c r="C7" s="83" t="n">
        <v>39497</v>
      </c>
      <c r="D7" s="83" t="n">
        <v>0</v>
      </c>
      <c r="E7" s="83">
        <f>C7-D7</f>
        <v/>
      </c>
      <c r="F7" s="83" t="n">
        <v>40166</v>
      </c>
      <c r="G7" s="83">
        <f>F7+E7</f>
        <v/>
      </c>
      <c r="H7" s="83" t="inlineStr">
        <is>
          <t>22</t>
        </is>
      </c>
      <c r="I7" s="83" t="n">
        <v>76082</v>
      </c>
      <c r="J7" s="83" t="inlineStr">
        <is>
          <t>22</t>
        </is>
      </c>
      <c r="K7" s="83">
        <f>I7-G7</f>
        <v/>
      </c>
      <c r="L7" s="85">
        <f>K7/I7*100</f>
        <v/>
      </c>
    </row>
    <row r="8" ht="12.8" customHeight="1" s="82">
      <c r="A8" s="83" t="inlineStr">
        <is>
          <t>23</t>
        </is>
      </c>
      <c r="B8" s="83" t="inlineStr">
        <is>
          <t>Construction</t>
        </is>
      </c>
      <c r="C8" s="83" t="n">
        <v>3010</v>
      </c>
      <c r="D8" s="83" t="n">
        <v>0</v>
      </c>
      <c r="E8" s="83">
        <f>C8-D8</f>
        <v/>
      </c>
      <c r="F8" s="83" t="n">
        <v>10978</v>
      </c>
      <c r="G8" s="83">
        <f>F8+E8</f>
        <v/>
      </c>
      <c r="H8" s="83" t="inlineStr">
        <is>
          <t>23</t>
        </is>
      </c>
      <c r="I8" s="83" t="n">
        <v>13806</v>
      </c>
      <c r="J8" s="83" t="inlineStr">
        <is>
          <t>23</t>
        </is>
      </c>
      <c r="K8" s="83">
        <f>I8-G8</f>
        <v/>
      </c>
      <c r="L8" s="85">
        <f>K8/I8*100</f>
        <v/>
      </c>
    </row>
    <row r="9" ht="12.8" customHeight="1" s="82">
      <c r="A9" s="83" t="inlineStr">
        <is>
          <t>311FT</t>
        </is>
      </c>
      <c r="B9" s="83" t="inlineStr">
        <is>
          <t>Food and beverage and tobacco products</t>
        </is>
      </c>
      <c r="C9" s="83" t="n">
        <v>14412</v>
      </c>
      <c r="D9" s="83" t="n">
        <v>0</v>
      </c>
      <c r="E9" s="83">
        <f>C9-D9</f>
        <v/>
      </c>
      <c r="F9" s="83" t="n">
        <v>8252</v>
      </c>
      <c r="G9" s="83">
        <f>F9+E9</f>
        <v/>
      </c>
      <c r="H9" s="83" t="inlineStr">
        <is>
          <t>311FT</t>
        </is>
      </c>
      <c r="I9" s="83" t="n">
        <v>29210</v>
      </c>
      <c r="J9" s="83" t="inlineStr">
        <is>
          <t>311FT</t>
        </is>
      </c>
      <c r="K9" s="83">
        <f>I9-G9</f>
        <v/>
      </c>
      <c r="L9" s="85">
        <f>K9/I9*100</f>
        <v/>
      </c>
    </row>
    <row r="10" ht="12.8" customHeight="1" s="82">
      <c r="A10" s="83" t="inlineStr">
        <is>
          <t>313TT</t>
        </is>
      </c>
      <c r="B10" s="83" t="inlineStr">
        <is>
          <t>Textile mills and textile product mills</t>
        </is>
      </c>
      <c r="C10" s="83" t="n">
        <v>19</v>
      </c>
      <c r="D10" s="83" t="n">
        <v>20</v>
      </c>
      <c r="E10" s="83">
        <f>C10-D10</f>
        <v/>
      </c>
      <c r="F10" s="83" t="n">
        <v>710</v>
      </c>
      <c r="G10" s="83">
        <f>F10+E10</f>
        <v/>
      </c>
      <c r="H10" s="83" t="inlineStr">
        <is>
          <t>313TT</t>
        </is>
      </c>
      <c r="I10" s="83" t="n">
        <v>710</v>
      </c>
      <c r="J10" s="83" t="inlineStr">
        <is>
          <t>313TT</t>
        </is>
      </c>
      <c r="K10" s="83">
        <f>I10-G10</f>
        <v/>
      </c>
      <c r="L10" s="85">
        <f>K10/I10*100</f>
        <v/>
      </c>
    </row>
    <row r="11" ht="12.8" customHeight="1" s="82">
      <c r="A11" s="83" t="inlineStr">
        <is>
          <t>315AL</t>
        </is>
      </c>
      <c r="B11" s="83" t="inlineStr">
        <is>
          <t>Apparel and leather and allied products</t>
        </is>
      </c>
      <c r="C11" s="83" t="n">
        <v>20</v>
      </c>
      <c r="D11" s="83" t="n">
        <v>0</v>
      </c>
      <c r="E11" s="83">
        <f>C11-D11</f>
        <v/>
      </c>
      <c r="F11" s="83" t="n">
        <v>334</v>
      </c>
      <c r="G11" s="83">
        <f>F11+E11</f>
        <v/>
      </c>
      <c r="H11" s="83" t="inlineStr">
        <is>
          <t>315AL</t>
        </is>
      </c>
      <c r="I11" s="83" t="n">
        <v>352</v>
      </c>
      <c r="J11" s="83" t="inlineStr">
        <is>
          <t>315AL</t>
        </is>
      </c>
      <c r="K11" s="83">
        <f>I11-G11</f>
        <v/>
      </c>
      <c r="L11" s="85">
        <f>K11/I11*100</f>
        <v/>
      </c>
    </row>
    <row r="12" ht="12.8" customHeight="1" s="82">
      <c r="A12" s="83" t="inlineStr">
        <is>
          <t>321</t>
        </is>
      </c>
      <c r="B12" s="83" t="inlineStr">
        <is>
          <t>Wood products</t>
        </is>
      </c>
      <c r="C12" s="83" t="n">
        <v>203</v>
      </c>
      <c r="D12" s="83" t="n">
        <v>0</v>
      </c>
      <c r="E12" s="83">
        <f>C12-D12</f>
        <v/>
      </c>
      <c r="F12" s="83" t="n">
        <v>810</v>
      </c>
      <c r="G12" s="83">
        <f>F12+E12</f>
        <v/>
      </c>
      <c r="H12" s="83" t="inlineStr">
        <is>
          <t>321</t>
        </is>
      </c>
      <c r="I12" s="83" t="n">
        <v>990</v>
      </c>
      <c r="J12" s="83" t="inlineStr">
        <is>
          <t>321</t>
        </is>
      </c>
      <c r="K12" s="83">
        <f>I12-G12</f>
        <v/>
      </c>
      <c r="L12" s="85">
        <f>K12/I12*100</f>
        <v/>
      </c>
    </row>
    <row r="13" ht="12.8" customHeight="1" s="82">
      <c r="A13" s="83" t="inlineStr">
        <is>
          <t>322</t>
        </is>
      </c>
      <c r="B13" s="83" t="inlineStr">
        <is>
          <t>Paper products</t>
        </is>
      </c>
      <c r="C13" s="83" t="n">
        <v>148</v>
      </c>
      <c r="D13" s="83" t="n">
        <v>0</v>
      </c>
      <c r="E13" s="83">
        <f>C13-D13</f>
        <v/>
      </c>
      <c r="F13" s="83" t="n">
        <v>2066</v>
      </c>
      <c r="G13" s="83">
        <f>F13+E13</f>
        <v/>
      </c>
      <c r="H13" s="83" t="inlineStr">
        <is>
          <t>322</t>
        </is>
      </c>
      <c r="I13" s="83" t="n">
        <v>2227</v>
      </c>
      <c r="J13" s="83" t="inlineStr">
        <is>
          <t>322</t>
        </is>
      </c>
      <c r="K13" s="83">
        <f>I13-G13</f>
        <v/>
      </c>
      <c r="L13" s="85">
        <f>K13/I13*100</f>
        <v/>
      </c>
    </row>
    <row r="14" ht="12.8" customHeight="1" s="82">
      <c r="A14" s="83" t="inlineStr">
        <is>
          <t>323</t>
        </is>
      </c>
      <c r="B14" s="83" t="inlineStr">
        <is>
          <t>Printing and related support activities</t>
        </is>
      </c>
      <c r="C14" s="83" t="n">
        <v>66</v>
      </c>
      <c r="D14" s="83" t="n">
        <v>0</v>
      </c>
      <c r="E14" s="83">
        <f>C14-D14</f>
        <v/>
      </c>
      <c r="F14" s="83" t="n">
        <v>864</v>
      </c>
      <c r="G14" s="83">
        <f>F14+E14</f>
        <v/>
      </c>
      <c r="H14" s="83" t="inlineStr">
        <is>
          <t>323</t>
        </is>
      </c>
      <c r="I14" s="83" t="n">
        <v>937</v>
      </c>
      <c r="J14" s="83" t="inlineStr">
        <is>
          <t>323</t>
        </is>
      </c>
      <c r="K14" s="83">
        <f>I14-G14</f>
        <v/>
      </c>
      <c r="L14" s="85">
        <f>K14/I14*100</f>
        <v/>
      </c>
    </row>
    <row r="15" ht="12.8" customHeight="1" s="82">
      <c r="A15" s="83" t="inlineStr">
        <is>
          <t>324</t>
        </is>
      </c>
      <c r="B15" s="83" t="inlineStr">
        <is>
          <t>Petroleum and coal products</t>
        </is>
      </c>
      <c r="C15" s="83" t="n">
        <v>1373</v>
      </c>
      <c r="D15" s="83" t="n">
        <v>0</v>
      </c>
      <c r="E15" s="83">
        <f>C15-D15</f>
        <v/>
      </c>
      <c r="F15" s="83" t="n">
        <v>4324</v>
      </c>
      <c r="G15" s="83">
        <f>F15+E15</f>
        <v/>
      </c>
      <c r="H15" s="83" t="inlineStr">
        <is>
          <t>324</t>
        </is>
      </c>
      <c r="I15" s="83" t="n">
        <v>4859</v>
      </c>
      <c r="J15" s="83" t="inlineStr">
        <is>
          <t>324</t>
        </is>
      </c>
      <c r="K15" s="83">
        <f>I15-G15</f>
        <v/>
      </c>
      <c r="L15" s="85">
        <f>K15/I15*100</f>
        <v/>
      </c>
    </row>
    <row r="16" ht="12.8" customHeight="1" s="82">
      <c r="A16" s="83" t="inlineStr">
        <is>
          <t>325</t>
        </is>
      </c>
      <c r="B16" s="83" t="inlineStr">
        <is>
          <t>Chemical products</t>
        </is>
      </c>
      <c r="C16" s="83" t="n">
        <v>5257</v>
      </c>
      <c r="D16" s="83" t="n">
        <v>50</v>
      </c>
      <c r="E16" s="83">
        <f>C16-D16</f>
        <v/>
      </c>
      <c r="F16" s="83" t="n">
        <v>17122</v>
      </c>
      <c r="G16" s="83">
        <f>F16+E16</f>
        <v/>
      </c>
      <c r="H16" s="83" t="inlineStr">
        <is>
          <t>325</t>
        </is>
      </c>
      <c r="I16" s="83" t="n">
        <v>21327</v>
      </c>
      <c r="J16" s="83" t="inlineStr">
        <is>
          <t>325</t>
        </is>
      </c>
      <c r="K16" s="83">
        <f>I16-G16</f>
        <v/>
      </c>
      <c r="L16" s="85">
        <f>K16/I16*100</f>
        <v/>
      </c>
    </row>
    <row r="17" ht="12.8" customHeight="1" s="82">
      <c r="A17" s="83" t="inlineStr">
        <is>
          <t>326</t>
        </is>
      </c>
      <c r="B17" s="83" t="inlineStr">
        <is>
          <t>Plastics and rubber products</t>
        </is>
      </c>
      <c r="C17" s="83" t="n">
        <v>1054</v>
      </c>
      <c r="D17" s="83" t="n">
        <v>0</v>
      </c>
      <c r="E17" s="83">
        <f>C17-D17</f>
        <v/>
      </c>
      <c r="F17" s="83" t="n">
        <v>1948</v>
      </c>
      <c r="G17" s="83">
        <f>F17+E17</f>
        <v/>
      </c>
      <c r="H17" s="83" t="inlineStr">
        <is>
          <t>326</t>
        </is>
      </c>
      <c r="I17" s="83" t="n">
        <v>2430</v>
      </c>
      <c r="J17" s="83" t="inlineStr">
        <is>
          <t>326</t>
        </is>
      </c>
      <c r="K17" s="83">
        <f>I17-G17</f>
        <v/>
      </c>
      <c r="L17" s="85">
        <f>K17/I17*100</f>
        <v/>
      </c>
    </row>
    <row r="18" ht="12.8" customHeight="1" s="82">
      <c r="A18" s="83" t="inlineStr">
        <is>
          <t>327</t>
        </is>
      </c>
      <c r="B18" s="83" t="inlineStr">
        <is>
          <t>Nonmetallic mineral products</t>
        </is>
      </c>
      <c r="C18" s="83" t="n">
        <v>201</v>
      </c>
      <c r="D18" s="83" t="n">
        <v>0</v>
      </c>
      <c r="E18" s="83">
        <f>C18-D18</f>
        <v/>
      </c>
      <c r="F18" s="83" t="n">
        <v>1757</v>
      </c>
      <c r="G18" s="83">
        <f>F18+E18</f>
        <v/>
      </c>
      <c r="H18" s="83" t="inlineStr">
        <is>
          <t>327</t>
        </is>
      </c>
      <c r="I18" s="83" t="n">
        <v>1947</v>
      </c>
      <c r="J18" s="83" t="inlineStr">
        <is>
          <t>327</t>
        </is>
      </c>
      <c r="K18" s="83">
        <f>I18-G18</f>
        <v/>
      </c>
      <c r="L18" s="85">
        <f>K18/I18*100</f>
        <v/>
      </c>
    </row>
    <row r="19" ht="12.8" customHeight="1" s="82">
      <c r="A19" s="83" t="inlineStr">
        <is>
          <t>331</t>
        </is>
      </c>
      <c r="B19" s="83" t="inlineStr">
        <is>
          <t>Primary metals</t>
        </is>
      </c>
      <c r="C19" s="83" t="n">
        <v>208</v>
      </c>
      <c r="D19" s="83" t="n">
        <v>0</v>
      </c>
      <c r="E19" s="83">
        <f>C19-D19</f>
        <v/>
      </c>
      <c r="F19" s="83" t="n">
        <v>2932</v>
      </c>
      <c r="G19" s="83">
        <f>F19+E19</f>
        <v/>
      </c>
      <c r="H19" s="83" t="inlineStr">
        <is>
          <t>331</t>
        </is>
      </c>
      <c r="I19" s="83" t="n">
        <v>3113</v>
      </c>
      <c r="J19" s="83" t="inlineStr">
        <is>
          <t>331</t>
        </is>
      </c>
      <c r="K19" s="83">
        <f>I19-G19</f>
        <v/>
      </c>
      <c r="L19" s="85">
        <f>K19/I19*100</f>
        <v/>
      </c>
    </row>
    <row r="20" ht="12.8" customHeight="1" s="82">
      <c r="A20" s="83" t="inlineStr">
        <is>
          <t>332</t>
        </is>
      </c>
      <c r="B20" s="83" t="inlineStr">
        <is>
          <t>Fabricated metal products</t>
        </is>
      </c>
      <c r="C20" s="83" t="n">
        <v>1697</v>
      </c>
      <c r="D20" s="83" t="n">
        <v>0</v>
      </c>
      <c r="E20" s="83">
        <f>C20-D20</f>
        <v/>
      </c>
      <c r="F20" s="83" t="n">
        <v>3518</v>
      </c>
      <c r="G20" s="83">
        <f>F20+E20</f>
        <v/>
      </c>
      <c r="H20" s="83" t="inlineStr">
        <is>
          <t>332</t>
        </is>
      </c>
      <c r="I20" s="83" t="n">
        <v>4247</v>
      </c>
      <c r="J20" s="83" t="inlineStr">
        <is>
          <t>332</t>
        </is>
      </c>
      <c r="K20" s="83">
        <f>I20-G20</f>
        <v/>
      </c>
      <c r="L20" s="85">
        <f>K20/I20*100</f>
        <v/>
      </c>
    </row>
    <row r="21" ht="12.8" customHeight="1" s="82">
      <c r="A21" s="83" t="inlineStr">
        <is>
          <t>333</t>
        </is>
      </c>
      <c r="B21" s="83" t="inlineStr">
        <is>
          <t>Machinery</t>
        </is>
      </c>
      <c r="C21" s="83" t="n">
        <v>332</v>
      </c>
      <c r="D21" s="83" t="n">
        <v>0</v>
      </c>
      <c r="E21" s="83">
        <f>C21-D21</f>
        <v/>
      </c>
      <c r="F21" s="83" t="n">
        <v>4244</v>
      </c>
      <c r="G21" s="83">
        <f>F21+E21</f>
        <v/>
      </c>
      <c r="H21" s="83" t="inlineStr">
        <is>
          <t>333</t>
        </is>
      </c>
      <c r="I21" s="83" t="n">
        <v>4558</v>
      </c>
      <c r="J21" s="83" t="inlineStr">
        <is>
          <t>333</t>
        </is>
      </c>
      <c r="K21" s="83">
        <f>I21-G21</f>
        <v/>
      </c>
      <c r="L21" s="85">
        <f>K21/I21*100</f>
        <v/>
      </c>
    </row>
    <row r="22" ht="12.8" customHeight="1" s="82">
      <c r="A22" s="83" t="inlineStr">
        <is>
          <t>334</t>
        </is>
      </c>
      <c r="B22" s="83" t="inlineStr">
        <is>
          <t>Computer and electronic products</t>
        </is>
      </c>
      <c r="C22" s="83" t="n">
        <v>636</v>
      </c>
      <c r="D22" s="83" t="n">
        <v>0</v>
      </c>
      <c r="E22" s="83">
        <f>C22-D22</f>
        <v/>
      </c>
      <c r="F22" s="83" t="n">
        <v>9880</v>
      </c>
      <c r="G22" s="83">
        <f>F22+E22</f>
        <v/>
      </c>
      <c r="H22" s="83" t="inlineStr">
        <is>
          <t>334</t>
        </is>
      </c>
      <c r="I22" s="83" t="n">
        <v>10466</v>
      </c>
      <c r="J22" s="83" t="inlineStr">
        <is>
          <t>334</t>
        </is>
      </c>
      <c r="K22" s="83">
        <f>I22-G22</f>
        <v/>
      </c>
      <c r="L22" s="85">
        <f>K22/I22*100</f>
        <v/>
      </c>
    </row>
    <row r="23" ht="12.8" customHeight="1" s="82">
      <c r="A23" s="83" t="inlineStr">
        <is>
          <t>335</t>
        </is>
      </c>
      <c r="B23" s="83" t="inlineStr">
        <is>
          <t>Electrical equipment, appliances, and components</t>
        </is>
      </c>
      <c r="C23" s="83" t="n">
        <v>184</v>
      </c>
      <c r="D23" s="83" t="n">
        <v>608</v>
      </c>
      <c r="E23" s="83">
        <f>C23-D23</f>
        <v/>
      </c>
      <c r="F23" s="83" t="n">
        <v>1376</v>
      </c>
      <c r="G23" s="83">
        <f>F23+E23</f>
        <v/>
      </c>
      <c r="H23" s="83" t="inlineStr">
        <is>
          <t>335</t>
        </is>
      </c>
      <c r="I23" s="83" t="n">
        <v>1193</v>
      </c>
      <c r="J23" s="83" t="inlineStr">
        <is>
          <t>335</t>
        </is>
      </c>
      <c r="K23" s="83">
        <f>I23-G23</f>
        <v/>
      </c>
      <c r="L23" s="85">
        <f>K23/I23*100</f>
        <v/>
      </c>
    </row>
    <row r="24" ht="12.8" customHeight="1" s="82">
      <c r="A24" s="83" t="inlineStr">
        <is>
          <t>3361MV</t>
        </is>
      </c>
      <c r="B24" s="83" t="inlineStr">
        <is>
          <t>Motor vehicles, bodies and trailers, and parts</t>
        </is>
      </c>
      <c r="C24" s="83" t="n">
        <v>398</v>
      </c>
      <c r="D24" s="83" t="n">
        <v>0</v>
      </c>
      <c r="E24" s="83">
        <f>C24-D24</f>
        <v/>
      </c>
      <c r="F24" s="83" t="n">
        <v>4277</v>
      </c>
      <c r="G24" s="83">
        <f>F24+E24</f>
        <v/>
      </c>
      <c r="H24" s="83" t="inlineStr">
        <is>
          <t>3361MV</t>
        </is>
      </c>
      <c r="I24" s="83" t="n">
        <v>4561</v>
      </c>
      <c r="J24" s="83" t="inlineStr">
        <is>
          <t>3361MV</t>
        </is>
      </c>
      <c r="K24" s="83">
        <f>I24-G24</f>
        <v/>
      </c>
      <c r="L24" s="85">
        <f>K24/I24*100</f>
        <v/>
      </c>
    </row>
    <row r="25" ht="12.8" customHeight="1" s="82">
      <c r="A25" s="83" t="inlineStr">
        <is>
          <t>3364OT</t>
        </is>
      </c>
      <c r="B25" s="83" t="inlineStr">
        <is>
          <t>Other transportation equipment</t>
        </is>
      </c>
      <c r="C25" s="83" t="n">
        <v>180</v>
      </c>
      <c r="D25" s="83" t="n">
        <v>0</v>
      </c>
      <c r="E25" s="83">
        <f>C25-D25</f>
        <v/>
      </c>
      <c r="F25" s="83" t="n">
        <v>3506</v>
      </c>
      <c r="G25" s="83">
        <f>F25+E25</f>
        <v/>
      </c>
      <c r="H25" s="83" t="inlineStr">
        <is>
          <t>3364OT</t>
        </is>
      </c>
      <c r="I25" s="83" t="n">
        <v>3668</v>
      </c>
      <c r="J25" s="83" t="inlineStr">
        <is>
          <t>3364OT</t>
        </is>
      </c>
      <c r="K25" s="83">
        <f>I25-G25</f>
        <v/>
      </c>
      <c r="L25" s="85">
        <f>K25/I25*100</f>
        <v/>
      </c>
    </row>
    <row r="26" ht="12.8" customHeight="1" s="82">
      <c r="A26" s="83" t="inlineStr">
        <is>
          <t>337</t>
        </is>
      </c>
      <c r="B26" s="83" t="inlineStr">
        <is>
          <t>Furniture and related products</t>
        </is>
      </c>
      <c r="C26" s="83" t="n">
        <v>57</v>
      </c>
      <c r="D26" s="83" t="n">
        <v>0</v>
      </c>
      <c r="E26" s="83">
        <f>C26-D26</f>
        <v/>
      </c>
      <c r="F26" s="83" t="n">
        <v>460</v>
      </c>
      <c r="G26" s="83">
        <f>F26+E26</f>
        <v/>
      </c>
      <c r="H26" s="83" t="inlineStr">
        <is>
          <t>337</t>
        </is>
      </c>
      <c r="I26" s="83" t="n">
        <v>520</v>
      </c>
      <c r="J26" s="83" t="inlineStr">
        <is>
          <t>337</t>
        </is>
      </c>
      <c r="K26" s="83">
        <f>I26-G26</f>
        <v/>
      </c>
      <c r="L26" s="85">
        <f>K26/I26*100</f>
        <v/>
      </c>
    </row>
    <row r="27" ht="12.8" customHeight="1" s="82">
      <c r="A27" s="83" t="inlineStr">
        <is>
          <t>339</t>
        </is>
      </c>
      <c r="B27" s="83" t="inlineStr">
        <is>
          <t>Miscellaneous manufacturing</t>
        </is>
      </c>
      <c r="C27" s="83" t="n">
        <v>475</v>
      </c>
      <c r="D27" s="83" t="n">
        <v>0</v>
      </c>
      <c r="E27" s="83">
        <f>C27-D27</f>
        <v/>
      </c>
      <c r="F27" s="83" t="n">
        <v>1934</v>
      </c>
      <c r="G27" s="83">
        <f>F27+E27</f>
        <v/>
      </c>
      <c r="H27" s="83" t="inlineStr">
        <is>
          <t>339</t>
        </is>
      </c>
      <c r="I27" s="83" t="n">
        <v>2239</v>
      </c>
      <c r="J27" s="83" t="inlineStr">
        <is>
          <t>339</t>
        </is>
      </c>
      <c r="K27" s="83">
        <f>I27-G27</f>
        <v/>
      </c>
      <c r="L27" s="85">
        <f>K27/I27*100</f>
        <v/>
      </c>
    </row>
    <row r="28" ht="12.8" customHeight="1" s="82">
      <c r="A28" s="83" t="inlineStr">
        <is>
          <t>42</t>
        </is>
      </c>
      <c r="B28" s="83" t="inlineStr">
        <is>
          <t>Wholesale trade</t>
        </is>
      </c>
      <c r="C28" s="83" t="n">
        <v>309995</v>
      </c>
      <c r="D28" s="83" t="n">
        <v>0</v>
      </c>
      <c r="E28" s="83">
        <f>C28-D28</f>
        <v/>
      </c>
      <c r="F28" s="83" t="n">
        <v>15876</v>
      </c>
      <c r="G28" s="83">
        <f>F28+E28</f>
        <v/>
      </c>
      <c r="H28" s="83" t="inlineStr">
        <is>
          <t>42</t>
        </is>
      </c>
      <c r="I28" s="83" t="n">
        <v>325447</v>
      </c>
      <c r="J28" s="83" t="inlineStr">
        <is>
          <t>42</t>
        </is>
      </c>
      <c r="K28" s="83">
        <f>I28-G28</f>
        <v/>
      </c>
      <c r="L28" s="85">
        <f>K28/I28*100</f>
        <v/>
      </c>
    </row>
    <row r="29" ht="12.8" customHeight="1" s="82">
      <c r="A29" s="86" t="inlineStr">
        <is>
          <t>441</t>
        </is>
      </c>
      <c r="B29" s="86" t="inlineStr">
        <is>
          <t>Motor vehicle and parts dealers</t>
        </is>
      </c>
      <c r="C29" s="86" t="n">
        <v>66301</v>
      </c>
      <c r="D29" s="86" t="n">
        <v>0</v>
      </c>
      <c r="E29" s="86">
        <f>C29-D29</f>
        <v/>
      </c>
      <c r="F29" s="86" t="n">
        <v>3488</v>
      </c>
      <c r="G29" s="86">
        <f>F29+E29</f>
        <v/>
      </c>
      <c r="H29" s="86" t="inlineStr">
        <is>
          <t>441</t>
        </is>
      </c>
      <c r="I29" s="86" t="n">
        <v>70232</v>
      </c>
      <c r="J29" s="86" t="inlineStr">
        <is>
          <t>441</t>
        </is>
      </c>
      <c r="K29" s="86">
        <f>I29-G29</f>
        <v/>
      </c>
      <c r="L29" s="100">
        <f>K29/I29*100</f>
        <v/>
      </c>
    </row>
    <row r="30" ht="12.8" customHeight="1" s="82">
      <c r="A30" s="86" t="inlineStr">
        <is>
          <t>445</t>
        </is>
      </c>
      <c r="B30" s="86" t="inlineStr">
        <is>
          <t>Food and beverage stores</t>
        </is>
      </c>
      <c r="C30" s="86" t="n">
        <v>32606</v>
      </c>
      <c r="D30" s="86" t="n">
        <v>0</v>
      </c>
      <c r="E30" s="86">
        <f>C30-D30</f>
        <v/>
      </c>
      <c r="F30" s="86" t="n">
        <v>3609</v>
      </c>
      <c r="G30" s="86">
        <f>F30+E30</f>
        <v/>
      </c>
      <c r="H30" s="86" t="inlineStr">
        <is>
          <t>445</t>
        </is>
      </c>
      <c r="I30" s="86" t="n">
        <v>52631</v>
      </c>
      <c r="J30" s="86" t="inlineStr">
        <is>
          <t>445</t>
        </is>
      </c>
      <c r="K30" s="86">
        <f>I30-G30</f>
        <v/>
      </c>
      <c r="L30" s="100">
        <f>K30/I30*100</f>
        <v/>
      </c>
    </row>
    <row r="31" ht="12.8" customHeight="1" s="82">
      <c r="A31" s="86" t="inlineStr">
        <is>
          <t>452</t>
        </is>
      </c>
      <c r="B31" s="86" t="inlineStr">
        <is>
          <t>General merchandise stores</t>
        </is>
      </c>
      <c r="C31" s="86" t="n">
        <v>54117</v>
      </c>
      <c r="D31" s="86" t="n">
        <v>0</v>
      </c>
      <c r="E31" s="86">
        <f>C31-D31</f>
        <v/>
      </c>
      <c r="F31" s="86" t="n">
        <v>2672</v>
      </c>
      <c r="G31" s="86">
        <f>F31+E31</f>
        <v/>
      </c>
      <c r="H31" s="86" t="inlineStr">
        <is>
          <t>452</t>
        </is>
      </c>
      <c r="I31" s="86" t="n">
        <v>49951</v>
      </c>
      <c r="J31" s="86" t="inlineStr">
        <is>
          <t>452</t>
        </is>
      </c>
      <c r="K31" s="86">
        <f>I31-G31</f>
        <v/>
      </c>
      <c r="L31" s="100">
        <f>K31/I31*100</f>
        <v/>
      </c>
    </row>
    <row r="32" ht="12.8" customHeight="1" s="82">
      <c r="A32" s="83" t="inlineStr">
        <is>
          <t>481</t>
        </is>
      </c>
      <c r="B32" s="83" t="inlineStr">
        <is>
          <t>Air transportation</t>
        </is>
      </c>
      <c r="C32" s="83" t="n">
        <v>30189</v>
      </c>
      <c r="D32" s="83" t="n">
        <v>401</v>
      </c>
      <c r="E32" s="83">
        <f>C32-D32</f>
        <v/>
      </c>
      <c r="F32" s="83" t="n">
        <v>4141</v>
      </c>
      <c r="G32" s="83">
        <f>F32+E32</f>
        <v/>
      </c>
      <c r="H32" s="83" t="inlineStr">
        <is>
          <t>481</t>
        </is>
      </c>
      <c r="I32" s="83" t="n">
        <v>29381</v>
      </c>
      <c r="J32" s="83" t="inlineStr">
        <is>
          <t>481</t>
        </is>
      </c>
      <c r="K32" s="83">
        <f>I32-G32</f>
        <v/>
      </c>
      <c r="L32" s="85">
        <f>K32/I32*100</f>
        <v/>
      </c>
    </row>
    <row r="33" ht="12.8" customHeight="1" s="82">
      <c r="A33" s="83" t="inlineStr">
        <is>
          <t>482</t>
        </is>
      </c>
      <c r="B33" s="83" t="inlineStr">
        <is>
          <t>Rail transportation</t>
        </is>
      </c>
      <c r="C33" s="83" t="n">
        <v>902</v>
      </c>
      <c r="D33" s="83" t="n">
        <v>4442</v>
      </c>
      <c r="E33" s="83">
        <f>C33-D33</f>
        <v/>
      </c>
      <c r="F33" s="83" t="n">
        <v>1659</v>
      </c>
      <c r="G33" s="83">
        <f>F33+E33</f>
        <v/>
      </c>
      <c r="H33" s="83" t="inlineStr">
        <is>
          <t>482</t>
        </is>
      </c>
      <c r="I33" s="83" t="n">
        <v>-570</v>
      </c>
      <c r="J33" s="83" t="inlineStr">
        <is>
          <t>482</t>
        </is>
      </c>
      <c r="K33" s="83">
        <f>I33-G33</f>
        <v/>
      </c>
      <c r="L33" s="85">
        <f>K33/I33*100</f>
        <v/>
      </c>
    </row>
    <row r="34" ht="12.8" customHeight="1" s="82">
      <c r="A34" s="83" t="inlineStr">
        <is>
          <t>483</t>
        </is>
      </c>
      <c r="B34" s="83" t="inlineStr">
        <is>
          <t>Water transportation</t>
        </is>
      </c>
      <c r="C34" s="83" t="n">
        <v>369</v>
      </c>
      <c r="D34" s="83" t="n">
        <v>5</v>
      </c>
      <c r="E34" s="83">
        <f>C34-D34</f>
        <v/>
      </c>
      <c r="F34" s="83" t="n">
        <v>1016</v>
      </c>
      <c r="G34" s="83">
        <f>F34+E34</f>
        <v/>
      </c>
      <c r="H34" s="83" t="inlineStr">
        <is>
          <t>483</t>
        </is>
      </c>
      <c r="I34" s="83" t="n">
        <v>1250</v>
      </c>
      <c r="J34" s="83" t="inlineStr">
        <is>
          <t>483</t>
        </is>
      </c>
      <c r="K34" s="83">
        <f>I34-G34</f>
        <v/>
      </c>
      <c r="L34" s="85">
        <f>K34/I34*100</f>
        <v/>
      </c>
    </row>
    <row r="35" ht="12.8" customHeight="1" s="82">
      <c r="A35" s="83" t="inlineStr">
        <is>
          <t>484</t>
        </is>
      </c>
      <c r="B35" s="83" t="inlineStr">
        <is>
          <t>Truck transportation</t>
        </is>
      </c>
      <c r="C35" s="83" t="n">
        <v>678</v>
      </c>
      <c r="D35" s="83" t="n">
        <v>0</v>
      </c>
      <c r="E35" s="83">
        <f>C35-D35</f>
        <v/>
      </c>
      <c r="F35" s="83" t="n">
        <v>4969</v>
      </c>
      <c r="G35" s="83">
        <f>F35+E35</f>
        <v/>
      </c>
      <c r="H35" s="83" t="inlineStr">
        <is>
          <t>484</t>
        </is>
      </c>
      <c r="I35" s="83" t="n">
        <v>5637</v>
      </c>
      <c r="J35" s="83" t="inlineStr">
        <is>
          <t>484</t>
        </is>
      </c>
      <c r="K35" s="83">
        <f>I35-G35</f>
        <v/>
      </c>
      <c r="L35" s="85">
        <f>K35/I35*100</f>
        <v/>
      </c>
    </row>
    <row r="36" ht="12.8" customHeight="1" s="82">
      <c r="A36" s="83" t="inlineStr">
        <is>
          <t>485</t>
        </is>
      </c>
      <c r="B36" s="83" t="inlineStr">
        <is>
          <t>Transit and ground passenger transportation</t>
        </is>
      </c>
      <c r="C36" s="83" t="n">
        <v>1709</v>
      </c>
      <c r="D36" s="83" t="n">
        <v>0</v>
      </c>
      <c r="E36" s="83">
        <f>C36-D36</f>
        <v/>
      </c>
      <c r="F36" s="83" t="n">
        <v>1051</v>
      </c>
      <c r="G36" s="83">
        <f>F36+E36</f>
        <v/>
      </c>
      <c r="H36" s="83" t="inlineStr">
        <is>
          <t>485</t>
        </is>
      </c>
      <c r="I36" s="83" t="n">
        <v>2414</v>
      </c>
      <c r="J36" s="83" t="inlineStr">
        <is>
          <t>485</t>
        </is>
      </c>
      <c r="K36" s="83">
        <f>I36-G36</f>
        <v/>
      </c>
      <c r="L36" s="85">
        <f>K36/I36*100</f>
        <v/>
      </c>
    </row>
    <row r="37" ht="12.8" customHeight="1" s="82">
      <c r="A37" s="83" t="inlineStr">
        <is>
          <t>486</t>
        </is>
      </c>
      <c r="B37" s="83" t="inlineStr">
        <is>
          <t>Pipeline transportation</t>
        </is>
      </c>
      <c r="C37" s="83" t="n">
        <v>88</v>
      </c>
      <c r="D37" s="83" t="n">
        <v>0</v>
      </c>
      <c r="E37" s="83">
        <f>C37-D37</f>
        <v/>
      </c>
      <c r="F37" s="83" t="n">
        <v>4233</v>
      </c>
      <c r="G37" s="83">
        <f>F37+E37</f>
        <v/>
      </c>
      <c r="H37" s="83" t="inlineStr">
        <is>
          <t>486</t>
        </is>
      </c>
      <c r="I37" s="83" t="n">
        <v>4322</v>
      </c>
      <c r="J37" s="83" t="inlineStr">
        <is>
          <t>486</t>
        </is>
      </c>
      <c r="K37" s="83">
        <f>I37-G37</f>
        <v/>
      </c>
      <c r="L37" s="85">
        <f>K37/I37*100</f>
        <v/>
      </c>
    </row>
    <row r="38" ht="12.8" customHeight="1" s="82">
      <c r="A38" s="83" t="inlineStr">
        <is>
          <t>487OS</t>
        </is>
      </c>
      <c r="B38" s="83" t="inlineStr">
        <is>
          <t>Other transportation and support activities</t>
        </is>
      </c>
      <c r="C38" s="83" t="n">
        <v>488</v>
      </c>
      <c r="D38" s="83" t="n">
        <v>0</v>
      </c>
      <c r="E38" s="83">
        <f>C38-D38</f>
        <v/>
      </c>
      <c r="F38" s="83" t="n">
        <v>2832</v>
      </c>
      <c r="G38" s="83">
        <f>F38+E38</f>
        <v/>
      </c>
      <c r="H38" s="83" t="inlineStr">
        <is>
          <t>487OS</t>
        </is>
      </c>
      <c r="I38" s="83" t="n">
        <v>3269</v>
      </c>
      <c r="J38" s="83" t="inlineStr">
        <is>
          <t>487OS</t>
        </is>
      </c>
      <c r="K38" s="83">
        <f>I38-G38</f>
        <v/>
      </c>
      <c r="L38" s="85">
        <f>K38/I38*100</f>
        <v/>
      </c>
    </row>
    <row r="39" ht="12.8" customHeight="1" s="82">
      <c r="A39" s="83" t="inlineStr">
        <is>
          <t>493</t>
        </is>
      </c>
      <c r="B39" s="83" t="inlineStr">
        <is>
          <t>Warehousing and storage</t>
        </is>
      </c>
      <c r="C39" s="83" t="n">
        <v>307</v>
      </c>
      <c r="D39" s="83" t="n">
        <v>0</v>
      </c>
      <c r="E39" s="83">
        <f>C39-D39</f>
        <v/>
      </c>
      <c r="F39" s="83" t="n">
        <v>999</v>
      </c>
      <c r="G39" s="83">
        <f>F39+E39</f>
        <v/>
      </c>
      <c r="H39" s="83" t="inlineStr">
        <is>
          <t>493</t>
        </is>
      </c>
      <c r="I39" s="83" t="n">
        <v>1238</v>
      </c>
      <c r="J39" s="83" t="inlineStr">
        <is>
          <t>493</t>
        </is>
      </c>
      <c r="K39" s="83">
        <f>I39-G39</f>
        <v/>
      </c>
      <c r="L39" s="85">
        <f>K39/I39*100</f>
        <v/>
      </c>
    </row>
    <row r="40" ht="12.8" customHeight="1" s="82">
      <c r="A40" s="86" t="inlineStr">
        <is>
          <t>4A0</t>
        </is>
      </c>
      <c r="B40" s="86" t="inlineStr">
        <is>
          <t>Other retail</t>
        </is>
      </c>
      <c r="C40" s="86" t="n">
        <v>153979</v>
      </c>
      <c r="D40" s="86" t="n">
        <v>0</v>
      </c>
      <c r="E40" s="86">
        <f>C40-D40</f>
        <v/>
      </c>
      <c r="F40" s="86" t="n">
        <v>17476</v>
      </c>
      <c r="G40" s="86">
        <f>F40+E40</f>
        <v/>
      </c>
      <c r="H40" s="86" t="inlineStr">
        <is>
          <t>4A0</t>
        </is>
      </c>
      <c r="I40" s="86" t="n">
        <v>160035</v>
      </c>
      <c r="J40" s="86" t="inlineStr">
        <is>
          <t>4A0</t>
        </is>
      </c>
      <c r="K40" s="86">
        <f>I40-G40</f>
        <v/>
      </c>
      <c r="L40" s="100">
        <f>K40/I40*100</f>
        <v/>
      </c>
    </row>
    <row r="41" ht="12.8" customHeight="1" s="82">
      <c r="A41" s="83" t="inlineStr">
        <is>
          <t>511</t>
        </is>
      </c>
      <c r="B41" s="83" t="inlineStr">
        <is>
          <t>Publishing industries, except internet (includes software)</t>
        </is>
      </c>
      <c r="C41" s="83" t="n">
        <v>1373</v>
      </c>
      <c r="D41" s="83" t="n">
        <v>0</v>
      </c>
      <c r="E41" s="83">
        <f>C41-D41</f>
        <v/>
      </c>
      <c r="F41" s="83" t="n">
        <v>6073</v>
      </c>
      <c r="G41" s="83">
        <f>F41+E41</f>
        <v/>
      </c>
      <c r="H41" s="83" t="inlineStr">
        <is>
          <t>511</t>
        </is>
      </c>
      <c r="I41" s="83" t="n">
        <v>7964</v>
      </c>
      <c r="J41" s="83" t="inlineStr">
        <is>
          <t>511</t>
        </is>
      </c>
      <c r="K41" s="83">
        <f>I41-G41</f>
        <v/>
      </c>
      <c r="L41" s="85">
        <f>K41/I41*100</f>
        <v/>
      </c>
    </row>
    <row r="42" ht="12.8" customHeight="1" s="82">
      <c r="A42" s="83" t="inlineStr">
        <is>
          <t>512</t>
        </is>
      </c>
      <c r="B42" s="83" t="inlineStr">
        <is>
          <t>Motion picture and sound recording industries</t>
        </is>
      </c>
      <c r="C42" s="83" t="n">
        <v>1722</v>
      </c>
      <c r="D42" s="83" t="n">
        <v>0</v>
      </c>
      <c r="E42" s="83">
        <f>C42-D42</f>
        <v/>
      </c>
      <c r="F42" s="83" t="n">
        <v>3692</v>
      </c>
      <c r="G42" s="83">
        <f>F42+E42</f>
        <v/>
      </c>
      <c r="H42" s="83" t="inlineStr">
        <is>
          <t>512</t>
        </is>
      </c>
      <c r="I42" s="83" t="n">
        <v>5166</v>
      </c>
      <c r="J42" s="83" t="inlineStr">
        <is>
          <t>512</t>
        </is>
      </c>
      <c r="K42" s="83">
        <f>I42-G42</f>
        <v/>
      </c>
      <c r="L42" s="85">
        <f>K42/I42*100</f>
        <v/>
      </c>
    </row>
    <row r="43" ht="12.8" customHeight="1" s="82">
      <c r="A43" s="83" t="inlineStr">
        <is>
          <t>513</t>
        </is>
      </c>
      <c r="B43" s="83" t="inlineStr">
        <is>
          <t>Broadcasting and telecommunications</t>
        </is>
      </c>
      <c r="C43" s="83" t="n">
        <v>38302</v>
      </c>
      <c r="D43" s="83" t="n">
        <v>0</v>
      </c>
      <c r="E43" s="83">
        <f>C43-D43</f>
        <v/>
      </c>
      <c r="F43" s="83" t="n">
        <v>3706</v>
      </c>
      <c r="G43" s="83">
        <f>F43+E43</f>
        <v/>
      </c>
      <c r="H43" s="83" t="inlineStr">
        <is>
          <t>513</t>
        </is>
      </c>
      <c r="I43" s="83" t="n">
        <v>48911</v>
      </c>
      <c r="J43" s="83" t="inlineStr">
        <is>
          <t>513</t>
        </is>
      </c>
      <c r="K43" s="83">
        <f>I43-G43</f>
        <v/>
      </c>
      <c r="L43" s="85">
        <f>K43/I43*100</f>
        <v/>
      </c>
    </row>
    <row r="44" ht="12.8" customHeight="1" s="82">
      <c r="A44" s="83" t="inlineStr">
        <is>
          <t>514</t>
        </is>
      </c>
      <c r="B44" s="83" t="inlineStr">
        <is>
          <t>Data processing, internet publishing, and other information services</t>
        </is>
      </c>
      <c r="C44" s="83" t="n">
        <v>2828</v>
      </c>
      <c r="D44" s="83" t="n">
        <v>0</v>
      </c>
      <c r="E44" s="83">
        <f>C44-D44</f>
        <v/>
      </c>
      <c r="F44" s="83" t="n">
        <v>4933</v>
      </c>
      <c r="G44" s="83">
        <f>F44+E44</f>
        <v/>
      </c>
      <c r="H44" s="83" t="inlineStr">
        <is>
          <t>514</t>
        </is>
      </c>
      <c r="I44" s="83" t="n">
        <v>7785</v>
      </c>
      <c r="J44" s="83" t="inlineStr">
        <is>
          <t>514</t>
        </is>
      </c>
      <c r="K44" s="83">
        <f>I44-G44</f>
        <v/>
      </c>
      <c r="L44" s="85">
        <f>K44/I44*100</f>
        <v/>
      </c>
    </row>
    <row r="45" ht="12.8" customHeight="1" s="82">
      <c r="A45" s="83" t="inlineStr">
        <is>
          <t>521CI</t>
        </is>
      </c>
      <c r="B45" s="83" t="inlineStr">
        <is>
          <t>Federal Reserve banks, credit intermediation, and related activities</t>
        </is>
      </c>
      <c r="C45" s="83" t="n">
        <v>3639</v>
      </c>
      <c r="D45" s="83" t="n">
        <v>263</v>
      </c>
      <c r="E45" s="83">
        <f>C45-D45</f>
        <v/>
      </c>
      <c r="F45" s="83" t="n">
        <v>20626</v>
      </c>
      <c r="G45" s="83">
        <f>F45+E45</f>
        <v/>
      </c>
      <c r="H45" s="83" t="inlineStr">
        <is>
          <t>521CI</t>
        </is>
      </c>
      <c r="I45" s="83" t="n">
        <v>24053</v>
      </c>
      <c r="J45" s="83" t="inlineStr">
        <is>
          <t>521CI</t>
        </is>
      </c>
      <c r="K45" s="83">
        <f>I45-G45</f>
        <v/>
      </c>
      <c r="L45" s="85">
        <f>K45/I45*100</f>
        <v/>
      </c>
    </row>
    <row r="46" ht="12.8" customHeight="1" s="82">
      <c r="A46" s="83" t="inlineStr">
        <is>
          <t>523</t>
        </is>
      </c>
      <c r="B46" s="83" t="inlineStr">
        <is>
          <t>Securities, commodity contracts, and investments</t>
        </is>
      </c>
      <c r="C46" s="83" t="n">
        <v>1744</v>
      </c>
      <c r="D46" s="83" t="n">
        <v>0</v>
      </c>
      <c r="E46" s="83">
        <f>C46-D46</f>
        <v/>
      </c>
      <c r="F46" s="83" t="n">
        <v>5605</v>
      </c>
      <c r="G46" s="83">
        <f>F46+E46</f>
        <v/>
      </c>
      <c r="H46" s="83" t="inlineStr">
        <is>
          <t>523</t>
        </is>
      </c>
      <c r="I46" s="83" t="n">
        <v>7431</v>
      </c>
      <c r="J46" s="83" t="inlineStr">
        <is>
          <t>523</t>
        </is>
      </c>
      <c r="K46" s="83">
        <f>I46-G46</f>
        <v/>
      </c>
      <c r="L46" s="85">
        <f>K46/I46*100</f>
        <v/>
      </c>
    </row>
    <row r="47" ht="12.8" customHeight="1" s="82">
      <c r="A47" s="83" t="inlineStr">
        <is>
          <t>524</t>
        </is>
      </c>
      <c r="B47" s="83" t="inlineStr">
        <is>
          <t>Insurance carriers and related activities</t>
        </is>
      </c>
      <c r="C47" s="83" t="n">
        <v>39289</v>
      </c>
      <c r="D47" s="83" t="n">
        <v>0</v>
      </c>
      <c r="E47" s="83">
        <f>C47-D47</f>
        <v/>
      </c>
      <c r="F47" s="83" t="n">
        <v>8295</v>
      </c>
      <c r="G47" s="83">
        <f>F47+E47</f>
        <v/>
      </c>
      <c r="H47" s="83" t="inlineStr">
        <is>
          <t>524</t>
        </is>
      </c>
      <c r="I47" s="83" t="n">
        <v>41275</v>
      </c>
      <c r="J47" s="83" t="inlineStr">
        <is>
          <t>524</t>
        </is>
      </c>
      <c r="K47" s="83">
        <f>I47-G47</f>
        <v/>
      </c>
      <c r="L47" s="85">
        <f>K47/I47*100</f>
        <v/>
      </c>
    </row>
    <row r="48" ht="12.8" customHeight="1" s="82">
      <c r="A48" s="83" t="inlineStr">
        <is>
          <t>525</t>
        </is>
      </c>
      <c r="B48" s="83" t="inlineStr">
        <is>
          <t>Funds, trusts, and other financial vehicles</t>
        </is>
      </c>
      <c r="C48" s="83" t="n">
        <v>115</v>
      </c>
      <c r="D48" s="83" t="n">
        <v>0</v>
      </c>
      <c r="E48" s="83">
        <f>C48-D48</f>
        <v/>
      </c>
      <c r="F48" s="83" t="n">
        <v>630</v>
      </c>
      <c r="G48" s="83">
        <f>F48+E48</f>
        <v/>
      </c>
      <c r="H48" s="83" t="inlineStr">
        <is>
          <t>525</t>
        </is>
      </c>
      <c r="I48" s="83" t="n">
        <v>704</v>
      </c>
      <c r="J48" s="83" t="inlineStr">
        <is>
          <t>525</t>
        </is>
      </c>
      <c r="K48" s="83">
        <f>I48-G48</f>
        <v/>
      </c>
      <c r="L48" s="85">
        <f>K48/I48*100</f>
        <v/>
      </c>
    </row>
    <row r="49" ht="12.8" customHeight="1" s="82">
      <c r="A49" s="83" t="inlineStr">
        <is>
          <t>532RL</t>
        </is>
      </c>
      <c r="B49" s="83" t="inlineStr">
        <is>
          <t>Rental and leasing services and lessors of intangible assets</t>
        </is>
      </c>
      <c r="C49" s="83" t="n">
        <v>20354</v>
      </c>
      <c r="D49" s="83" t="n">
        <v>0</v>
      </c>
      <c r="E49" s="83">
        <f>C49-D49</f>
        <v/>
      </c>
      <c r="F49" s="83" t="n">
        <v>10329</v>
      </c>
      <c r="G49" s="83">
        <f>F49+E49</f>
        <v/>
      </c>
      <c r="H49" s="83" t="inlineStr">
        <is>
          <t>532RL</t>
        </is>
      </c>
      <c r="I49" s="83" t="n">
        <v>26894</v>
      </c>
      <c r="J49" s="83" t="inlineStr">
        <is>
          <t>532RL</t>
        </is>
      </c>
      <c r="K49" s="83">
        <f>I49-G49</f>
        <v/>
      </c>
      <c r="L49" s="85">
        <f>K49/I49*100</f>
        <v/>
      </c>
    </row>
    <row r="50" ht="12.8" customHeight="1" s="82">
      <c r="A50" s="83" t="inlineStr">
        <is>
          <t>5411</t>
        </is>
      </c>
      <c r="B50" s="83" t="inlineStr">
        <is>
          <t>Legal services</t>
        </is>
      </c>
      <c r="C50" s="83" t="n">
        <v>21446</v>
      </c>
      <c r="D50" s="83" t="n">
        <v>0</v>
      </c>
      <c r="E50" s="83">
        <f>C50-D50</f>
        <v/>
      </c>
      <c r="F50" s="83" t="n">
        <v>1521</v>
      </c>
      <c r="G50" s="83">
        <f>F50+E50</f>
        <v/>
      </c>
      <c r="H50" s="83" t="inlineStr">
        <is>
          <t>5411</t>
        </is>
      </c>
      <c r="I50" s="83" t="n">
        <v>25991</v>
      </c>
      <c r="J50" s="83" t="inlineStr">
        <is>
          <t>5411</t>
        </is>
      </c>
      <c r="K50" s="83">
        <f>I50-G50</f>
        <v/>
      </c>
      <c r="L50" s="85">
        <f>K50/I50*100</f>
        <v/>
      </c>
    </row>
    <row r="51" ht="12.8" customHeight="1" s="82">
      <c r="A51" s="83" t="inlineStr">
        <is>
          <t>5412OP</t>
        </is>
      </c>
      <c r="B51" s="83" t="inlineStr">
        <is>
          <t>Miscellaneous professional, scientific, and technical services</t>
        </is>
      </c>
      <c r="C51" s="83" t="n">
        <v>10038</v>
      </c>
      <c r="D51" s="83" t="n">
        <v>0</v>
      </c>
      <c r="E51" s="83">
        <f>C51-D51</f>
        <v/>
      </c>
      <c r="F51" s="83" t="n">
        <v>12005</v>
      </c>
      <c r="G51" s="83">
        <f>F51+E51</f>
        <v/>
      </c>
      <c r="H51" s="83" t="inlineStr">
        <is>
          <t>5412OP</t>
        </is>
      </c>
      <c r="I51" s="83" t="n">
        <v>20489</v>
      </c>
      <c r="J51" s="83" t="inlineStr">
        <is>
          <t>5412OP</t>
        </is>
      </c>
      <c r="K51" s="83">
        <f>I51-G51</f>
        <v/>
      </c>
      <c r="L51" s="85">
        <f>K51/I51*100</f>
        <v/>
      </c>
    </row>
    <row r="52" ht="12.8" customHeight="1" s="82">
      <c r="A52" s="83" t="inlineStr">
        <is>
          <t>5415</t>
        </is>
      </c>
      <c r="B52" s="83" t="inlineStr">
        <is>
          <t>Computer systems design and related services</t>
        </is>
      </c>
      <c r="C52" s="83" t="n">
        <v>9104</v>
      </c>
      <c r="D52" s="83" t="n">
        <v>0</v>
      </c>
      <c r="E52" s="83">
        <f>C52-D52</f>
        <v/>
      </c>
      <c r="F52" s="83" t="n">
        <v>2537</v>
      </c>
      <c r="G52" s="83">
        <f>F52+E52</f>
        <v/>
      </c>
      <c r="H52" s="83" t="inlineStr">
        <is>
          <t>5415</t>
        </is>
      </c>
      <c r="I52" s="83" t="n">
        <v>9970</v>
      </c>
      <c r="J52" s="83" t="inlineStr">
        <is>
          <t>5415</t>
        </is>
      </c>
      <c r="K52" s="83">
        <f>I52-G52</f>
        <v/>
      </c>
      <c r="L52" s="85">
        <f>K52/I52*100</f>
        <v/>
      </c>
    </row>
    <row r="53" ht="12.8" customHeight="1" s="82">
      <c r="A53" s="83" t="inlineStr">
        <is>
          <t>55</t>
        </is>
      </c>
      <c r="B53" s="83" t="inlineStr">
        <is>
          <t>Management of companies and enterprises</t>
        </is>
      </c>
      <c r="C53" s="83" t="n">
        <v>2113</v>
      </c>
      <c r="D53" s="83" t="n">
        <v>0</v>
      </c>
      <c r="E53" s="83">
        <f>C53-D53</f>
        <v/>
      </c>
      <c r="F53" s="83" t="n">
        <v>9731</v>
      </c>
      <c r="G53" s="83">
        <f>F53+E53</f>
        <v/>
      </c>
      <c r="H53" s="83" t="inlineStr">
        <is>
          <t>55</t>
        </is>
      </c>
      <c r="I53" s="83" t="n">
        <v>11869</v>
      </c>
      <c r="J53" s="83" t="inlineStr">
        <is>
          <t>55</t>
        </is>
      </c>
      <c r="K53" s="83">
        <f>I53-G53</f>
        <v/>
      </c>
      <c r="L53" s="85">
        <f>K53/I53*100</f>
        <v/>
      </c>
    </row>
    <row r="54" ht="12.8" customHeight="1" s="82">
      <c r="A54" s="83" t="inlineStr">
        <is>
          <t>561</t>
        </is>
      </c>
      <c r="B54" s="83" t="inlineStr">
        <is>
          <t>Administrative and support services</t>
        </is>
      </c>
      <c r="C54" s="83" t="n">
        <v>9762</v>
      </c>
      <c r="D54" s="83" t="n">
        <v>0</v>
      </c>
      <c r="E54" s="83">
        <f>C54-D54</f>
        <v/>
      </c>
      <c r="F54" s="83" t="n">
        <v>5077</v>
      </c>
      <c r="G54" s="83">
        <f>F54+E54</f>
        <v/>
      </c>
      <c r="H54" s="83" t="inlineStr">
        <is>
          <t>561</t>
        </is>
      </c>
      <c r="I54" s="83" t="n">
        <v>14139</v>
      </c>
      <c r="J54" s="83" t="inlineStr">
        <is>
          <t>561</t>
        </is>
      </c>
      <c r="K54" s="83">
        <f>I54-G54</f>
        <v/>
      </c>
      <c r="L54" s="85">
        <f>K54/I54*100</f>
        <v/>
      </c>
    </row>
    <row r="55" ht="12.8" customHeight="1" s="82">
      <c r="A55" s="83" t="inlineStr">
        <is>
          <t>562</t>
        </is>
      </c>
      <c r="B55" s="83" t="inlineStr">
        <is>
          <t>Waste management and remediation services</t>
        </is>
      </c>
      <c r="C55" s="83" t="n">
        <v>2847</v>
      </c>
      <c r="D55" s="83" t="n">
        <v>0</v>
      </c>
      <c r="E55" s="83">
        <f>C55-D55</f>
        <v/>
      </c>
      <c r="F55" s="83" t="n">
        <v>2363</v>
      </c>
      <c r="G55" s="83">
        <f>F55+E55</f>
        <v/>
      </c>
      <c r="H55" s="83" t="inlineStr">
        <is>
          <t>562</t>
        </is>
      </c>
      <c r="I55" s="83" t="n">
        <v>4808</v>
      </c>
      <c r="J55" s="83" t="inlineStr">
        <is>
          <t>562</t>
        </is>
      </c>
      <c r="K55" s="83">
        <f>I55-G55</f>
        <v/>
      </c>
      <c r="L55" s="85">
        <f>K55/I55*100</f>
        <v/>
      </c>
    </row>
    <row r="56" ht="12.8" customHeight="1" s="82">
      <c r="A56" s="83" t="inlineStr">
        <is>
          <t>61</t>
        </is>
      </c>
      <c r="B56" s="83" t="inlineStr">
        <is>
          <t>Educational services</t>
        </is>
      </c>
      <c r="C56" s="83" t="n">
        <v>1388</v>
      </c>
      <c r="D56" s="83" t="n">
        <v>0</v>
      </c>
      <c r="E56" s="83">
        <f>C56-D56</f>
        <v/>
      </c>
      <c r="F56" s="83" t="n">
        <v>10423</v>
      </c>
      <c r="G56" s="83">
        <f>F56+E56</f>
        <v/>
      </c>
      <c r="H56" s="83" t="inlineStr">
        <is>
          <t>61</t>
        </is>
      </c>
      <c r="I56" s="83" t="n">
        <v>11744</v>
      </c>
      <c r="J56" s="83" t="inlineStr">
        <is>
          <t>61</t>
        </is>
      </c>
      <c r="K56" s="83">
        <f>I56-G56</f>
        <v/>
      </c>
      <c r="L56" s="85">
        <f>K56/I56*100</f>
        <v/>
      </c>
    </row>
    <row r="57" ht="12.8" customHeight="1" s="82">
      <c r="A57" s="83" t="inlineStr">
        <is>
          <t>621</t>
        </is>
      </c>
      <c r="B57" s="83" t="inlineStr">
        <is>
          <t>Ambulatory health care services</t>
        </is>
      </c>
      <c r="C57" s="83" t="n">
        <v>2647</v>
      </c>
      <c r="D57" s="83" t="n">
        <v>0</v>
      </c>
      <c r="E57" s="83">
        <f>C57-D57</f>
        <v/>
      </c>
      <c r="F57" s="83" t="n">
        <v>2878</v>
      </c>
      <c r="G57" s="83">
        <f>F57+E57</f>
        <v/>
      </c>
      <c r="H57" s="83" t="inlineStr">
        <is>
          <t>621</t>
        </is>
      </c>
      <c r="I57" s="83" t="n">
        <v>5264</v>
      </c>
      <c r="J57" s="83" t="inlineStr">
        <is>
          <t>621</t>
        </is>
      </c>
      <c r="K57" s="83">
        <f>I57-G57</f>
        <v/>
      </c>
      <c r="L57" s="85">
        <f>K57/I57*100</f>
        <v/>
      </c>
    </row>
    <row r="58" ht="12.8" customHeight="1" s="82">
      <c r="A58" s="83" t="inlineStr">
        <is>
          <t>622</t>
        </is>
      </c>
      <c r="B58" s="83" t="inlineStr">
        <is>
          <t>Hospitals</t>
        </is>
      </c>
      <c r="C58" s="83" t="n">
        <v>4743</v>
      </c>
      <c r="D58" s="83" t="n">
        <v>14</v>
      </c>
      <c r="E58" s="83">
        <f>C58-D58</f>
        <v/>
      </c>
      <c r="F58" s="83" t="n">
        <v>11342</v>
      </c>
      <c r="G58" s="83">
        <f>F58+E58</f>
        <v/>
      </c>
      <c r="H58" s="83" t="inlineStr">
        <is>
          <t>622</t>
        </is>
      </c>
      <c r="I58" s="83" t="n">
        <v>15059</v>
      </c>
      <c r="J58" s="83" t="inlineStr">
        <is>
          <t>622</t>
        </is>
      </c>
      <c r="K58" s="83">
        <f>I58-G58</f>
        <v/>
      </c>
      <c r="L58" s="85">
        <f>K58/I58*100</f>
        <v/>
      </c>
    </row>
    <row r="59" ht="12.8" customHeight="1" s="82">
      <c r="A59" s="83" t="inlineStr">
        <is>
          <t>623</t>
        </is>
      </c>
      <c r="B59" s="83" t="inlineStr">
        <is>
          <t>Nursing and residential care facilities</t>
        </is>
      </c>
      <c r="C59" s="83" t="n">
        <v>4624</v>
      </c>
      <c r="D59" s="83" t="n">
        <v>0</v>
      </c>
      <c r="E59" s="83">
        <f>C59-D59</f>
        <v/>
      </c>
      <c r="F59" s="83" t="n">
        <v>3529</v>
      </c>
      <c r="G59" s="83">
        <f>F59+E59</f>
        <v/>
      </c>
      <c r="H59" s="83" t="inlineStr">
        <is>
          <t>623</t>
        </is>
      </c>
      <c r="I59" s="83" t="n">
        <v>7357</v>
      </c>
      <c r="J59" s="83" t="inlineStr">
        <is>
          <t>623</t>
        </is>
      </c>
      <c r="K59" s="83">
        <f>I59-G59</f>
        <v/>
      </c>
      <c r="L59" s="85">
        <f>K59/I59*100</f>
        <v/>
      </c>
    </row>
    <row r="60" ht="12.8" customHeight="1" s="82">
      <c r="A60" s="83" t="inlineStr">
        <is>
          <t>624</t>
        </is>
      </c>
      <c r="B60" s="83" t="inlineStr">
        <is>
          <t>Social assistance</t>
        </is>
      </c>
      <c r="C60" s="83" t="n">
        <v>2042</v>
      </c>
      <c r="D60" s="83" t="n">
        <v>0</v>
      </c>
      <c r="E60" s="83">
        <f>C60-D60</f>
        <v/>
      </c>
      <c r="F60" s="83" t="n">
        <v>-7055</v>
      </c>
      <c r="G60" s="83">
        <f>F60+E60</f>
        <v/>
      </c>
      <c r="H60" s="83" t="inlineStr">
        <is>
          <t>624</t>
        </is>
      </c>
      <c r="I60" s="83" t="n">
        <v>-5471</v>
      </c>
      <c r="J60" s="83" t="inlineStr">
        <is>
          <t>624</t>
        </is>
      </c>
      <c r="K60" s="83">
        <f>I60-G60</f>
        <v/>
      </c>
      <c r="L60" s="85">
        <f>K60/I60*100</f>
        <v/>
      </c>
    </row>
    <row r="61" ht="12.8" customHeight="1" s="82">
      <c r="A61" s="83" t="inlineStr">
        <is>
          <t>711AS</t>
        </is>
      </c>
      <c r="B61" s="83" t="inlineStr">
        <is>
          <t>Performing arts, spectator sports, museums, and related activities</t>
        </is>
      </c>
      <c r="C61" s="83" t="n">
        <v>6830</v>
      </c>
      <c r="D61" s="83" t="n">
        <v>0</v>
      </c>
      <c r="E61" s="83">
        <f>C61-D61</f>
        <v/>
      </c>
      <c r="F61" s="83" t="n">
        <v>-99</v>
      </c>
      <c r="G61" s="83">
        <f>F61+E61</f>
        <v/>
      </c>
      <c r="H61" s="83" t="inlineStr">
        <is>
          <t>711AS</t>
        </is>
      </c>
      <c r="I61" s="83" t="n">
        <v>5577</v>
      </c>
      <c r="J61" s="83" t="inlineStr">
        <is>
          <t>711AS</t>
        </is>
      </c>
      <c r="K61" s="83">
        <f>I61-G61</f>
        <v/>
      </c>
      <c r="L61" s="85">
        <f>K61/I61*100</f>
        <v/>
      </c>
    </row>
    <row r="62" ht="12.8" customHeight="1" s="82">
      <c r="A62" s="83" t="inlineStr">
        <is>
          <t>713</t>
        </is>
      </c>
      <c r="B62" s="83" t="inlineStr">
        <is>
          <t>Amusements, gambling, and recreation industries</t>
        </is>
      </c>
      <c r="C62" s="83" t="n">
        <v>23295</v>
      </c>
      <c r="D62" s="83" t="n">
        <v>0</v>
      </c>
      <c r="E62" s="83">
        <f>C62-D62</f>
        <v/>
      </c>
      <c r="F62" s="83" t="n">
        <v>4525</v>
      </c>
      <c r="G62" s="83">
        <f>F62+E62</f>
        <v/>
      </c>
      <c r="H62" s="83" t="inlineStr">
        <is>
          <t>713</t>
        </is>
      </c>
      <c r="I62" s="83" t="n">
        <v>22105</v>
      </c>
      <c r="J62" s="83" t="inlineStr">
        <is>
          <t>713</t>
        </is>
      </c>
      <c r="K62" s="83">
        <f>I62-G62</f>
        <v/>
      </c>
      <c r="L62" s="85">
        <f>K62/I62*100</f>
        <v/>
      </c>
    </row>
    <row r="63" ht="12.8" customHeight="1" s="82">
      <c r="A63" s="83" t="inlineStr">
        <is>
          <t>721</t>
        </is>
      </c>
      <c r="B63" s="83" t="inlineStr">
        <is>
          <t>Accommodation</t>
        </is>
      </c>
      <c r="C63" s="83" t="n">
        <v>38779</v>
      </c>
      <c r="D63" s="83" t="n">
        <v>0</v>
      </c>
      <c r="E63" s="83">
        <f>C63-D63</f>
        <v/>
      </c>
      <c r="F63" s="83" t="n">
        <v>7352</v>
      </c>
      <c r="G63" s="83">
        <f>F63+E63</f>
        <v/>
      </c>
      <c r="H63" s="83" t="inlineStr">
        <is>
          <t>721</t>
        </is>
      </c>
      <c r="I63" s="83" t="n">
        <v>35686</v>
      </c>
      <c r="J63" s="83" t="inlineStr">
        <is>
          <t>721</t>
        </is>
      </c>
      <c r="K63" s="83">
        <f>I63-G63</f>
        <v/>
      </c>
      <c r="L63" s="85">
        <f>K63/I63*100</f>
        <v/>
      </c>
    </row>
    <row r="64" ht="12.8" customHeight="1" s="82">
      <c r="A64" s="83" t="inlineStr">
        <is>
          <t>722</t>
        </is>
      </c>
      <c r="B64" s="83" t="inlineStr">
        <is>
          <t>Food services and drinking places</t>
        </is>
      </c>
      <c r="C64" s="83" t="n">
        <v>82959</v>
      </c>
      <c r="D64" s="83" t="n">
        <v>0</v>
      </c>
      <c r="E64" s="83">
        <f>C64-D64</f>
        <v/>
      </c>
      <c r="F64" s="83" t="n">
        <v>5134</v>
      </c>
      <c r="G64" s="83">
        <f>F64+E64</f>
        <v/>
      </c>
      <c r="H64" s="83" t="inlineStr">
        <is>
          <t>722</t>
        </is>
      </c>
      <c r="I64" s="83" t="n">
        <v>72704</v>
      </c>
      <c r="J64" s="83" t="inlineStr">
        <is>
          <t>722</t>
        </is>
      </c>
      <c r="K64" s="83">
        <f>I64-G64</f>
        <v/>
      </c>
      <c r="L64" s="85">
        <f>K64/I64*100</f>
        <v/>
      </c>
    </row>
    <row r="65" ht="12.8" customHeight="1" s="82">
      <c r="A65" s="83" t="inlineStr">
        <is>
          <t>81</t>
        </is>
      </c>
      <c r="B65" s="83" t="inlineStr">
        <is>
          <t>Other services, except government</t>
        </is>
      </c>
      <c r="C65" s="83" t="n">
        <v>21229</v>
      </c>
      <c r="D65" s="83" t="n">
        <v>0</v>
      </c>
      <c r="E65" s="83">
        <f>C65-D65</f>
        <v/>
      </c>
      <c r="F65" s="83" t="n">
        <v>12618</v>
      </c>
      <c r="G65" s="83">
        <f>F65+E65</f>
        <v/>
      </c>
      <c r="H65" s="83" t="inlineStr">
        <is>
          <t>81</t>
        </is>
      </c>
      <c r="I65" s="83" t="n">
        <v>31209</v>
      </c>
      <c r="J65" s="83" t="inlineStr">
        <is>
          <t>81</t>
        </is>
      </c>
      <c r="K65" s="83">
        <f>I65-G65</f>
        <v/>
      </c>
      <c r="L65" s="85">
        <f>K65/I65*100</f>
        <v/>
      </c>
    </row>
    <row r="66" ht="12.8" customHeight="1" s="82">
      <c r="A66" s="86" t="inlineStr">
        <is>
          <t>GFE</t>
        </is>
      </c>
      <c r="B66" s="86" t="inlineStr">
        <is>
          <t>Federal government enterprises</t>
        </is>
      </c>
      <c r="C66" s="86" t="n">
        <v>0</v>
      </c>
      <c r="D66" s="86" t="n">
        <v>6847</v>
      </c>
      <c r="E66" s="86">
        <f>C66-D66</f>
        <v/>
      </c>
      <c r="F66" s="86" t="n">
        <v>0</v>
      </c>
      <c r="G66" s="86">
        <f>F66+E66</f>
        <v/>
      </c>
      <c r="H66" s="86" t="inlineStr">
        <is>
          <t>GFE</t>
        </is>
      </c>
      <c r="I66" s="86" t="n">
        <v>-2569</v>
      </c>
      <c r="J66" s="86" t="inlineStr">
        <is>
          <t>GFE</t>
        </is>
      </c>
      <c r="K66" s="86">
        <f>I66-G66</f>
        <v/>
      </c>
      <c r="L66" s="100">
        <f>K66/I66*100</f>
        <v/>
      </c>
    </row>
    <row r="67" ht="12.8" customHeight="1" s="82">
      <c r="A67" s="86" t="inlineStr">
        <is>
          <t>GFGD</t>
        </is>
      </c>
      <c r="B67" s="86" t="inlineStr">
        <is>
          <t>Federal general government (defense)</t>
        </is>
      </c>
      <c r="C67" s="86" t="n">
        <v>0</v>
      </c>
      <c r="D67" s="86" t="n">
        <v>0</v>
      </c>
      <c r="E67" s="86">
        <f>C67-D67</f>
        <v/>
      </c>
      <c r="F67" s="86" t="n">
        <v>0</v>
      </c>
      <c r="G67" s="86">
        <f>F67+E67</f>
        <v/>
      </c>
      <c r="H67" s="86" t="inlineStr">
        <is>
          <t>GFGD</t>
        </is>
      </c>
      <c r="I67" s="86" t="n">
        <v>1</v>
      </c>
      <c r="J67" s="86" t="inlineStr">
        <is>
          <t>GFGD</t>
        </is>
      </c>
      <c r="K67" s="86">
        <f>I67-G67</f>
        <v/>
      </c>
      <c r="L67" s="100">
        <f>K67/I67*100</f>
        <v/>
      </c>
    </row>
    <row r="68" ht="12.8" customHeight="1" s="82">
      <c r="A68" s="86" t="inlineStr">
        <is>
          <t>GFGN</t>
        </is>
      </c>
      <c r="B68" s="86" t="inlineStr">
        <is>
          <t>Federal general government (nondefense)</t>
        </is>
      </c>
      <c r="C68" s="86" t="n">
        <v>0</v>
      </c>
      <c r="D68" s="86" t="n">
        <v>0</v>
      </c>
      <c r="E68" s="86">
        <f>C68-D68</f>
        <v/>
      </c>
      <c r="F68" s="86" t="n">
        <v>0</v>
      </c>
      <c r="G68" s="86">
        <f>F68+E68</f>
        <v/>
      </c>
      <c r="H68" s="86" t="inlineStr">
        <is>
          <t>GFGN</t>
        </is>
      </c>
      <c r="I68" s="86" t="n">
        <v>-9371</v>
      </c>
      <c r="J68" s="86" t="inlineStr">
        <is>
          <t>GFGN</t>
        </is>
      </c>
      <c r="K68" s="86">
        <f>I68-G68</f>
        <v/>
      </c>
      <c r="L68" s="100">
        <f>K68/I68*100</f>
        <v/>
      </c>
    </row>
    <row r="69" ht="12.8" customHeight="1" s="82">
      <c r="A69" s="86" t="inlineStr">
        <is>
          <t>GSLE</t>
        </is>
      </c>
      <c r="B69" s="86" t="inlineStr">
        <is>
          <t>State and local government enterprises</t>
        </is>
      </c>
      <c r="C69" s="86" t="n">
        <v>977</v>
      </c>
      <c r="D69" s="86" t="n">
        <v>39580</v>
      </c>
      <c r="E69" s="86">
        <f>C69-D69</f>
        <v/>
      </c>
      <c r="F69" s="86" t="n">
        <v>0</v>
      </c>
      <c r="G69" s="86">
        <f>F69+E69</f>
        <v/>
      </c>
      <c r="H69" s="86" t="inlineStr">
        <is>
          <t>GSLE</t>
        </is>
      </c>
      <c r="I69" s="86" t="n">
        <v>-1138</v>
      </c>
      <c r="J69" s="86" t="inlineStr">
        <is>
          <t>GSLE</t>
        </is>
      </c>
      <c r="K69" s="86">
        <f>I69-G69</f>
        <v/>
      </c>
      <c r="L69" s="100">
        <f>K69/I69*100</f>
        <v/>
      </c>
    </row>
    <row r="70" ht="12.8" customHeight="1" s="82">
      <c r="A70" s="86" t="inlineStr">
        <is>
          <t>GSLG</t>
        </is>
      </c>
      <c r="B70" s="86" t="inlineStr">
        <is>
          <t>State and local general government</t>
        </is>
      </c>
      <c r="C70" s="86" t="n">
        <v>0</v>
      </c>
      <c r="D70" s="86" t="n">
        <v>0</v>
      </c>
      <c r="E70" s="86">
        <f>C70-D70</f>
        <v/>
      </c>
      <c r="F70" s="86" t="n">
        <v>0</v>
      </c>
      <c r="G70" s="86">
        <f>F70+E70</f>
        <v/>
      </c>
      <c r="H70" s="86" t="inlineStr">
        <is>
          <t>GSLG</t>
        </is>
      </c>
      <c r="I70" s="86" t="n">
        <v>-46726</v>
      </c>
      <c r="J70" s="86" t="inlineStr">
        <is>
          <t>GSLG</t>
        </is>
      </c>
      <c r="K70" s="86">
        <f>I70-G70</f>
        <v/>
      </c>
      <c r="L70" s="100">
        <f>K70/I70*100</f>
        <v/>
      </c>
    </row>
    <row r="71" ht="12.8" customHeight="1" s="82">
      <c r="A71" s="86" t="inlineStr">
        <is>
          <t>HS</t>
        </is>
      </c>
      <c r="B71" s="86" t="inlineStr">
        <is>
          <t>Housing</t>
        </is>
      </c>
      <c r="C71" s="86" t="n">
        <v>0</v>
      </c>
      <c r="D71" s="86" t="n">
        <v>28893</v>
      </c>
      <c r="E71" s="86">
        <f>C71-D71</f>
        <v/>
      </c>
      <c r="F71" s="86" t="n">
        <v>312331</v>
      </c>
      <c r="G71" s="86">
        <f>F71+E71</f>
        <v/>
      </c>
      <c r="H71" s="86" t="inlineStr">
        <is>
          <t>HS</t>
        </is>
      </c>
      <c r="I71" s="86" t="n">
        <v>54923</v>
      </c>
      <c r="J71" s="86" t="inlineStr">
        <is>
          <t>HS</t>
        </is>
      </c>
      <c r="K71" s="86">
        <f>I71-G71</f>
        <v/>
      </c>
      <c r="L71" s="100">
        <f>K71/I71*100</f>
        <v/>
      </c>
    </row>
    <row r="72" ht="12.8" customHeight="1" s="82">
      <c r="A72" s="86" t="inlineStr">
        <is>
          <t>ORE</t>
        </is>
      </c>
      <c r="B72" s="86" t="inlineStr">
        <is>
          <t>Other real estate</t>
        </is>
      </c>
      <c r="C72" s="86" t="n">
        <v>1836</v>
      </c>
      <c r="D72" s="86" t="n">
        <v>1198</v>
      </c>
      <c r="E72" s="86">
        <f>C72-D72</f>
        <v/>
      </c>
      <c r="F72" s="86" t="n">
        <v>34585</v>
      </c>
      <c r="G72" s="86">
        <f>F72+E72</f>
        <v/>
      </c>
      <c r="H72" s="86" t="inlineStr">
        <is>
          <t>ORE</t>
        </is>
      </c>
      <c r="I72" s="86" t="n">
        <v>269226</v>
      </c>
      <c r="J72" s="86" t="inlineStr">
        <is>
          <t>ORE</t>
        </is>
      </c>
      <c r="K72" s="86">
        <f>I72-G72</f>
        <v/>
      </c>
      <c r="L72" s="100">
        <f>K72/I72*100</f>
        <v/>
      </c>
    </row>
    <row r="73" ht="12.8" customHeight="1" s="82">
      <c r="F73" s="83" t="n"/>
      <c r="I73" s="83" t="n"/>
      <c r="J73" s="83" t="n"/>
    </row>
    <row r="74" ht="12.8" customHeight="1" s="82">
      <c r="F74" s="83" t="n"/>
      <c r="I74" s="83" t="n"/>
      <c r="J74" s="83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2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11.53515625" defaultRowHeight="12.8" zeroHeight="0" outlineLevelRow="0"/>
  <sheetData>
    <row r="2" ht="12.8" customHeight="1" s="82">
      <c r="A2" s="83" t="inlineStr">
        <is>
          <t>T00TOP</t>
        </is>
      </c>
      <c r="B2" s="83" t="inlineStr">
        <is>
          <t>T00SUB</t>
        </is>
      </c>
    </row>
    <row r="3" ht="12.8" customHeight="1" s="82">
      <c r="A3" s="83" t="inlineStr">
        <is>
          <t>Taxes on products and imports</t>
        </is>
      </c>
      <c r="B3" s="83" t="inlineStr">
        <is>
          <t>Less: Subsidies on products</t>
        </is>
      </c>
    </row>
    <row r="6" ht="12.8" customHeight="1" s="82">
      <c r="A6" s="83" t="inlineStr">
        <is>
          <t>V00100</t>
        </is>
      </c>
      <c r="B6" s="83" t="inlineStr">
        <is>
          <t>T00OTOP</t>
        </is>
      </c>
      <c r="C6" s="83" t="inlineStr">
        <is>
          <t>V00300</t>
        </is>
      </c>
      <c r="D6" s="83" t="inlineStr">
        <is>
          <t>T00TOP</t>
        </is>
      </c>
      <c r="E6" s="83" t="inlineStr">
        <is>
          <t>T00SUB</t>
        </is>
      </c>
    </row>
    <row r="7" ht="12.8" customHeight="1" s="82">
      <c r="A7" s="83" t="inlineStr">
        <is>
          <t>Compensation of employees</t>
        </is>
      </c>
      <c r="B7" s="83" t="inlineStr">
        <is>
          <t>Other taxes on production</t>
        </is>
      </c>
      <c r="C7" s="83" t="inlineStr">
        <is>
          <t>Gross operating surplus</t>
        </is>
      </c>
      <c r="D7" s="83" t="inlineStr">
        <is>
          <t>Plus: Taxes on products and imports</t>
        </is>
      </c>
      <c r="E7" s="83" t="inlineStr">
        <is>
          <t>Less: Subsidies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404"/>
  <sheetViews>
    <sheetView showFormulas="0" showGridLines="1" showRowColHeaders="1" showZeros="1" rightToLeft="0" tabSelected="1" showOutlineSymbols="1" defaultGridColor="1" view="normal" topLeftCell="A380" colorId="64" zoomScale="100" zoomScaleNormal="100" zoomScalePageLayoutView="100" workbookViewId="0">
      <selection pane="topLeft" activeCell="A402" activeCellId="0" sqref="A402"/>
    </sheetView>
  </sheetViews>
  <sheetFormatPr baseColWidth="8" defaultColWidth="11.53515625" defaultRowHeight="12.8" zeroHeight="0" outlineLevelRow="0"/>
  <sheetData>
    <row r="1" ht="12.8" customHeight="1" s="82">
      <c r="B1" s="83" t="inlineStr">
        <is>
          <t>industry</t>
        </is>
      </c>
      <c r="C1" s="83" t="inlineStr">
        <is>
          <t>employment</t>
        </is>
      </c>
      <c r="D1" s="83" t="inlineStr">
        <is>
          <t>earnings</t>
        </is>
      </c>
      <c r="E1" s="83" t="inlineStr">
        <is>
          <t>gdp_wages</t>
        </is>
      </c>
      <c r="F1" s="83" t="inlineStr">
        <is>
          <t>gdp_surplus</t>
        </is>
      </c>
      <c r="G1" s="83" t="inlineStr">
        <is>
          <t>gdp_nettax</t>
        </is>
      </c>
      <c r="H1" s="83" t="inlineStr">
        <is>
          <t>gdp_total</t>
        </is>
      </c>
    </row>
    <row r="2" ht="12.8" customHeight="1" s="82">
      <c r="A2" s="83" t="inlineStr">
        <is>
          <t>00000_1111A0</t>
        </is>
      </c>
      <c r="B2" s="83" t="inlineStr">
        <is>
          <t>1111A0</t>
        </is>
      </c>
      <c r="C2" s="83" t="n">
        <v>17707</v>
      </c>
      <c r="D2" s="83" t="n">
        <v>958262</v>
      </c>
      <c r="E2" s="83" t="n">
        <v>226501</v>
      </c>
      <c r="F2" s="83" t="n">
        <v>1324084</v>
      </c>
      <c r="G2" s="83" t="n">
        <v>-8808</v>
      </c>
      <c r="H2" s="83" t="n">
        <v>1541777</v>
      </c>
    </row>
    <row r="3" ht="12.8" customHeight="1" s="82">
      <c r="A3" s="83" t="inlineStr">
        <is>
          <t>00000_1111B0</t>
        </is>
      </c>
      <c r="B3" s="83" t="inlineStr">
        <is>
          <t>1111B0</t>
        </is>
      </c>
      <c r="C3" s="83" t="n">
        <v>168810</v>
      </c>
      <c r="D3" s="83" t="n">
        <v>9135589</v>
      </c>
      <c r="E3" s="83" t="n">
        <v>2159343</v>
      </c>
      <c r="F3" s="83" t="n">
        <v>12623151</v>
      </c>
      <c r="G3" s="83" t="n">
        <v>-83972</v>
      </c>
      <c r="H3" s="83" t="n">
        <v>14698523</v>
      </c>
    </row>
    <row r="4" ht="12.8" customHeight="1" s="82">
      <c r="A4" s="83" t="inlineStr">
        <is>
          <t>00000_111200</t>
        </is>
      </c>
      <c r="B4" s="83" t="n">
        <v>111200</v>
      </c>
      <c r="C4" s="83" t="n">
        <v>266649</v>
      </c>
      <c r="D4" s="83" t="n">
        <v>14430361</v>
      </c>
      <c r="E4" s="83" t="n">
        <v>3410848</v>
      </c>
      <c r="F4" s="83" t="n">
        <v>19939233</v>
      </c>
      <c r="G4" s="83" t="n">
        <v>-132640</v>
      </c>
      <c r="H4" s="83" t="n">
        <v>23217441</v>
      </c>
    </row>
    <row r="5" ht="12.8" customHeight="1" s="82">
      <c r="A5" s="83" t="inlineStr">
        <is>
          <t>00000_111300</t>
        </is>
      </c>
      <c r="B5" s="83" t="n">
        <v>111300</v>
      </c>
      <c r="C5" s="83" t="n">
        <v>433822</v>
      </c>
      <c r="D5" s="83" t="n">
        <v>23477343</v>
      </c>
      <c r="E5" s="83" t="n">
        <v>5549247</v>
      </c>
      <c r="F5" s="83" t="n">
        <v>32439951</v>
      </c>
      <c r="G5" s="83" t="n">
        <v>-215797</v>
      </c>
      <c r="H5" s="83" t="n">
        <v>37773401</v>
      </c>
    </row>
    <row r="6" ht="12.8" customHeight="1" s="82">
      <c r="A6" s="83" t="inlineStr">
        <is>
          <t>00000_111400</t>
        </is>
      </c>
      <c r="B6" s="83" t="n">
        <v>111400</v>
      </c>
      <c r="C6" s="83" t="n">
        <v>551876</v>
      </c>
      <c r="D6" s="83" t="n">
        <v>29866096</v>
      </c>
      <c r="E6" s="83" t="n">
        <v>7059332</v>
      </c>
      <c r="F6" s="83" t="n">
        <v>41267647</v>
      </c>
      <c r="G6" s="83" t="n">
        <v>-274520</v>
      </c>
      <c r="H6" s="83" t="n">
        <v>48052458</v>
      </c>
    </row>
    <row r="7" ht="12.8" customHeight="1" s="82">
      <c r="A7" s="83" t="inlineStr">
        <is>
          <t>00000_111900</t>
        </is>
      </c>
      <c r="B7" s="83" t="n">
        <v>111900</v>
      </c>
      <c r="C7" s="83" t="n">
        <v>224957</v>
      </c>
      <c r="D7" s="83" t="n">
        <v>12174076</v>
      </c>
      <c r="E7" s="83" t="n">
        <v>2877538</v>
      </c>
      <c r="F7" s="83" t="n">
        <v>16821598</v>
      </c>
      <c r="G7" s="83" t="n">
        <v>-111901</v>
      </c>
      <c r="H7" s="83" t="n">
        <v>19587235</v>
      </c>
    </row>
    <row r="8" ht="12.8" customHeight="1" s="82">
      <c r="A8" s="83" t="inlineStr">
        <is>
          <t>00000_112120</t>
        </is>
      </c>
      <c r="B8" s="83" t="n">
        <v>112120</v>
      </c>
      <c r="C8" s="83" t="n">
        <v>338538</v>
      </c>
      <c r="D8" s="83" t="n">
        <v>18320829</v>
      </c>
      <c r="E8" s="83" t="n">
        <v>4330422</v>
      </c>
      <c r="F8" s="83" t="n">
        <v>25314909</v>
      </c>
      <c r="G8" s="83" t="n">
        <v>-168400</v>
      </c>
      <c r="H8" s="83" t="n">
        <v>29476932</v>
      </c>
    </row>
    <row r="9" ht="12.8" customHeight="1" s="82">
      <c r="A9" s="83" t="inlineStr">
        <is>
          <t>00000_1121A0</t>
        </is>
      </c>
      <c r="B9" s="83" t="inlineStr">
        <is>
          <t>1121A0</t>
        </is>
      </c>
      <c r="C9" s="83" t="n">
        <v>181211</v>
      </c>
      <c r="D9" s="83" t="n">
        <v>9806683</v>
      </c>
      <c r="E9" s="83" t="n">
        <v>2317967</v>
      </c>
      <c r="F9" s="83" t="n">
        <v>13550439</v>
      </c>
      <c r="G9" s="83" t="n">
        <v>-90140</v>
      </c>
      <c r="H9" s="83" t="n">
        <v>15778266</v>
      </c>
    </row>
    <row r="10" ht="12.8" customHeight="1" s="82">
      <c r="A10" s="83" t="inlineStr">
        <is>
          <t>00000_112300</t>
        </is>
      </c>
      <c r="B10" s="83" t="n">
        <v>112300</v>
      </c>
      <c r="C10" s="83" t="n">
        <v>168647</v>
      </c>
      <c r="D10" s="83" t="n">
        <v>9126715</v>
      </c>
      <c r="E10" s="83" t="n">
        <v>2157246</v>
      </c>
      <c r="F10" s="83" t="n">
        <v>12610891</v>
      </c>
      <c r="G10" s="83" t="n">
        <v>-83890</v>
      </c>
      <c r="H10" s="83" t="n">
        <v>14684246</v>
      </c>
    </row>
    <row r="11" ht="12.8" customHeight="1" s="82">
      <c r="A11" s="83" t="inlineStr">
        <is>
          <t>00000_112A00</t>
        </is>
      </c>
      <c r="B11" s="83" t="inlineStr">
        <is>
          <t>112A00</t>
        </is>
      </c>
      <c r="C11" s="83" t="n">
        <v>214833</v>
      </c>
      <c r="D11" s="83" t="n">
        <v>11626187</v>
      </c>
      <c r="E11" s="83" t="n">
        <v>2748036</v>
      </c>
      <c r="F11" s="83" t="n">
        <v>16064549</v>
      </c>
      <c r="G11" s="83" t="n">
        <v>-106865</v>
      </c>
      <c r="H11" s="83" t="n">
        <v>18705721</v>
      </c>
    </row>
    <row r="12" ht="12.8" customHeight="1" s="82">
      <c r="A12" s="83" t="inlineStr">
        <is>
          <t>00000_113000</t>
        </is>
      </c>
      <c r="B12" s="83" t="n">
        <v>113000</v>
      </c>
      <c r="C12" s="83" t="n">
        <v>109374</v>
      </c>
      <c r="D12" s="83" t="n">
        <v>6627447</v>
      </c>
      <c r="E12" s="83" t="n">
        <v>3839318</v>
      </c>
      <c r="F12" s="83" t="n">
        <v>1631544</v>
      </c>
      <c r="G12" s="83" t="n">
        <v>322045</v>
      </c>
      <c r="H12" s="83" t="n">
        <v>5792906</v>
      </c>
    </row>
    <row r="13" ht="12.8" customHeight="1" s="82">
      <c r="A13" s="83" t="inlineStr">
        <is>
          <t>00000_114000</t>
        </is>
      </c>
      <c r="B13" s="83" t="n">
        <v>114000</v>
      </c>
      <c r="C13" s="83" t="n">
        <v>98997</v>
      </c>
      <c r="D13" s="83" t="n">
        <v>2389623</v>
      </c>
      <c r="E13" s="83" t="n">
        <v>1003904</v>
      </c>
      <c r="F13" s="83" t="n">
        <v>426616</v>
      </c>
      <c r="G13" s="83" t="n">
        <v>84208</v>
      </c>
      <c r="H13" s="83" t="n">
        <v>1514728</v>
      </c>
    </row>
    <row r="14" ht="12.8" customHeight="1" s="82">
      <c r="A14" s="83" t="inlineStr">
        <is>
          <t>00000_115000</t>
        </is>
      </c>
      <c r="B14" s="83" t="n">
        <v>115000</v>
      </c>
      <c r="C14" s="83" t="n">
        <v>758194</v>
      </c>
      <c r="D14" s="83" t="n">
        <v>30376409</v>
      </c>
      <c r="E14" s="83" t="n">
        <v>26509614</v>
      </c>
      <c r="F14" s="83" t="n">
        <v>11265438</v>
      </c>
      <c r="G14" s="83" t="n">
        <v>2223646</v>
      </c>
      <c r="H14" s="83" t="n">
        <v>39998698</v>
      </c>
    </row>
    <row r="15" ht="12.8" customHeight="1" s="82">
      <c r="A15" s="83" t="inlineStr">
        <is>
          <t>00000_211000</t>
        </is>
      </c>
      <c r="B15" s="83" t="n">
        <v>211000</v>
      </c>
      <c r="C15" s="83" t="n">
        <v>509297</v>
      </c>
      <c r="D15" s="83" t="n">
        <v>128696018</v>
      </c>
      <c r="E15" s="83" t="n">
        <v>26379008</v>
      </c>
      <c r="F15" s="83" t="n">
        <v>245846896</v>
      </c>
      <c r="G15" s="83" t="n">
        <v>52299309</v>
      </c>
      <c r="H15" s="83" t="n">
        <v>324525213</v>
      </c>
    </row>
    <row r="16" ht="12.8" customHeight="1" s="82">
      <c r="A16" s="83" t="inlineStr">
        <is>
          <t>00000_212100</t>
        </is>
      </c>
      <c r="B16" s="83" t="n">
        <v>212100</v>
      </c>
      <c r="C16" s="83" t="n">
        <v>59874</v>
      </c>
      <c r="D16" s="83" t="n">
        <v>6252609</v>
      </c>
      <c r="E16" s="83" t="n">
        <v>5170755</v>
      </c>
      <c r="F16" s="83" t="n">
        <v>12289305</v>
      </c>
      <c r="G16" s="83" t="n">
        <v>2243731</v>
      </c>
      <c r="H16" s="83" t="n">
        <v>19703791</v>
      </c>
    </row>
    <row r="17" ht="12.8" customHeight="1" s="82">
      <c r="A17" s="83" t="inlineStr">
        <is>
          <t>00000_212230</t>
        </is>
      </c>
      <c r="B17" s="83" t="n">
        <v>212230</v>
      </c>
      <c r="C17" s="83" t="n">
        <v>25693</v>
      </c>
      <c r="D17" s="83" t="n">
        <v>2683129</v>
      </c>
      <c r="E17" s="83" t="n">
        <v>2218882</v>
      </c>
      <c r="F17" s="83" t="n">
        <v>5273604</v>
      </c>
      <c r="G17" s="83" t="n">
        <v>962833</v>
      </c>
      <c r="H17" s="83" t="n">
        <v>8455320</v>
      </c>
    </row>
    <row r="18" ht="12.8" customHeight="1" s="82">
      <c r="A18" s="83" t="inlineStr">
        <is>
          <t>00000_2122A0</t>
        </is>
      </c>
      <c r="B18" s="83" t="inlineStr">
        <is>
          <t>2122A0</t>
        </is>
      </c>
      <c r="C18" s="83" t="n">
        <v>40283</v>
      </c>
      <c r="D18" s="83" t="n">
        <v>4206678</v>
      </c>
      <c r="E18" s="83" t="n">
        <v>3478820</v>
      </c>
      <c r="F18" s="83" t="n">
        <v>8268092</v>
      </c>
      <c r="G18" s="83" t="n">
        <v>1509554</v>
      </c>
      <c r="H18" s="83" t="n">
        <v>13256466</v>
      </c>
    </row>
    <row r="19" ht="12.8" customHeight="1" s="82">
      <c r="A19" s="83" t="inlineStr">
        <is>
          <t>00000_212310</t>
        </is>
      </c>
      <c r="B19" s="83" t="n">
        <v>212310</v>
      </c>
      <c r="C19" s="83" t="n">
        <v>46523</v>
      </c>
      <c r="D19" s="83" t="n">
        <v>4858392</v>
      </c>
      <c r="E19" s="83" t="n">
        <v>4017772</v>
      </c>
      <c r="F19" s="83" t="n">
        <v>9549016</v>
      </c>
      <c r="G19" s="83" t="n">
        <v>1743420</v>
      </c>
      <c r="H19" s="83" t="n">
        <v>15310209</v>
      </c>
    </row>
    <row r="20" ht="12.8" customHeight="1" s="82">
      <c r="A20" s="83" t="inlineStr">
        <is>
          <t>00000_2123A0</t>
        </is>
      </c>
      <c r="B20" s="83" t="inlineStr">
        <is>
          <t>2123A0</t>
        </is>
      </c>
      <c r="C20" s="83" t="n">
        <v>65524</v>
      </c>
      <c r="D20" s="83" t="n">
        <v>6842564</v>
      </c>
      <c r="E20" s="83" t="n">
        <v>5658634</v>
      </c>
      <c r="F20" s="83" t="n">
        <v>13448843</v>
      </c>
      <c r="G20" s="83" t="n">
        <v>2455435</v>
      </c>
      <c r="H20" s="83" t="n">
        <v>21562912</v>
      </c>
    </row>
    <row r="21" ht="12.8" customHeight="1" s="82">
      <c r="A21" s="83" t="inlineStr">
        <is>
          <t>00000_213111</t>
        </is>
      </c>
      <c r="B21" s="83" t="n">
        <v>213111</v>
      </c>
      <c r="C21" s="83" t="n">
        <v>50965</v>
      </c>
      <c r="D21" s="83" t="n">
        <v>6314478</v>
      </c>
      <c r="E21" s="83" t="n">
        <v>5210431</v>
      </c>
      <c r="F21" s="83" t="n">
        <v>3563144</v>
      </c>
      <c r="G21" s="83" t="n">
        <v>421141</v>
      </c>
      <c r="H21" s="83" t="n">
        <v>9194716</v>
      </c>
    </row>
    <row r="22" ht="12.8" customHeight="1" s="82">
      <c r="A22" s="83" t="inlineStr">
        <is>
          <t>00000_21311A</t>
        </is>
      </c>
      <c r="B22" s="83" t="inlineStr">
        <is>
          <t>21311A</t>
        </is>
      </c>
      <c r="C22" s="83" t="n">
        <v>251818</v>
      </c>
      <c r="D22" s="83" t="n">
        <v>31199961</v>
      </c>
      <c r="E22" s="83" t="n">
        <v>25744843</v>
      </c>
      <c r="F22" s="83" t="n">
        <v>17605562</v>
      </c>
      <c r="G22" s="83" t="n">
        <v>2080865</v>
      </c>
      <c r="H22" s="83" t="n">
        <v>45431270</v>
      </c>
    </row>
    <row r="23" ht="12.8" customHeight="1" s="82">
      <c r="A23" s="83" t="inlineStr">
        <is>
          <t>00000_221100</t>
        </is>
      </c>
      <c r="B23" s="83" t="n">
        <v>221100</v>
      </c>
      <c r="C23" s="83" t="n">
        <v>372124</v>
      </c>
      <c r="D23" s="83" t="n">
        <v>77692771</v>
      </c>
      <c r="E23" s="83" t="n">
        <v>58849550</v>
      </c>
      <c r="F23" s="83" t="n">
        <v>163592745</v>
      </c>
      <c r="G23" s="83" t="n">
        <v>46733617</v>
      </c>
      <c r="H23" s="83" t="n">
        <v>269175912</v>
      </c>
    </row>
    <row r="24" ht="12.8" customHeight="1" s="82">
      <c r="A24" s="83" t="inlineStr">
        <is>
          <t>00000_221200</t>
        </is>
      </c>
      <c r="B24" s="83" t="n">
        <v>221200</v>
      </c>
      <c r="C24" s="83" t="n">
        <v>111128</v>
      </c>
      <c r="D24" s="83" t="n">
        <v>23201433</v>
      </c>
      <c r="E24" s="83" t="n">
        <v>17574272</v>
      </c>
      <c r="F24" s="83" t="n">
        <v>48853787</v>
      </c>
      <c r="G24" s="83" t="n">
        <v>13956084</v>
      </c>
      <c r="H24" s="83" t="n">
        <v>80384143</v>
      </c>
    </row>
    <row r="25" ht="12.8" customHeight="1" s="82">
      <c r="A25" s="83" t="inlineStr">
        <is>
          <t>00000_221300</t>
        </is>
      </c>
      <c r="B25" s="83" t="n">
        <v>221300</v>
      </c>
      <c r="C25" s="83" t="n">
        <v>122560</v>
      </c>
      <c r="D25" s="83" t="n">
        <v>25588253</v>
      </c>
      <c r="E25" s="83" t="n">
        <v>19382205</v>
      </c>
      <c r="F25" s="83" t="n">
        <v>53879564</v>
      </c>
      <c r="G25" s="83" t="n">
        <v>15391801</v>
      </c>
      <c r="H25" s="83" t="n">
        <v>88653569</v>
      </c>
    </row>
    <row r="26" ht="12.8" customHeight="1" s="82">
      <c r="A26" s="83" t="inlineStr">
        <is>
          <t>00000_233210</t>
        </is>
      </c>
      <c r="B26" s="83" t="n">
        <v>233210</v>
      </c>
      <c r="C26" s="83" t="n">
        <v>667934</v>
      </c>
      <c r="D26" s="83" t="n">
        <v>51833751</v>
      </c>
      <c r="E26" s="83" t="n">
        <v>39291374</v>
      </c>
      <c r="F26" s="83" t="n">
        <v>21284637</v>
      </c>
      <c r="G26" s="83" t="n">
        <v>776918</v>
      </c>
      <c r="H26" s="83" t="n">
        <v>61352928</v>
      </c>
    </row>
    <row r="27" ht="12.8" customHeight="1" s="82">
      <c r="A27" s="83" t="inlineStr">
        <is>
          <t>00000_233262</t>
        </is>
      </c>
      <c r="B27" s="83" t="n">
        <v>233262</v>
      </c>
      <c r="C27" s="83" t="n">
        <v>1206223</v>
      </c>
      <c r="D27" s="83" t="n">
        <v>93606637</v>
      </c>
      <c r="E27" s="83" t="n">
        <v>70956342</v>
      </c>
      <c r="F27" s="83" t="n">
        <v>38437953</v>
      </c>
      <c r="G27" s="83" t="n">
        <v>1403036</v>
      </c>
      <c r="H27" s="83" t="n">
        <v>110797331</v>
      </c>
    </row>
    <row r="28" ht="12.8" customHeight="1" s="82">
      <c r="A28" s="83" t="inlineStr">
        <is>
          <t>00000_230301</t>
        </is>
      </c>
      <c r="B28" s="83" t="n">
        <v>230301</v>
      </c>
      <c r="C28" s="83" t="n">
        <v>1225931</v>
      </c>
      <c r="D28" s="83" t="n">
        <v>95136054</v>
      </c>
      <c r="E28" s="83" t="n">
        <v>72115681</v>
      </c>
      <c r="F28" s="83" t="n">
        <v>39065981</v>
      </c>
      <c r="G28" s="83" t="n">
        <v>1425960</v>
      </c>
      <c r="H28" s="83" t="n">
        <v>112607622</v>
      </c>
    </row>
    <row r="29" ht="12.8" customHeight="1" s="82">
      <c r="A29" s="83" t="inlineStr">
        <is>
          <t>00000_230302</t>
        </is>
      </c>
      <c r="B29" s="83" t="n">
        <v>230302</v>
      </c>
      <c r="C29" s="83" t="n">
        <v>690123</v>
      </c>
      <c r="D29" s="83" t="n">
        <v>53555685</v>
      </c>
      <c r="E29" s="83" t="n">
        <v>40596646</v>
      </c>
      <c r="F29" s="83" t="n">
        <v>21991719</v>
      </c>
      <c r="G29" s="83" t="n">
        <v>802727</v>
      </c>
      <c r="H29" s="83" t="n">
        <v>63391092</v>
      </c>
    </row>
    <row r="30" ht="12.8" customHeight="1" s="82">
      <c r="A30" s="83" t="inlineStr">
        <is>
          <t>00000_2332A0</t>
        </is>
      </c>
      <c r="B30" s="83" t="inlineStr">
        <is>
          <t>2332A0</t>
        </is>
      </c>
      <c r="C30" s="83" t="n">
        <v>1874156</v>
      </c>
      <c r="D30" s="83" t="n">
        <v>145440391</v>
      </c>
      <c r="E30" s="83" t="n">
        <v>110247718</v>
      </c>
      <c r="F30" s="83" t="n">
        <v>59722591</v>
      </c>
      <c r="G30" s="83" t="n">
        <v>2179954</v>
      </c>
      <c r="H30" s="83" t="n">
        <v>172150262</v>
      </c>
    </row>
    <row r="31" ht="12.8" customHeight="1" s="82">
      <c r="A31" s="83" t="inlineStr">
        <is>
          <t>00000_233412</t>
        </is>
      </c>
      <c r="B31" s="83" t="n">
        <v>233412</v>
      </c>
      <c r="C31" s="83" t="n">
        <v>430526</v>
      </c>
      <c r="D31" s="83" t="n">
        <v>33410179</v>
      </c>
      <c r="E31" s="83" t="n">
        <v>25325812</v>
      </c>
      <c r="F31" s="83" t="n">
        <v>13719315</v>
      </c>
      <c r="G31" s="83" t="n">
        <v>500773</v>
      </c>
      <c r="H31" s="83" t="n">
        <v>39545900</v>
      </c>
    </row>
    <row r="32" ht="12.8" customHeight="1" s="82">
      <c r="A32" s="83" t="inlineStr">
        <is>
          <t>00000_2334A0</t>
        </is>
      </c>
      <c r="B32" s="83" t="inlineStr">
        <is>
          <t>2334A0</t>
        </is>
      </c>
      <c r="C32" s="83" t="n">
        <v>1035184</v>
      </c>
      <c r="D32" s="83" t="n">
        <v>80333528</v>
      </c>
      <c r="E32" s="83" t="n">
        <v>60894969</v>
      </c>
      <c r="F32" s="83" t="n">
        <v>32987579</v>
      </c>
      <c r="G32" s="83" t="n">
        <v>1204090</v>
      </c>
      <c r="H32" s="83" t="n">
        <v>95086639</v>
      </c>
    </row>
    <row r="33" ht="12.8" customHeight="1" s="82">
      <c r="A33" s="83" t="inlineStr">
        <is>
          <t>00000_233230</t>
        </is>
      </c>
      <c r="B33" s="83" t="n">
        <v>233230</v>
      </c>
      <c r="C33" s="83" t="n">
        <v>678302</v>
      </c>
      <c r="D33" s="83" t="n">
        <v>52638386</v>
      </c>
      <c r="E33" s="83" t="n">
        <v>39901308</v>
      </c>
      <c r="F33" s="83" t="n">
        <v>21615046</v>
      </c>
      <c r="G33" s="83" t="n">
        <v>788978</v>
      </c>
      <c r="H33" s="83" t="n">
        <v>62305332</v>
      </c>
    </row>
    <row r="34" ht="12.8" customHeight="1" s="82">
      <c r="A34" s="83" t="inlineStr">
        <is>
          <t>00000_2332D0</t>
        </is>
      </c>
      <c r="B34" s="83" t="inlineStr">
        <is>
          <t>2332D0</t>
        </is>
      </c>
      <c r="C34" s="83" t="n">
        <v>858454</v>
      </c>
      <c r="D34" s="83" t="n">
        <v>66618721</v>
      </c>
      <c r="E34" s="83" t="n">
        <v>50498778</v>
      </c>
      <c r="F34" s="83" t="n">
        <v>27355830</v>
      </c>
      <c r="G34" s="83" t="n">
        <v>998524</v>
      </c>
      <c r="H34" s="83" t="n">
        <v>78853132</v>
      </c>
    </row>
    <row r="35" ht="12.8" customHeight="1" s="82">
      <c r="A35" s="83" t="inlineStr">
        <is>
          <t>00000_233240</t>
        </is>
      </c>
      <c r="B35" s="83" t="n">
        <v>233240</v>
      </c>
      <c r="C35" s="83" t="n">
        <v>406758</v>
      </c>
      <c r="D35" s="83" t="n">
        <v>31565720</v>
      </c>
      <c r="E35" s="83" t="n">
        <v>23927663</v>
      </c>
      <c r="F35" s="83" t="n">
        <v>12961919</v>
      </c>
      <c r="G35" s="83" t="n">
        <v>473127</v>
      </c>
      <c r="H35" s="83" t="n">
        <v>37362709</v>
      </c>
    </row>
    <row r="36" ht="12.8" customHeight="1" s="82">
      <c r="A36" s="83" t="inlineStr">
        <is>
          <t>00000_233411</t>
        </is>
      </c>
      <c r="B36" s="83" t="n">
        <v>233411</v>
      </c>
      <c r="C36" s="83" t="n">
        <v>1980384</v>
      </c>
      <c r="D36" s="83" t="n">
        <v>153684003</v>
      </c>
      <c r="E36" s="83" t="n">
        <v>116496597</v>
      </c>
      <c r="F36" s="83" t="n">
        <v>63107688</v>
      </c>
      <c r="G36" s="83" t="n">
        <v>2303514</v>
      </c>
      <c r="H36" s="83" t="n">
        <v>181907800</v>
      </c>
    </row>
    <row r="37" ht="12.8" customHeight="1" s="82">
      <c r="A37" s="83" t="inlineStr">
        <is>
          <t>00000_2332C0</t>
        </is>
      </c>
      <c r="B37" s="83" t="inlineStr">
        <is>
          <t>2332C0</t>
        </is>
      </c>
      <c r="C37" s="83" t="n">
        <v>813784</v>
      </c>
      <c r="D37" s="83" t="n">
        <v>63152148</v>
      </c>
      <c r="E37" s="83" t="n">
        <v>47871022</v>
      </c>
      <c r="F37" s="83" t="n">
        <v>25932341</v>
      </c>
      <c r="G37" s="83" t="n">
        <v>946565</v>
      </c>
      <c r="H37" s="83" t="n">
        <v>74749928</v>
      </c>
    </row>
    <row r="38" ht="12.8" customHeight="1" s="82">
      <c r="A38" s="83" t="inlineStr">
        <is>
          <t>00000_321100</t>
        </is>
      </c>
      <c r="B38" s="83" t="n">
        <v>321100</v>
      </c>
      <c r="C38" s="83" t="n">
        <v>106992</v>
      </c>
      <c r="D38" s="83" t="n">
        <v>8149685</v>
      </c>
      <c r="E38" s="83" t="n">
        <v>7036427</v>
      </c>
      <c r="F38" s="83" t="n">
        <v>6670990</v>
      </c>
      <c r="G38" s="83" t="n">
        <v>222029</v>
      </c>
      <c r="H38" s="83" t="n">
        <v>13929446</v>
      </c>
    </row>
    <row r="39" ht="12.8" customHeight="1" s="82">
      <c r="A39" s="83" t="inlineStr">
        <is>
          <t>00000_321200</t>
        </is>
      </c>
      <c r="B39" s="83" t="n">
        <v>321200</v>
      </c>
      <c r="C39" s="83" t="n">
        <v>104378</v>
      </c>
      <c r="D39" s="83" t="n">
        <v>7950563</v>
      </c>
      <c r="E39" s="83" t="n">
        <v>6864505</v>
      </c>
      <c r="F39" s="83" t="n">
        <v>6507996</v>
      </c>
      <c r="G39" s="83" t="n">
        <v>216604</v>
      </c>
      <c r="H39" s="83" t="n">
        <v>13589105</v>
      </c>
    </row>
    <row r="40" ht="12.8" customHeight="1" s="82">
      <c r="A40" s="83" t="inlineStr">
        <is>
          <t>00000_321910</t>
        </is>
      </c>
      <c r="B40" s="83" t="n">
        <v>321910</v>
      </c>
      <c r="C40" s="83" t="n">
        <v>117402</v>
      </c>
      <c r="D40" s="83" t="n">
        <v>8942592</v>
      </c>
      <c r="E40" s="83" t="n">
        <v>7721021</v>
      </c>
      <c r="F40" s="83" t="n">
        <v>7320030</v>
      </c>
      <c r="G40" s="83" t="n">
        <v>243631</v>
      </c>
      <c r="H40" s="83" t="n">
        <v>15284682</v>
      </c>
    </row>
    <row r="41" ht="12.8" customHeight="1" s="82">
      <c r="A41" s="83" t="inlineStr">
        <is>
          <t>00000_3219A0</t>
        </is>
      </c>
      <c r="B41" s="83" t="inlineStr">
        <is>
          <t>3219A0</t>
        </is>
      </c>
      <c r="C41" s="83" t="n">
        <v>148036</v>
      </c>
      <c r="D41" s="83" t="n">
        <v>11276039</v>
      </c>
      <c r="E41" s="83" t="n">
        <v>9735716</v>
      </c>
      <c r="F41" s="83" t="n">
        <v>9230091</v>
      </c>
      <c r="G41" s="83" t="n">
        <v>307203</v>
      </c>
      <c r="H41" s="83" t="n">
        <v>19273011</v>
      </c>
    </row>
    <row r="42" ht="12.8" customHeight="1" s="82">
      <c r="A42" s="83" t="inlineStr">
        <is>
          <t>00000_327100</t>
        </is>
      </c>
      <c r="B42" s="83" t="n">
        <v>327100</v>
      </c>
      <c r="C42" s="83" t="n">
        <v>35491</v>
      </c>
      <c r="D42" s="83" t="n">
        <v>2962012</v>
      </c>
      <c r="E42" s="83" t="n">
        <v>2854660</v>
      </c>
      <c r="F42" s="83" t="n">
        <v>2850647</v>
      </c>
      <c r="G42" s="83" t="n">
        <v>156276</v>
      </c>
      <c r="H42" s="83" t="n">
        <v>5861583</v>
      </c>
    </row>
    <row r="43" ht="12.8" customHeight="1" s="82">
      <c r="A43" s="83" t="inlineStr">
        <is>
          <t>00000_327200</t>
        </is>
      </c>
      <c r="B43" s="83" t="n">
        <v>327200</v>
      </c>
      <c r="C43" s="83" t="n">
        <v>85223</v>
      </c>
      <c r="D43" s="83" t="n">
        <v>7112453</v>
      </c>
      <c r="E43" s="83" t="n">
        <v>6854677</v>
      </c>
      <c r="F43" s="83" t="n">
        <v>6845040</v>
      </c>
      <c r="G43" s="83" t="n">
        <v>375253</v>
      </c>
      <c r="H43" s="83" t="n">
        <v>14074970</v>
      </c>
    </row>
    <row r="44" ht="12.8" customHeight="1" s="82">
      <c r="A44" s="83" t="inlineStr">
        <is>
          <t>00000_327310</t>
        </is>
      </c>
      <c r="B44" s="83" t="n">
        <v>327310</v>
      </c>
      <c r="C44" s="83" t="n">
        <v>19391</v>
      </c>
      <c r="D44" s="83" t="n">
        <v>1618297</v>
      </c>
      <c r="E44" s="83" t="n">
        <v>1559646</v>
      </c>
      <c r="F44" s="83" t="n">
        <v>1557453</v>
      </c>
      <c r="G44" s="83" t="n">
        <v>85381</v>
      </c>
      <c r="H44" s="83" t="n">
        <v>3202480</v>
      </c>
    </row>
    <row r="45" ht="12.8" customHeight="1" s="82">
      <c r="A45" s="83" t="inlineStr">
        <is>
          <t>00000_327320</t>
        </is>
      </c>
      <c r="B45" s="83" t="n">
        <v>327320</v>
      </c>
      <c r="C45" s="83" t="n">
        <v>112870</v>
      </c>
      <c r="D45" s="83" t="n">
        <v>9419788</v>
      </c>
      <c r="E45" s="83" t="n">
        <v>9078388</v>
      </c>
      <c r="F45" s="83" t="n">
        <v>9065624</v>
      </c>
      <c r="G45" s="83" t="n">
        <v>496988</v>
      </c>
      <c r="H45" s="83" t="n">
        <v>18641000</v>
      </c>
    </row>
    <row r="46" ht="12.8" customHeight="1" s="82">
      <c r="A46" s="83" t="inlineStr">
        <is>
          <t>00000_327330</t>
        </is>
      </c>
      <c r="B46" s="83" t="n">
        <v>327330</v>
      </c>
      <c r="C46" s="83" t="n">
        <v>30931</v>
      </c>
      <c r="D46" s="83" t="n">
        <v>2581439</v>
      </c>
      <c r="E46" s="83" t="n">
        <v>2487881</v>
      </c>
      <c r="F46" s="83" t="n">
        <v>2484383</v>
      </c>
      <c r="G46" s="83" t="n">
        <v>136197</v>
      </c>
      <c r="H46" s="83" t="n">
        <v>5108460</v>
      </c>
    </row>
    <row r="47" ht="12.8" customHeight="1" s="82">
      <c r="A47" s="83" t="inlineStr">
        <is>
          <t>00000_327390</t>
        </is>
      </c>
      <c r="B47" s="83" t="n">
        <v>327390</v>
      </c>
      <c r="C47" s="83" t="n">
        <v>57195</v>
      </c>
      <c r="D47" s="83" t="n">
        <v>4773323</v>
      </c>
      <c r="E47" s="83" t="n">
        <v>4600324</v>
      </c>
      <c r="F47" s="83" t="n">
        <v>4593856</v>
      </c>
      <c r="G47" s="83" t="n">
        <v>251840</v>
      </c>
      <c r="H47" s="83" t="n">
        <v>9446020</v>
      </c>
    </row>
    <row r="48" ht="12.8" customHeight="1" s="82">
      <c r="A48" s="83" t="inlineStr">
        <is>
          <t>00000_327400</t>
        </is>
      </c>
      <c r="B48" s="83" t="n">
        <v>327400</v>
      </c>
      <c r="C48" s="83" t="n">
        <v>19443</v>
      </c>
      <c r="D48" s="83" t="n">
        <v>1622645</v>
      </c>
      <c r="E48" s="83" t="n">
        <v>1563836</v>
      </c>
      <c r="F48" s="83" t="n">
        <v>1561637</v>
      </c>
      <c r="G48" s="83" t="n">
        <v>85611</v>
      </c>
      <c r="H48" s="83" t="n">
        <v>3211084</v>
      </c>
    </row>
    <row r="49" ht="12.8" customHeight="1" s="82">
      <c r="A49" s="83" t="inlineStr">
        <is>
          <t>00000_327910</t>
        </is>
      </c>
      <c r="B49" s="83" t="n">
        <v>327910</v>
      </c>
      <c r="C49" s="83" t="n">
        <v>10402</v>
      </c>
      <c r="D49" s="83" t="n">
        <v>868126</v>
      </c>
      <c r="E49" s="83" t="n">
        <v>836662</v>
      </c>
      <c r="F49" s="83" t="n">
        <v>835486</v>
      </c>
      <c r="G49" s="83" t="n">
        <v>45802</v>
      </c>
      <c r="H49" s="83" t="n">
        <v>1717951</v>
      </c>
    </row>
    <row r="50" ht="12.8" customHeight="1" s="82">
      <c r="A50" s="83" t="inlineStr">
        <is>
          <t>00000_327991</t>
        </is>
      </c>
      <c r="B50" s="83" t="n">
        <v>327991</v>
      </c>
      <c r="C50" s="83" t="n">
        <v>30719</v>
      </c>
      <c r="D50" s="83" t="n">
        <v>2563675</v>
      </c>
      <c r="E50" s="83" t="n">
        <v>2470760</v>
      </c>
      <c r="F50" s="83" t="n">
        <v>2467286</v>
      </c>
      <c r="G50" s="83" t="n">
        <v>135259</v>
      </c>
      <c r="H50" s="83" t="n">
        <v>5073305</v>
      </c>
    </row>
    <row r="51" ht="12.8" customHeight="1" s="82">
      <c r="A51" s="83" t="inlineStr">
        <is>
          <t>00000_327992</t>
        </is>
      </c>
      <c r="B51" s="83" t="n">
        <v>327992</v>
      </c>
      <c r="C51" s="83" t="n">
        <v>7526</v>
      </c>
      <c r="D51" s="83" t="n">
        <v>628092</v>
      </c>
      <c r="E51" s="83" t="n">
        <v>605328</v>
      </c>
      <c r="F51" s="83" t="n">
        <v>604477</v>
      </c>
      <c r="G51" s="83" t="n">
        <v>33138</v>
      </c>
      <c r="H51" s="83" t="n">
        <v>1242944</v>
      </c>
    </row>
    <row r="52" ht="12.8" customHeight="1" s="82">
      <c r="A52" s="83" t="inlineStr">
        <is>
          <t>00000_327993</t>
        </is>
      </c>
      <c r="B52" s="83" t="n">
        <v>327993</v>
      </c>
      <c r="C52" s="83" t="n">
        <v>20254</v>
      </c>
      <c r="D52" s="83" t="n">
        <v>1690325</v>
      </c>
      <c r="E52" s="83" t="n">
        <v>1629063</v>
      </c>
      <c r="F52" s="83" t="n">
        <v>1626772</v>
      </c>
      <c r="G52" s="83" t="n">
        <v>89181</v>
      </c>
      <c r="H52" s="83" t="n">
        <v>3345017</v>
      </c>
    </row>
    <row r="53" ht="12.8" customHeight="1" s="82">
      <c r="A53" s="83" t="inlineStr">
        <is>
          <t>00000_327999</t>
        </is>
      </c>
      <c r="B53" s="83" t="n">
        <v>327999</v>
      </c>
      <c r="C53" s="83" t="n">
        <v>12963</v>
      </c>
      <c r="D53" s="83" t="n">
        <v>1081862</v>
      </c>
      <c r="E53" s="83" t="n">
        <v>1042652</v>
      </c>
      <c r="F53" s="83" t="n">
        <v>1041186</v>
      </c>
      <c r="G53" s="83" t="n">
        <v>57079</v>
      </c>
      <c r="H53" s="83" t="n">
        <v>2140918</v>
      </c>
    </row>
    <row r="54" ht="12.8" customHeight="1" s="82">
      <c r="A54" s="83" t="inlineStr">
        <is>
          <t>00000_331110</t>
        </is>
      </c>
      <c r="B54" s="83" t="n">
        <v>331110</v>
      </c>
      <c r="C54" s="83" t="n">
        <v>112383</v>
      </c>
      <c r="D54" s="83" t="n">
        <v>12843794</v>
      </c>
      <c r="E54" s="83" t="n">
        <v>11243719</v>
      </c>
      <c r="F54" s="83" t="n">
        <v>15608274</v>
      </c>
      <c r="G54" s="83" t="n">
        <v>942651</v>
      </c>
      <c r="H54" s="83" t="n">
        <v>27794645</v>
      </c>
    </row>
    <row r="55" ht="12.8" customHeight="1" s="82">
      <c r="A55" s="83" t="inlineStr">
        <is>
          <t>00000_331200</t>
        </is>
      </c>
      <c r="B55" s="83" t="n">
        <v>331200</v>
      </c>
      <c r="C55" s="83" t="n">
        <v>54674</v>
      </c>
      <c r="D55" s="83" t="n">
        <v>6248484</v>
      </c>
      <c r="E55" s="83" t="n">
        <v>5470050</v>
      </c>
      <c r="F55" s="83" t="n">
        <v>7593398</v>
      </c>
      <c r="G55" s="83" t="n">
        <v>458598</v>
      </c>
      <c r="H55" s="83" t="n">
        <v>13522047</v>
      </c>
    </row>
    <row r="56" ht="12.8" customHeight="1" s="82">
      <c r="A56" s="83" t="inlineStr">
        <is>
          <t>00000_331314</t>
        </is>
      </c>
      <c r="B56" s="83" t="n">
        <v>331314</v>
      </c>
      <c r="C56" s="83" t="n">
        <v>5191</v>
      </c>
      <c r="D56" s="83" t="n">
        <v>593280</v>
      </c>
      <c r="E56" s="83" t="n">
        <v>519370</v>
      </c>
      <c r="F56" s="83" t="n">
        <v>720977</v>
      </c>
      <c r="G56" s="83" t="n">
        <v>43543</v>
      </c>
      <c r="H56" s="83" t="n">
        <v>1283890</v>
      </c>
    </row>
    <row r="57" ht="12.8" customHeight="1" s="82">
      <c r="A57" s="83" t="inlineStr">
        <is>
          <t>00000_331313</t>
        </is>
      </c>
      <c r="B57" s="83" t="n">
        <v>331313</v>
      </c>
      <c r="C57" s="83" t="n">
        <v>8759</v>
      </c>
      <c r="D57" s="83" t="n">
        <v>1000973</v>
      </c>
      <c r="E57" s="83" t="n">
        <v>876272</v>
      </c>
      <c r="F57" s="83" t="n">
        <v>1216421</v>
      </c>
      <c r="G57" s="83" t="n">
        <v>73465</v>
      </c>
      <c r="H57" s="83" t="n">
        <v>2166159</v>
      </c>
    </row>
    <row r="58" ht="12.8" customHeight="1" s="82">
      <c r="A58" s="83" t="inlineStr">
        <is>
          <t>00000_33131B</t>
        </is>
      </c>
      <c r="B58" s="83" t="inlineStr">
        <is>
          <t>33131B</t>
        </is>
      </c>
      <c r="C58" s="83" t="n">
        <v>43355</v>
      </c>
      <c r="D58" s="83" t="n">
        <v>4954809</v>
      </c>
      <c r="E58" s="83" t="n">
        <v>4337541</v>
      </c>
      <c r="F58" s="83" t="n">
        <v>6021275</v>
      </c>
      <c r="G58" s="83" t="n">
        <v>363651</v>
      </c>
      <c r="H58" s="83" t="n">
        <v>10722467</v>
      </c>
    </row>
    <row r="59" ht="12.8" customHeight="1" s="82">
      <c r="A59" s="83" t="inlineStr">
        <is>
          <t>00000_331410</t>
        </is>
      </c>
      <c r="B59" s="83" t="n">
        <v>331410</v>
      </c>
      <c r="C59" s="83" t="n">
        <v>8337</v>
      </c>
      <c r="D59" s="83" t="n">
        <v>952810</v>
      </c>
      <c r="E59" s="83" t="n">
        <v>834109</v>
      </c>
      <c r="F59" s="83" t="n">
        <v>1157891</v>
      </c>
      <c r="G59" s="83" t="n">
        <v>69930</v>
      </c>
      <c r="H59" s="83" t="n">
        <v>2061931</v>
      </c>
    </row>
    <row r="60" ht="12.8" customHeight="1" s="82">
      <c r="A60" s="83" t="inlineStr">
        <is>
          <t>00000_331420</t>
        </is>
      </c>
      <c r="B60" s="83" t="n">
        <v>331420</v>
      </c>
      <c r="C60" s="83" t="n">
        <v>26261</v>
      </c>
      <c r="D60" s="83" t="n">
        <v>3001300</v>
      </c>
      <c r="E60" s="83" t="n">
        <v>2627399</v>
      </c>
      <c r="F60" s="83" t="n">
        <v>3647295</v>
      </c>
      <c r="G60" s="83" t="n">
        <v>220276</v>
      </c>
      <c r="H60" s="83" t="n">
        <v>6494970</v>
      </c>
    </row>
    <row r="61" ht="12.8" customHeight="1" s="82">
      <c r="A61" s="83" t="inlineStr">
        <is>
          <t>00000_331490</t>
        </is>
      </c>
      <c r="B61" s="83" t="n">
        <v>331490</v>
      </c>
      <c r="C61" s="83" t="n">
        <v>23290</v>
      </c>
      <c r="D61" s="83" t="n">
        <v>2661681</v>
      </c>
      <c r="E61" s="83" t="n">
        <v>2330090</v>
      </c>
      <c r="F61" s="83" t="n">
        <v>3234577</v>
      </c>
      <c r="G61" s="83" t="n">
        <v>195350</v>
      </c>
      <c r="H61" s="83" t="n">
        <v>5760017</v>
      </c>
    </row>
    <row r="62" ht="12.8" customHeight="1" s="82">
      <c r="A62" s="83" t="inlineStr">
        <is>
          <t>00000_331510</t>
        </is>
      </c>
      <c r="B62" s="83" t="n">
        <v>331510</v>
      </c>
      <c r="C62" s="83" t="n">
        <v>49209</v>
      </c>
      <c r="D62" s="83" t="n">
        <v>5623918</v>
      </c>
      <c r="E62" s="83" t="n">
        <v>4923292</v>
      </c>
      <c r="F62" s="83" t="n">
        <v>6834402</v>
      </c>
      <c r="G62" s="83" t="n">
        <v>412759</v>
      </c>
      <c r="H62" s="83" t="n">
        <v>12170453</v>
      </c>
    </row>
    <row r="63" ht="12.8" customHeight="1" s="82">
      <c r="A63" s="83" t="inlineStr">
        <is>
          <t>00000_331520</t>
        </is>
      </c>
      <c r="B63" s="83" t="n">
        <v>331520</v>
      </c>
      <c r="C63" s="83" t="n">
        <v>39558</v>
      </c>
      <c r="D63" s="83" t="n">
        <v>4520947</v>
      </c>
      <c r="E63" s="83" t="n">
        <v>3957729</v>
      </c>
      <c r="F63" s="83" t="n">
        <v>5494029</v>
      </c>
      <c r="G63" s="83" t="n">
        <v>331808</v>
      </c>
      <c r="H63" s="83" t="n">
        <v>9783567</v>
      </c>
    </row>
    <row r="64" ht="12.8" customHeight="1" s="82">
      <c r="A64" s="83" t="inlineStr">
        <is>
          <t>00000_332114</t>
        </is>
      </c>
      <c r="B64" s="83" t="n">
        <v>332114</v>
      </c>
      <c r="C64" s="83" t="n">
        <v>7246</v>
      </c>
      <c r="D64" s="83" t="n">
        <v>587388</v>
      </c>
      <c r="E64" s="83" t="n">
        <v>561251</v>
      </c>
      <c r="F64" s="83" t="n">
        <v>215924</v>
      </c>
      <c r="G64" s="83" t="n">
        <v>20548</v>
      </c>
      <c r="H64" s="83" t="n">
        <v>797723</v>
      </c>
    </row>
    <row r="65" ht="12.8" customHeight="1" s="82">
      <c r="A65" s="83" t="inlineStr">
        <is>
          <t>00000_33211A</t>
        </is>
      </c>
      <c r="B65" s="83" t="inlineStr">
        <is>
          <t>33211A</t>
        </is>
      </c>
      <c r="C65" s="83" t="n">
        <v>38686</v>
      </c>
      <c r="D65" s="83" t="n">
        <v>3135984</v>
      </c>
      <c r="E65" s="83" t="n">
        <v>2996441</v>
      </c>
      <c r="F65" s="83" t="n">
        <v>1152791</v>
      </c>
      <c r="G65" s="83" t="n">
        <v>109703</v>
      </c>
      <c r="H65" s="83" t="n">
        <v>4258934</v>
      </c>
    </row>
    <row r="66" ht="12.8" customHeight="1" s="82">
      <c r="A66" s="83" t="inlineStr">
        <is>
          <t>00000_332119</t>
        </is>
      </c>
      <c r="B66" s="83" t="n">
        <v>332119</v>
      </c>
      <c r="C66" s="83" t="n">
        <v>50685</v>
      </c>
      <c r="D66" s="83" t="n">
        <v>4108681</v>
      </c>
      <c r="E66" s="83" t="n">
        <v>3925855</v>
      </c>
      <c r="F66" s="83" t="n">
        <v>1510355</v>
      </c>
      <c r="G66" s="83" t="n">
        <v>143730</v>
      </c>
      <c r="H66" s="83" t="n">
        <v>5579939</v>
      </c>
    </row>
    <row r="67" ht="12.8" customHeight="1" s="82">
      <c r="A67" s="83" t="inlineStr">
        <is>
          <t>00000_332200</t>
        </is>
      </c>
      <c r="B67" s="83" t="n">
        <v>332200</v>
      </c>
      <c r="C67" s="83" t="n">
        <v>40439</v>
      </c>
      <c r="D67" s="83" t="n">
        <v>3278093</v>
      </c>
      <c r="E67" s="83" t="n">
        <v>3132226</v>
      </c>
      <c r="F67" s="83" t="n">
        <v>1205030</v>
      </c>
      <c r="G67" s="83" t="n">
        <v>114674</v>
      </c>
      <c r="H67" s="83" t="n">
        <v>4451931</v>
      </c>
    </row>
    <row r="68" ht="12.8" customHeight="1" s="82">
      <c r="A68" s="83" t="inlineStr">
        <is>
          <t>00000_332310</t>
        </is>
      </c>
      <c r="B68" s="83" t="n">
        <v>332310</v>
      </c>
      <c r="C68" s="83" t="n">
        <v>189171</v>
      </c>
      <c r="D68" s="83" t="n">
        <v>15334739</v>
      </c>
      <c r="E68" s="83" t="n">
        <v>14652381</v>
      </c>
      <c r="F68" s="83" t="n">
        <v>5637064</v>
      </c>
      <c r="G68" s="83" t="n">
        <v>536441</v>
      </c>
      <c r="H68" s="83" t="n">
        <v>20825885</v>
      </c>
    </row>
    <row r="69" ht="12.8" customHeight="1" s="82">
      <c r="A69" s="83" t="inlineStr">
        <is>
          <t>00000_332320</t>
        </is>
      </c>
      <c r="B69" s="83" t="n">
        <v>332320</v>
      </c>
      <c r="C69" s="83" t="n">
        <v>221255</v>
      </c>
      <c r="D69" s="83" t="n">
        <v>17935575</v>
      </c>
      <c r="E69" s="83" t="n">
        <v>17137486</v>
      </c>
      <c r="F69" s="83" t="n">
        <v>6593133</v>
      </c>
      <c r="G69" s="83" t="n">
        <v>627423</v>
      </c>
      <c r="H69" s="83" t="n">
        <v>24358043</v>
      </c>
    </row>
    <row r="70" ht="12.8" customHeight="1" s="82">
      <c r="A70" s="83" t="inlineStr">
        <is>
          <t>00000_332410</t>
        </is>
      </c>
      <c r="B70" s="83" t="n">
        <v>332410</v>
      </c>
      <c r="C70" s="83" t="n">
        <v>22975</v>
      </c>
      <c r="D70" s="83" t="n">
        <v>1862400</v>
      </c>
      <c r="E70" s="83" t="n">
        <v>1779528</v>
      </c>
      <c r="F70" s="83" t="n">
        <v>684620</v>
      </c>
      <c r="G70" s="83" t="n">
        <v>65151</v>
      </c>
      <c r="H70" s="83" t="n">
        <v>2529298</v>
      </c>
    </row>
    <row r="71" ht="12.8" customHeight="1" s="82">
      <c r="A71" s="83" t="inlineStr">
        <is>
          <t>00000_332420</t>
        </is>
      </c>
      <c r="B71" s="83" t="n">
        <v>332420</v>
      </c>
      <c r="C71" s="83" t="n">
        <v>40210</v>
      </c>
      <c r="D71" s="83" t="n">
        <v>3259565</v>
      </c>
      <c r="E71" s="83" t="n">
        <v>3114523</v>
      </c>
      <c r="F71" s="83" t="n">
        <v>1198219</v>
      </c>
      <c r="G71" s="83" t="n">
        <v>114026</v>
      </c>
      <c r="H71" s="83" t="n">
        <v>4426768</v>
      </c>
    </row>
    <row r="72" ht="12.8" customHeight="1" s="82">
      <c r="A72" s="83" t="inlineStr">
        <is>
          <t>00000_332430</t>
        </is>
      </c>
      <c r="B72" s="83" t="n">
        <v>332430</v>
      </c>
      <c r="C72" s="83" t="n">
        <v>43268</v>
      </c>
      <c r="D72" s="83" t="n">
        <v>3507420</v>
      </c>
      <c r="E72" s="83" t="n">
        <v>3351348</v>
      </c>
      <c r="F72" s="83" t="n">
        <v>1289331</v>
      </c>
      <c r="G72" s="83" t="n">
        <v>122697</v>
      </c>
      <c r="H72" s="83" t="n">
        <v>4763376</v>
      </c>
    </row>
    <row r="73" ht="12.8" customHeight="1" s="82">
      <c r="A73" s="83" t="inlineStr">
        <is>
          <t>00000_332500</t>
        </is>
      </c>
      <c r="B73" s="83" t="n">
        <v>332500</v>
      </c>
      <c r="C73" s="83" t="n">
        <v>27076</v>
      </c>
      <c r="D73" s="83" t="n">
        <v>2194860</v>
      </c>
      <c r="E73" s="83" t="n">
        <v>2097194</v>
      </c>
      <c r="F73" s="83" t="n">
        <v>806833</v>
      </c>
      <c r="G73" s="83" t="n">
        <v>76781</v>
      </c>
      <c r="H73" s="83" t="n">
        <v>2980808</v>
      </c>
    </row>
    <row r="74" ht="12.8" customHeight="1" s="82">
      <c r="A74" s="83" t="inlineStr">
        <is>
          <t>00000_332600</t>
        </is>
      </c>
      <c r="B74" s="83" t="n">
        <v>332600</v>
      </c>
      <c r="C74" s="83" t="n">
        <v>40007</v>
      </c>
      <c r="D74" s="83" t="n">
        <v>3243099</v>
      </c>
      <c r="E74" s="83" t="n">
        <v>3098789</v>
      </c>
      <c r="F74" s="83" t="n">
        <v>1192166</v>
      </c>
      <c r="G74" s="83" t="n">
        <v>113450</v>
      </c>
      <c r="H74" s="83" t="n">
        <v>4404406</v>
      </c>
    </row>
    <row r="75" ht="12.8" customHeight="1" s="82">
      <c r="A75" s="83" t="inlineStr">
        <is>
          <t>00000_332710</t>
        </is>
      </c>
      <c r="B75" s="83" t="n">
        <v>332710</v>
      </c>
      <c r="C75" s="83" t="n">
        <v>260936</v>
      </c>
      <c r="D75" s="83" t="n">
        <v>21152210</v>
      </c>
      <c r="E75" s="83" t="n">
        <v>20210989</v>
      </c>
      <c r="F75" s="83" t="n">
        <v>7775571</v>
      </c>
      <c r="G75" s="83" t="n">
        <v>739948</v>
      </c>
      <c r="H75" s="83" t="n">
        <v>28726508</v>
      </c>
    </row>
    <row r="76" ht="12.8" customHeight="1" s="82">
      <c r="A76" s="83" t="inlineStr">
        <is>
          <t>00000_332720</t>
        </is>
      </c>
      <c r="B76" s="83" t="n">
        <v>332720</v>
      </c>
      <c r="C76" s="83" t="n">
        <v>78666</v>
      </c>
      <c r="D76" s="83" t="n">
        <v>6376860</v>
      </c>
      <c r="E76" s="83" t="n">
        <v>6093105</v>
      </c>
      <c r="F76" s="83" t="n">
        <v>2344139</v>
      </c>
      <c r="G76" s="83" t="n">
        <v>223076</v>
      </c>
      <c r="H76" s="83" t="n">
        <v>8660320</v>
      </c>
    </row>
    <row r="77" ht="12.8" customHeight="1" s="82">
      <c r="A77" s="83" t="inlineStr">
        <is>
          <t>00000_332800</t>
        </is>
      </c>
      <c r="B77" s="83" t="n">
        <v>332800</v>
      </c>
      <c r="C77" s="83" t="n">
        <v>119629</v>
      </c>
      <c r="D77" s="83" t="n">
        <v>9697454</v>
      </c>
      <c r="E77" s="83" t="n">
        <v>9265942</v>
      </c>
      <c r="F77" s="83" t="n">
        <v>3564793</v>
      </c>
      <c r="G77" s="83" t="n">
        <v>339237</v>
      </c>
      <c r="H77" s="83" t="n">
        <v>13169972</v>
      </c>
    </row>
    <row r="78" ht="12.8" customHeight="1" s="82">
      <c r="A78" s="83" t="inlineStr">
        <is>
          <t>00000_332913</t>
        </is>
      </c>
      <c r="B78" s="83" t="n">
        <v>332913</v>
      </c>
      <c r="C78" s="83" t="n">
        <v>12029</v>
      </c>
      <c r="D78" s="83" t="n">
        <v>975101</v>
      </c>
      <c r="E78" s="83" t="n">
        <v>931711</v>
      </c>
      <c r="F78" s="83" t="n">
        <v>358448</v>
      </c>
      <c r="G78" s="83" t="n">
        <v>34111</v>
      </c>
      <c r="H78" s="83" t="n">
        <v>1324270</v>
      </c>
    </row>
    <row r="79" ht="12.8" customHeight="1" s="82">
      <c r="A79" s="83" t="inlineStr">
        <is>
          <t>00000_33291A</t>
        </is>
      </c>
      <c r="B79" s="83" t="inlineStr">
        <is>
          <t>33291A</t>
        </is>
      </c>
      <c r="C79" s="83" t="n">
        <v>94625</v>
      </c>
      <c r="D79" s="83" t="n">
        <v>7670545</v>
      </c>
      <c r="E79" s="83" t="n">
        <v>7329225</v>
      </c>
      <c r="F79" s="83" t="n">
        <v>2819699</v>
      </c>
      <c r="G79" s="83" t="n">
        <v>268331</v>
      </c>
      <c r="H79" s="83" t="n">
        <v>10417256</v>
      </c>
    </row>
    <row r="80" ht="12.8" customHeight="1" s="82">
      <c r="A80" s="83" t="inlineStr">
        <is>
          <t>00000_332991</t>
        </is>
      </c>
      <c r="B80" s="83" t="n">
        <v>332991</v>
      </c>
      <c r="C80" s="83" t="n">
        <v>21353</v>
      </c>
      <c r="D80" s="83" t="n">
        <v>1730947</v>
      </c>
      <c r="E80" s="83" t="n">
        <v>1653924</v>
      </c>
      <c r="F80" s="83" t="n">
        <v>636298</v>
      </c>
      <c r="G80" s="83" t="n">
        <v>60552</v>
      </c>
      <c r="H80" s="83" t="n">
        <v>2350774</v>
      </c>
    </row>
    <row r="81" ht="12.8" customHeight="1" s="82">
      <c r="A81" s="83" t="inlineStr">
        <is>
          <t>00000_332996</t>
        </is>
      </c>
      <c r="B81" s="83" t="n">
        <v>332996</v>
      </c>
      <c r="C81" s="83" t="n">
        <v>33296</v>
      </c>
      <c r="D81" s="83" t="n">
        <v>2699073</v>
      </c>
      <c r="E81" s="83" t="n">
        <v>2578971</v>
      </c>
      <c r="F81" s="83" t="n">
        <v>992182</v>
      </c>
      <c r="G81" s="83" t="n">
        <v>94419</v>
      </c>
      <c r="H81" s="83" t="n">
        <v>3665572</v>
      </c>
    </row>
    <row r="82" ht="12.8" customHeight="1" s="82">
      <c r="A82" s="83" t="inlineStr">
        <is>
          <t>00000_33299A</t>
        </is>
      </c>
      <c r="B82" s="83" t="inlineStr">
        <is>
          <t>33299A</t>
        </is>
      </c>
      <c r="C82" s="83" t="n">
        <v>71838</v>
      </c>
      <c r="D82" s="83" t="n">
        <v>5823356</v>
      </c>
      <c r="E82" s="83" t="n">
        <v>5564231</v>
      </c>
      <c r="F82" s="83" t="n">
        <v>2140671</v>
      </c>
      <c r="G82" s="83" t="n">
        <v>203713</v>
      </c>
      <c r="H82" s="83" t="n">
        <v>7908615</v>
      </c>
    </row>
    <row r="83" ht="12.8" customHeight="1" s="82">
      <c r="A83" s="83" t="inlineStr">
        <is>
          <t>00000_332999</t>
        </is>
      </c>
      <c r="B83" s="83" t="n">
        <v>332999</v>
      </c>
      <c r="C83" s="83" t="n">
        <v>84436</v>
      </c>
      <c r="D83" s="83" t="n">
        <v>6844595</v>
      </c>
      <c r="E83" s="83" t="n">
        <v>6540028</v>
      </c>
      <c r="F83" s="83" t="n">
        <v>2516079</v>
      </c>
      <c r="G83" s="83" t="n">
        <v>239438</v>
      </c>
      <c r="H83" s="83" t="n">
        <v>9295545</v>
      </c>
    </row>
    <row r="84" ht="12.8" customHeight="1" s="82">
      <c r="A84" s="83" t="inlineStr">
        <is>
          <t>00000_333111</t>
        </is>
      </c>
      <c r="B84" s="83" t="n">
        <v>333111</v>
      </c>
      <c r="C84" s="83" t="n">
        <v>63383</v>
      </c>
      <c r="D84" s="83" t="n">
        <v>6164935</v>
      </c>
      <c r="E84" s="83" t="n">
        <v>6038149</v>
      </c>
      <c r="F84" s="83" t="n">
        <v>3704995</v>
      </c>
      <c r="G84" s="83" t="n">
        <v>250070</v>
      </c>
      <c r="H84" s="83" t="n">
        <v>9993214</v>
      </c>
    </row>
    <row r="85" ht="12.8" customHeight="1" s="82">
      <c r="A85" s="83" t="inlineStr">
        <is>
          <t>00000_333112</t>
        </is>
      </c>
      <c r="B85" s="83" t="n">
        <v>333112</v>
      </c>
      <c r="C85" s="83" t="n">
        <v>13855</v>
      </c>
      <c r="D85" s="83" t="n">
        <v>1347593</v>
      </c>
      <c r="E85" s="83" t="n">
        <v>1319879</v>
      </c>
      <c r="F85" s="83" t="n">
        <v>809875</v>
      </c>
      <c r="G85" s="83" t="n">
        <v>54663</v>
      </c>
      <c r="H85" s="83" t="n">
        <v>2184416</v>
      </c>
    </row>
    <row r="86" ht="12.8" customHeight="1" s="82">
      <c r="A86" s="83" t="inlineStr">
        <is>
          <t>00000_333120</t>
        </is>
      </c>
      <c r="B86" s="83" t="n">
        <v>333120</v>
      </c>
      <c r="C86" s="83" t="n">
        <v>77181</v>
      </c>
      <c r="D86" s="83" t="n">
        <v>7506939</v>
      </c>
      <c r="E86" s="83" t="n">
        <v>7352554</v>
      </c>
      <c r="F86" s="83" t="n">
        <v>4511510</v>
      </c>
      <c r="G86" s="83" t="n">
        <v>304506</v>
      </c>
      <c r="H86" s="83" t="n">
        <v>12168569</v>
      </c>
    </row>
    <row r="87" ht="12.8" customHeight="1" s="82">
      <c r="A87" s="83" t="inlineStr">
        <is>
          <t>00000_333130</t>
        </is>
      </c>
      <c r="B87" s="83" t="n">
        <v>333130</v>
      </c>
      <c r="C87" s="83" t="n">
        <v>71200</v>
      </c>
      <c r="D87" s="83" t="n">
        <v>6925186</v>
      </c>
      <c r="E87" s="83" t="n">
        <v>6782765</v>
      </c>
      <c r="F87" s="83" t="n">
        <v>4161890</v>
      </c>
      <c r="G87" s="83" t="n">
        <v>280908</v>
      </c>
      <c r="H87" s="83" t="n">
        <v>11225563</v>
      </c>
    </row>
    <row r="88" ht="12.8" customHeight="1" s="82">
      <c r="A88" s="83" t="inlineStr">
        <is>
          <t>00000_333242</t>
        </is>
      </c>
      <c r="B88" s="83" t="n">
        <v>333242</v>
      </c>
      <c r="C88" s="83" t="n">
        <v>68869</v>
      </c>
      <c r="D88" s="83" t="n">
        <v>6698520</v>
      </c>
      <c r="E88" s="83" t="n">
        <v>6560760</v>
      </c>
      <c r="F88" s="83" t="n">
        <v>4025668</v>
      </c>
      <c r="G88" s="83" t="n">
        <v>271713</v>
      </c>
      <c r="H88" s="83" t="n">
        <v>10858141</v>
      </c>
    </row>
    <row r="89" ht="12.8" customHeight="1" s="82">
      <c r="A89" s="83" t="inlineStr">
        <is>
          <t>00000_33329A</t>
        </is>
      </c>
      <c r="B89" s="83" t="inlineStr">
        <is>
          <t>33329A</t>
        </is>
      </c>
      <c r="C89" s="83" t="n">
        <v>102159</v>
      </c>
      <c r="D89" s="83" t="n">
        <v>9936387</v>
      </c>
      <c r="E89" s="83" t="n">
        <v>9732039</v>
      </c>
      <c r="F89" s="83" t="n">
        <v>5971557</v>
      </c>
      <c r="G89" s="83" t="n">
        <v>403052</v>
      </c>
      <c r="H89" s="83" t="n">
        <v>16106648</v>
      </c>
    </row>
    <row r="90" ht="12.8" customHeight="1" s="82">
      <c r="A90" s="83" t="inlineStr">
        <is>
          <t>00000_333314</t>
        </is>
      </c>
      <c r="B90" s="83" t="n">
        <v>333314</v>
      </c>
      <c r="C90" s="83" t="n">
        <v>0</v>
      </c>
      <c r="D90" s="83" t="n">
        <v>0</v>
      </c>
      <c r="E90" s="83" t="n">
        <v>0</v>
      </c>
      <c r="F90" s="83" t="n">
        <v>0</v>
      </c>
      <c r="G90" s="83" t="n">
        <v>0</v>
      </c>
      <c r="H90" s="83" t="n">
        <v>0</v>
      </c>
    </row>
    <row r="91" ht="12.8" customHeight="1" s="82">
      <c r="A91" s="83" t="inlineStr">
        <is>
          <t>00000_333316</t>
        </is>
      </c>
      <c r="B91" s="83" t="n">
        <v>333316</v>
      </c>
      <c r="C91" s="83" t="n">
        <v>0</v>
      </c>
      <c r="D91" s="83" t="n">
        <v>0</v>
      </c>
      <c r="E91" s="83" t="n">
        <v>0</v>
      </c>
      <c r="F91" s="83" t="n">
        <v>0</v>
      </c>
      <c r="G91" s="83" t="n">
        <v>0</v>
      </c>
      <c r="H91" s="83" t="n">
        <v>0</v>
      </c>
    </row>
    <row r="92" ht="12.8" customHeight="1" s="82">
      <c r="A92" s="83" t="inlineStr">
        <is>
          <t>00000_333318</t>
        </is>
      </c>
      <c r="B92" s="83" t="n">
        <v>333318</v>
      </c>
      <c r="C92" s="83" t="n">
        <v>100447</v>
      </c>
      <c r="D92" s="83" t="n">
        <v>9769909</v>
      </c>
      <c r="E92" s="83" t="n">
        <v>9568985</v>
      </c>
      <c r="F92" s="83" t="n">
        <v>5871508</v>
      </c>
      <c r="G92" s="83" t="n">
        <v>396299</v>
      </c>
      <c r="H92" s="83" t="n">
        <v>15836791</v>
      </c>
    </row>
    <row r="93" ht="12.8" customHeight="1" s="82">
      <c r="A93" s="83" t="inlineStr">
        <is>
          <t>00000_333414</t>
        </is>
      </c>
      <c r="B93" s="83" t="n">
        <v>333414</v>
      </c>
      <c r="C93" s="83" t="n">
        <v>13156</v>
      </c>
      <c r="D93" s="83" t="n">
        <v>1279643</v>
      </c>
      <c r="E93" s="83" t="n">
        <v>1253326</v>
      </c>
      <c r="F93" s="83" t="n">
        <v>769038</v>
      </c>
      <c r="G93" s="83" t="n">
        <v>51906</v>
      </c>
      <c r="H93" s="83" t="n">
        <v>2074271</v>
      </c>
    </row>
    <row r="94" ht="12.8" customHeight="1" s="82">
      <c r="A94" s="83" t="inlineStr">
        <is>
          <t>00000_333415</t>
        </is>
      </c>
      <c r="B94" s="83" t="n">
        <v>333415</v>
      </c>
      <c r="C94" s="83" t="n">
        <v>81359</v>
      </c>
      <c r="D94" s="83" t="n">
        <v>7913310</v>
      </c>
      <c r="E94" s="83" t="n">
        <v>7750568</v>
      </c>
      <c r="F94" s="83" t="n">
        <v>4755731</v>
      </c>
      <c r="G94" s="83" t="n">
        <v>320989</v>
      </c>
      <c r="H94" s="83" t="n">
        <v>12827288</v>
      </c>
    </row>
    <row r="95" ht="12.8" customHeight="1" s="82">
      <c r="A95" s="83" t="inlineStr">
        <is>
          <t>00000_333413</t>
        </is>
      </c>
      <c r="B95" s="83" t="n">
        <v>333413</v>
      </c>
      <c r="C95" s="83" t="n">
        <v>27258</v>
      </c>
      <c r="D95" s="83" t="n">
        <v>2651188</v>
      </c>
      <c r="E95" s="83" t="n">
        <v>2596665</v>
      </c>
      <c r="F95" s="83" t="n">
        <v>1593308</v>
      </c>
      <c r="G95" s="83" t="n">
        <v>107541</v>
      </c>
      <c r="H95" s="83" t="n">
        <v>4297513</v>
      </c>
    </row>
    <row r="96" ht="12.8" customHeight="1" s="82">
      <c r="A96" s="83" t="inlineStr">
        <is>
          <t>00000_333511</t>
        </is>
      </c>
      <c r="B96" s="83" t="n">
        <v>333511</v>
      </c>
      <c r="C96" s="83" t="n">
        <v>29289</v>
      </c>
      <c r="D96" s="83" t="n">
        <v>2848748</v>
      </c>
      <c r="E96" s="83" t="n">
        <v>2790162</v>
      </c>
      <c r="F96" s="83" t="n">
        <v>1712037</v>
      </c>
      <c r="G96" s="83" t="n">
        <v>115554</v>
      </c>
      <c r="H96" s="83" t="n">
        <v>4617753</v>
      </c>
    </row>
    <row r="97" ht="12.8" customHeight="1" s="82">
      <c r="A97" s="83" t="inlineStr">
        <is>
          <t>00000_333514</t>
        </is>
      </c>
      <c r="B97" s="83" t="n">
        <v>333514</v>
      </c>
      <c r="C97" s="83" t="n">
        <v>48996</v>
      </c>
      <c r="D97" s="83" t="n">
        <v>4765573</v>
      </c>
      <c r="E97" s="83" t="n">
        <v>4667566</v>
      </c>
      <c r="F97" s="83" t="n">
        <v>2864008</v>
      </c>
      <c r="G97" s="83" t="n">
        <v>193307</v>
      </c>
      <c r="H97" s="83" t="n">
        <v>7724881</v>
      </c>
    </row>
    <row r="98" ht="12.8" customHeight="1" s="82">
      <c r="A98" s="83" t="inlineStr">
        <is>
          <t>00000_333517</t>
        </is>
      </c>
      <c r="B98" s="83" t="n">
        <v>333517</v>
      </c>
      <c r="C98" s="83" t="n">
        <v>39833</v>
      </c>
      <c r="D98" s="83" t="n">
        <v>3874290</v>
      </c>
      <c r="E98" s="83" t="n">
        <v>3794612</v>
      </c>
      <c r="F98" s="83" t="n">
        <v>2328366</v>
      </c>
      <c r="G98" s="83" t="n">
        <v>157154</v>
      </c>
      <c r="H98" s="83" t="n">
        <v>6280132</v>
      </c>
    </row>
    <row r="99" ht="12.8" customHeight="1" s="82">
      <c r="A99" s="83" t="inlineStr">
        <is>
          <t>00000_33351B</t>
        </is>
      </c>
      <c r="B99" s="83" t="inlineStr">
        <is>
          <t>33351B</t>
        </is>
      </c>
      <c r="C99" s="83" t="n">
        <v>30592</v>
      </c>
      <c r="D99" s="83" t="n">
        <v>2975465</v>
      </c>
      <c r="E99" s="83" t="n">
        <v>2914273</v>
      </c>
      <c r="F99" s="83" t="n">
        <v>1788191</v>
      </c>
      <c r="G99" s="83" t="n">
        <v>120694</v>
      </c>
      <c r="H99" s="83" t="n">
        <v>4823158</v>
      </c>
    </row>
    <row r="100" ht="12.8" customHeight="1" s="82">
      <c r="A100" s="83" t="inlineStr">
        <is>
          <t>00000_333611</t>
        </is>
      </c>
      <c r="B100" s="83" t="n">
        <v>333611</v>
      </c>
      <c r="C100" s="83" t="n">
        <v>23959</v>
      </c>
      <c r="D100" s="83" t="n">
        <v>2330323</v>
      </c>
      <c r="E100" s="83" t="n">
        <v>2282398</v>
      </c>
      <c r="F100" s="83" t="n">
        <v>1400474</v>
      </c>
      <c r="G100" s="83" t="n">
        <v>94525</v>
      </c>
      <c r="H100" s="83" t="n">
        <v>3777398</v>
      </c>
    </row>
    <row r="101" ht="12.8" customHeight="1" s="82">
      <c r="A101" s="83" t="inlineStr">
        <is>
          <t>00000_333612</t>
        </is>
      </c>
      <c r="B101" s="83" t="n">
        <v>333612</v>
      </c>
      <c r="C101" s="83" t="n">
        <v>10124</v>
      </c>
      <c r="D101" s="83" t="n">
        <v>984739</v>
      </c>
      <c r="E101" s="83" t="n">
        <v>964487</v>
      </c>
      <c r="F101" s="83" t="n">
        <v>591807</v>
      </c>
      <c r="G101" s="83" t="n">
        <v>39944</v>
      </c>
      <c r="H101" s="83" t="n">
        <v>1596238</v>
      </c>
    </row>
    <row r="102" ht="12.8" customHeight="1" s="82">
      <c r="A102" s="83" t="inlineStr">
        <is>
          <t>00000_333613</t>
        </is>
      </c>
      <c r="B102" s="83" t="n">
        <v>333613</v>
      </c>
      <c r="C102" s="83" t="n">
        <v>12445</v>
      </c>
      <c r="D102" s="83" t="n">
        <v>1210455</v>
      </c>
      <c r="E102" s="83" t="n">
        <v>1185561</v>
      </c>
      <c r="F102" s="83" t="n">
        <v>727458</v>
      </c>
      <c r="G102" s="83" t="n">
        <v>49100</v>
      </c>
      <c r="H102" s="83" t="n">
        <v>1962119</v>
      </c>
    </row>
    <row r="103" ht="12.8" customHeight="1" s="82">
      <c r="A103" s="83" t="inlineStr">
        <is>
          <t>00000_333618</t>
        </is>
      </c>
      <c r="B103" s="83" t="n">
        <v>333618</v>
      </c>
      <c r="C103" s="83" t="n">
        <v>57921</v>
      </c>
      <c r="D103" s="83" t="n">
        <v>5633639</v>
      </c>
      <c r="E103" s="83" t="n">
        <v>5517780</v>
      </c>
      <c r="F103" s="83" t="n">
        <v>3385697</v>
      </c>
      <c r="G103" s="83" t="n">
        <v>228518</v>
      </c>
      <c r="H103" s="83" t="n">
        <v>9131996</v>
      </c>
    </row>
    <row r="104" ht="12.8" customHeight="1" s="82">
      <c r="A104" s="83" t="inlineStr">
        <is>
          <t>00000_333912</t>
        </is>
      </c>
      <c r="B104" s="83" t="n">
        <v>333912</v>
      </c>
      <c r="C104" s="83" t="n">
        <v>22411</v>
      </c>
      <c r="D104" s="83" t="n">
        <v>2179824</v>
      </c>
      <c r="E104" s="83" t="n">
        <v>2134994</v>
      </c>
      <c r="F104" s="83" t="n">
        <v>1310028</v>
      </c>
      <c r="G104" s="83" t="n">
        <v>88421</v>
      </c>
      <c r="H104" s="83" t="n">
        <v>3533442</v>
      </c>
    </row>
    <row r="105" ht="12.8" customHeight="1" s="82">
      <c r="A105" s="83" t="inlineStr">
        <is>
          <t>00000_333914</t>
        </is>
      </c>
      <c r="B105" s="83" t="n">
        <v>333914</v>
      </c>
      <c r="C105" s="83" t="n">
        <v>28228</v>
      </c>
      <c r="D105" s="83" t="n">
        <v>2745523</v>
      </c>
      <c r="E105" s="83" t="n">
        <v>2689060</v>
      </c>
      <c r="F105" s="83" t="n">
        <v>1650001</v>
      </c>
      <c r="G105" s="83" t="n">
        <v>111367</v>
      </c>
      <c r="H105" s="83" t="n">
        <v>4450428</v>
      </c>
    </row>
    <row r="106" ht="12.8" customHeight="1" s="82">
      <c r="A106" s="83" t="inlineStr">
        <is>
          <t>00000_333920</t>
        </is>
      </c>
      <c r="B106" s="83" t="n">
        <v>333920</v>
      </c>
      <c r="C106" s="83" t="n">
        <v>88105</v>
      </c>
      <c r="D106" s="83" t="n">
        <v>8569427</v>
      </c>
      <c r="E106" s="83" t="n">
        <v>8393191</v>
      </c>
      <c r="F106" s="83" t="n">
        <v>5150043</v>
      </c>
      <c r="G106" s="83" t="n">
        <v>347603</v>
      </c>
      <c r="H106" s="83" t="n">
        <v>13890838</v>
      </c>
    </row>
    <row r="107" ht="12.8" customHeight="1" s="82">
      <c r="A107" s="83" t="inlineStr">
        <is>
          <t>00000_333991</t>
        </is>
      </c>
      <c r="B107" s="83" t="n">
        <v>333991</v>
      </c>
      <c r="C107" s="83" t="n">
        <v>12984</v>
      </c>
      <c r="D107" s="83" t="n">
        <v>1262836</v>
      </c>
      <c r="E107" s="83" t="n">
        <v>1236865</v>
      </c>
      <c r="F107" s="83" t="n">
        <v>758938</v>
      </c>
      <c r="G107" s="83" t="n">
        <v>51225</v>
      </c>
      <c r="H107" s="83" t="n">
        <v>2047028</v>
      </c>
    </row>
    <row r="108" ht="12.8" customHeight="1" s="82">
      <c r="A108" s="83" t="inlineStr">
        <is>
          <t>00000_333993</t>
        </is>
      </c>
      <c r="B108" s="83" t="n">
        <v>333993</v>
      </c>
      <c r="C108" s="83" t="n">
        <v>24577</v>
      </c>
      <c r="D108" s="83" t="n">
        <v>2390457</v>
      </c>
      <c r="E108" s="83" t="n">
        <v>2341296</v>
      </c>
      <c r="F108" s="83" t="n">
        <v>1436614</v>
      </c>
      <c r="G108" s="83" t="n">
        <v>96965</v>
      </c>
      <c r="H108" s="83" t="n">
        <v>3874874</v>
      </c>
    </row>
    <row r="109" ht="12.8" customHeight="1" s="82">
      <c r="A109" s="83" t="inlineStr">
        <is>
          <t>00000_333994</t>
        </is>
      </c>
      <c r="B109" s="83" t="n">
        <v>333994</v>
      </c>
      <c r="C109" s="83" t="n">
        <v>9740</v>
      </c>
      <c r="D109" s="83" t="n">
        <v>947323</v>
      </c>
      <c r="E109" s="83" t="n">
        <v>927841</v>
      </c>
      <c r="F109" s="83" t="n">
        <v>569321</v>
      </c>
      <c r="G109" s="83" t="n">
        <v>38426</v>
      </c>
      <c r="H109" s="83" t="n">
        <v>1535589</v>
      </c>
    </row>
    <row r="110" ht="12.8" customHeight="1" s="82">
      <c r="A110" s="83" t="inlineStr">
        <is>
          <t>00000_33399A</t>
        </is>
      </c>
      <c r="B110" s="83" t="inlineStr">
        <is>
          <t>33399A</t>
        </is>
      </c>
      <c r="C110" s="83" t="n">
        <v>61134</v>
      </c>
      <c r="D110" s="83" t="n">
        <v>5946159</v>
      </c>
      <c r="E110" s="83" t="n">
        <v>5823872</v>
      </c>
      <c r="F110" s="83" t="n">
        <v>3573515</v>
      </c>
      <c r="G110" s="83" t="n">
        <v>241195</v>
      </c>
      <c r="H110" s="83" t="n">
        <v>9638583</v>
      </c>
    </row>
    <row r="111" ht="12.8" customHeight="1" s="82">
      <c r="A111" s="83" t="inlineStr">
        <is>
          <t>00000_33399B</t>
        </is>
      </c>
      <c r="B111" s="83" t="inlineStr">
        <is>
          <t>33399B</t>
        </is>
      </c>
      <c r="C111" s="83" t="n">
        <v>35817</v>
      </c>
      <c r="D111" s="83" t="n">
        <v>3483712</v>
      </c>
      <c r="E111" s="83" t="n">
        <v>3412067</v>
      </c>
      <c r="F111" s="83" t="n">
        <v>2093637</v>
      </c>
      <c r="G111" s="83" t="n">
        <v>141311</v>
      </c>
      <c r="H111" s="83" t="n">
        <v>5647014</v>
      </c>
    </row>
    <row r="112" ht="12.8" customHeight="1" s="82">
      <c r="A112" s="83" t="inlineStr">
        <is>
          <t>00000_334111</t>
        </is>
      </c>
      <c r="B112" s="83" t="n">
        <v>334111</v>
      </c>
      <c r="C112" s="83" t="n">
        <v>237461</v>
      </c>
      <c r="D112" s="83" t="n">
        <v>40167867</v>
      </c>
      <c r="E112" s="83" t="n">
        <v>40262142</v>
      </c>
      <c r="F112" s="83" t="n">
        <v>22412131</v>
      </c>
      <c r="G112" s="83" t="n">
        <v>2250911</v>
      </c>
      <c r="H112" s="83" t="n">
        <v>64925184</v>
      </c>
    </row>
    <row r="113" ht="12.8" customHeight="1" s="82">
      <c r="A113" s="83" t="inlineStr">
        <is>
          <t>00000_334112</t>
        </is>
      </c>
      <c r="B113" s="83" t="n">
        <v>334112</v>
      </c>
      <c r="C113" s="83" t="n">
        <v>18378</v>
      </c>
      <c r="D113" s="83" t="n">
        <v>3108705</v>
      </c>
      <c r="E113" s="83" t="n">
        <v>3116001</v>
      </c>
      <c r="F113" s="83" t="n">
        <v>1734538</v>
      </c>
      <c r="G113" s="83" t="n">
        <v>174204</v>
      </c>
      <c r="H113" s="83" t="n">
        <v>5024744</v>
      </c>
    </row>
    <row r="114" ht="12.8" customHeight="1" s="82">
      <c r="A114" s="83" t="inlineStr">
        <is>
          <t>00000_334118</t>
        </is>
      </c>
      <c r="B114" s="83" t="n">
        <v>334118</v>
      </c>
      <c r="C114" s="83" t="n">
        <v>33229</v>
      </c>
      <c r="D114" s="83" t="n">
        <v>5620857</v>
      </c>
      <c r="E114" s="83" t="n">
        <v>5634049</v>
      </c>
      <c r="F114" s="83" t="n">
        <v>3136223</v>
      </c>
      <c r="G114" s="83" t="n">
        <v>314979</v>
      </c>
      <c r="H114" s="83" t="n">
        <v>9085251</v>
      </c>
    </row>
    <row r="115" ht="12.8" customHeight="1" s="82">
      <c r="A115" s="83" t="inlineStr">
        <is>
          <t>00000_334210</t>
        </is>
      </c>
      <c r="B115" s="83" t="n">
        <v>334210</v>
      </c>
      <c r="C115" s="83" t="n">
        <v>15690</v>
      </c>
      <c r="D115" s="83" t="n">
        <v>2654050</v>
      </c>
      <c r="E115" s="83" t="n">
        <v>2660279</v>
      </c>
      <c r="F115" s="83" t="n">
        <v>1480858</v>
      </c>
      <c r="G115" s="83" t="n">
        <v>148727</v>
      </c>
      <c r="H115" s="83" t="n">
        <v>4289864</v>
      </c>
    </row>
    <row r="116" ht="12.8" customHeight="1" s="82">
      <c r="A116" s="83" t="inlineStr">
        <is>
          <t>00000_334220</t>
        </is>
      </c>
      <c r="B116" s="83" t="n">
        <v>334220</v>
      </c>
      <c r="C116" s="83" t="n">
        <v>42889</v>
      </c>
      <c r="D116" s="83" t="n">
        <v>7254928</v>
      </c>
      <c r="E116" s="83" t="n">
        <v>7271955</v>
      </c>
      <c r="F116" s="83" t="n">
        <v>4047972</v>
      </c>
      <c r="G116" s="83" t="n">
        <v>406549</v>
      </c>
      <c r="H116" s="83" t="n">
        <v>11726476</v>
      </c>
    </row>
    <row r="117" ht="12.8" customHeight="1" s="82">
      <c r="A117" s="83" t="inlineStr">
        <is>
          <t>00000_334290</t>
        </is>
      </c>
      <c r="B117" s="83" t="n">
        <v>334290</v>
      </c>
      <c r="C117" s="83" t="n">
        <v>12501</v>
      </c>
      <c r="D117" s="83" t="n">
        <v>2114690</v>
      </c>
      <c r="E117" s="83" t="n">
        <v>2119653</v>
      </c>
      <c r="F117" s="83" t="n">
        <v>1179916</v>
      </c>
      <c r="G117" s="83" t="n">
        <v>118502</v>
      </c>
      <c r="H117" s="83" t="n">
        <v>3418072</v>
      </c>
    </row>
    <row r="118" ht="12.8" customHeight="1" s="82">
      <c r="A118" s="83" t="inlineStr">
        <is>
          <t>00000_334413</t>
        </is>
      </c>
      <c r="B118" s="83" t="n">
        <v>334413</v>
      </c>
      <c r="C118" s="83" t="n">
        <v>268638</v>
      </c>
      <c r="D118" s="83" t="n">
        <v>45441524</v>
      </c>
      <c r="E118" s="83" t="n">
        <v>45548176</v>
      </c>
      <c r="F118" s="83" t="n">
        <v>25354629</v>
      </c>
      <c r="G118" s="83" t="n">
        <v>2546434</v>
      </c>
      <c r="H118" s="83" t="n">
        <v>73449239</v>
      </c>
    </row>
    <row r="119" ht="12.8" customHeight="1" s="82">
      <c r="A119" s="83" t="inlineStr">
        <is>
          <t>00000_334418</t>
        </is>
      </c>
      <c r="B119" s="83" t="n">
        <v>334418</v>
      </c>
      <c r="C119" s="83" t="n">
        <v>28230</v>
      </c>
      <c r="D119" s="83" t="n">
        <v>4775201</v>
      </c>
      <c r="E119" s="83" t="n">
        <v>4786409</v>
      </c>
      <c r="F119" s="83" t="n">
        <v>2664379</v>
      </c>
      <c r="G119" s="83" t="n">
        <v>267591</v>
      </c>
      <c r="H119" s="83" t="n">
        <v>7718379</v>
      </c>
    </row>
    <row r="120" ht="12.8" customHeight="1" s="82">
      <c r="A120" s="83" t="inlineStr">
        <is>
          <t>00000_33441A</t>
        </is>
      </c>
      <c r="B120" s="83" t="inlineStr">
        <is>
          <t>33441A</t>
        </is>
      </c>
      <c r="C120" s="83" t="n">
        <v>73851</v>
      </c>
      <c r="D120" s="83" t="n">
        <v>12492221</v>
      </c>
      <c r="E120" s="83" t="n">
        <v>12521541</v>
      </c>
      <c r="F120" s="83" t="n">
        <v>6970181</v>
      </c>
      <c r="G120" s="83" t="n">
        <v>700034</v>
      </c>
      <c r="H120" s="83" t="n">
        <v>20191755</v>
      </c>
    </row>
    <row r="121" ht="12.8" customHeight="1" s="82">
      <c r="A121" s="83" t="inlineStr">
        <is>
          <t>00000_334510</t>
        </is>
      </c>
      <c r="B121" s="83" t="n">
        <v>334510</v>
      </c>
      <c r="C121" s="83" t="n">
        <v>64879</v>
      </c>
      <c r="D121" s="83" t="n">
        <v>10974670</v>
      </c>
      <c r="E121" s="83" t="n">
        <v>11000428</v>
      </c>
      <c r="F121" s="83" t="n">
        <v>6123445</v>
      </c>
      <c r="G121" s="83" t="n">
        <v>614994</v>
      </c>
      <c r="H121" s="83" t="n">
        <v>17738868</v>
      </c>
    </row>
    <row r="122" ht="12.8" customHeight="1" s="82">
      <c r="A122" s="83" t="inlineStr">
        <is>
          <t>00000_334511</t>
        </is>
      </c>
      <c r="B122" s="83" t="n">
        <v>334511</v>
      </c>
      <c r="C122" s="83" t="n">
        <v>113783</v>
      </c>
      <c r="D122" s="83" t="n">
        <v>19246957</v>
      </c>
      <c r="E122" s="83" t="n">
        <v>19292130</v>
      </c>
      <c r="F122" s="83" t="n">
        <v>10739065</v>
      </c>
      <c r="G122" s="83" t="n">
        <v>1078553</v>
      </c>
      <c r="H122" s="83" t="n">
        <v>31109748</v>
      </c>
    </row>
    <row r="123" ht="12.8" customHeight="1" s="82">
      <c r="A123" s="83" t="inlineStr">
        <is>
          <t>00000_334512</t>
        </is>
      </c>
      <c r="B123" s="83" t="n">
        <v>334512</v>
      </c>
      <c r="C123" s="83" t="n">
        <v>7906</v>
      </c>
      <c r="D123" s="83" t="n">
        <v>1337418</v>
      </c>
      <c r="E123" s="83" t="n">
        <v>1340557</v>
      </c>
      <c r="F123" s="83" t="n">
        <v>746228</v>
      </c>
      <c r="G123" s="83" t="n">
        <v>74946</v>
      </c>
      <c r="H123" s="83" t="n">
        <v>2161730</v>
      </c>
    </row>
    <row r="124" ht="12.8" customHeight="1" s="82">
      <c r="A124" s="83" t="inlineStr">
        <is>
          <t>00000_334513</t>
        </is>
      </c>
      <c r="B124" s="83" t="n">
        <v>334513</v>
      </c>
      <c r="C124" s="83" t="n">
        <v>33572</v>
      </c>
      <c r="D124" s="83" t="n">
        <v>5678865</v>
      </c>
      <c r="E124" s="83" t="n">
        <v>5692194</v>
      </c>
      <c r="F124" s="83" t="n">
        <v>3168589</v>
      </c>
      <c r="G124" s="83" t="n">
        <v>318230</v>
      </c>
      <c r="H124" s="83" t="n">
        <v>9179013</v>
      </c>
    </row>
    <row r="125" ht="12.8" customHeight="1" s="82">
      <c r="A125" s="83" t="inlineStr">
        <is>
          <t>00000_334514</t>
        </is>
      </c>
      <c r="B125" s="83" t="n">
        <v>334514</v>
      </c>
      <c r="C125" s="83" t="n">
        <v>4850</v>
      </c>
      <c r="D125" s="83" t="n">
        <v>820397</v>
      </c>
      <c r="E125" s="83" t="n">
        <v>822322</v>
      </c>
      <c r="F125" s="83" t="n">
        <v>457750</v>
      </c>
      <c r="G125" s="83" t="n">
        <v>45973</v>
      </c>
      <c r="H125" s="83" t="n">
        <v>1326045</v>
      </c>
    </row>
    <row r="126" ht="12.8" customHeight="1" s="82">
      <c r="A126" s="83" t="inlineStr">
        <is>
          <t>00000_334515</t>
        </is>
      </c>
      <c r="B126" s="83" t="n">
        <v>334515</v>
      </c>
      <c r="C126" s="83" t="n">
        <v>34991</v>
      </c>
      <c r="D126" s="83" t="n">
        <v>5918885</v>
      </c>
      <c r="E126" s="83" t="n">
        <v>5932777</v>
      </c>
      <c r="F126" s="83" t="n">
        <v>3302511</v>
      </c>
      <c r="G126" s="83" t="n">
        <v>331680</v>
      </c>
      <c r="H126" s="83" t="n">
        <v>9566969</v>
      </c>
    </row>
    <row r="127" ht="12.8" customHeight="1" s="82">
      <c r="A127" s="83" t="inlineStr">
        <is>
          <t>00000_334516</t>
        </is>
      </c>
      <c r="B127" s="83" t="n">
        <v>334516</v>
      </c>
      <c r="C127" s="83" t="n">
        <v>38693</v>
      </c>
      <c r="D127" s="83" t="n">
        <v>6545146</v>
      </c>
      <c r="E127" s="83" t="n">
        <v>6560508</v>
      </c>
      <c r="F127" s="83" t="n">
        <v>3651941</v>
      </c>
      <c r="G127" s="83" t="n">
        <v>366774</v>
      </c>
      <c r="H127" s="83" t="n">
        <v>10579223</v>
      </c>
    </row>
    <row r="128" ht="12.8" customHeight="1" s="82">
      <c r="A128" s="83" t="inlineStr">
        <is>
          <t>00000_334517</t>
        </is>
      </c>
      <c r="B128" s="83" t="n">
        <v>334517</v>
      </c>
      <c r="C128" s="83" t="n">
        <v>11701</v>
      </c>
      <c r="D128" s="83" t="n">
        <v>1979235</v>
      </c>
      <c r="E128" s="83" t="n">
        <v>1983880</v>
      </c>
      <c r="F128" s="83" t="n">
        <v>1104337</v>
      </c>
      <c r="G128" s="83" t="n">
        <v>110912</v>
      </c>
      <c r="H128" s="83" t="n">
        <v>3199129</v>
      </c>
    </row>
    <row r="129" ht="12.8" customHeight="1" s="82">
      <c r="A129" s="83" t="inlineStr">
        <is>
          <t>00000_33451A</t>
        </is>
      </c>
      <c r="B129" s="83" t="inlineStr">
        <is>
          <t>33451A</t>
        </is>
      </c>
      <c r="C129" s="83" t="n">
        <v>32362</v>
      </c>
      <c r="D129" s="83" t="n">
        <v>5474288</v>
      </c>
      <c r="E129" s="83" t="n">
        <v>5487136</v>
      </c>
      <c r="F129" s="83" t="n">
        <v>3054443</v>
      </c>
      <c r="G129" s="83" t="n">
        <v>306766</v>
      </c>
      <c r="H129" s="83" t="n">
        <v>8848345</v>
      </c>
    </row>
    <row r="130" ht="12.8" customHeight="1" s="82">
      <c r="A130" s="83" t="inlineStr">
        <is>
          <t>00000_334300</t>
        </is>
      </c>
      <c r="B130" s="83" t="n">
        <v>334300</v>
      </c>
      <c r="C130" s="83" t="n">
        <v>18482</v>
      </c>
      <c r="D130" s="83" t="n">
        <v>3126336</v>
      </c>
      <c r="E130" s="83" t="n">
        <v>3133674</v>
      </c>
      <c r="F130" s="83" t="n">
        <v>1744376</v>
      </c>
      <c r="G130" s="83" t="n">
        <v>175192</v>
      </c>
      <c r="H130" s="83" t="n">
        <v>5053242</v>
      </c>
    </row>
    <row r="131" ht="12.8" customHeight="1" s="82">
      <c r="A131" s="83" t="inlineStr">
        <is>
          <t>00000_334610</t>
        </is>
      </c>
      <c r="B131" s="83" t="n">
        <v>334610</v>
      </c>
      <c r="C131" s="83" t="n">
        <v>11829</v>
      </c>
      <c r="D131" s="83" t="n">
        <v>2000868</v>
      </c>
      <c r="E131" s="83" t="n">
        <v>2005564</v>
      </c>
      <c r="F131" s="83" t="n">
        <v>1116408</v>
      </c>
      <c r="G131" s="83" t="n">
        <v>112124</v>
      </c>
      <c r="H131" s="83" t="n">
        <v>3234095</v>
      </c>
    </row>
    <row r="132" ht="12.8" customHeight="1" s="82">
      <c r="A132" s="83" t="inlineStr">
        <is>
          <t>00000_335110</t>
        </is>
      </c>
      <c r="B132" s="83" t="n">
        <v>335110</v>
      </c>
      <c r="C132" s="83" t="n">
        <v>12533</v>
      </c>
      <c r="D132" s="83" t="n">
        <v>1258030</v>
      </c>
      <c r="E132" s="83" t="n">
        <v>1249551</v>
      </c>
      <c r="F132" s="83" t="n">
        <v>579316</v>
      </c>
      <c r="G132" s="83" t="n">
        <v>35175</v>
      </c>
      <c r="H132" s="83" t="n">
        <v>1864043</v>
      </c>
    </row>
    <row r="133" ht="12.8" customHeight="1" s="82">
      <c r="A133" s="83" t="inlineStr">
        <is>
          <t>00000_335120</t>
        </is>
      </c>
      <c r="B133" s="83" t="n">
        <v>335120</v>
      </c>
      <c r="C133" s="83" t="n">
        <v>26994</v>
      </c>
      <c r="D133" s="83" t="n">
        <v>2709532</v>
      </c>
      <c r="E133" s="83" t="n">
        <v>2691272</v>
      </c>
      <c r="F133" s="83" t="n">
        <v>1247726</v>
      </c>
      <c r="G133" s="83" t="n">
        <v>75760</v>
      </c>
      <c r="H133" s="83" t="n">
        <v>4014758</v>
      </c>
    </row>
    <row r="134" ht="12.8" customHeight="1" s="82">
      <c r="A134" s="83" t="inlineStr">
        <is>
          <t>00000_335210</t>
        </is>
      </c>
      <c r="B134" s="83" t="n">
        <v>335210</v>
      </c>
      <c r="C134" s="83" t="n">
        <v>12106</v>
      </c>
      <c r="D134" s="83" t="n">
        <v>1215143</v>
      </c>
      <c r="E134" s="83" t="n">
        <v>1206954</v>
      </c>
      <c r="F134" s="83" t="n">
        <v>559567</v>
      </c>
      <c r="G134" s="83" t="n">
        <v>33976</v>
      </c>
      <c r="H134" s="83" t="n">
        <v>1800497</v>
      </c>
    </row>
    <row r="135" ht="12.8" customHeight="1" s="82">
      <c r="A135" s="83" t="inlineStr">
        <is>
          <t>00000_335220</t>
        </is>
      </c>
      <c r="B135" s="83" t="n">
        <v>335220</v>
      </c>
      <c r="C135" s="83" t="n">
        <v>50898</v>
      </c>
      <c r="D135" s="83" t="n">
        <v>5108946</v>
      </c>
      <c r="E135" s="83" t="n">
        <v>5074516</v>
      </c>
      <c r="F135" s="83" t="n">
        <v>2352644</v>
      </c>
      <c r="G135" s="83" t="n">
        <v>142849</v>
      </c>
      <c r="H135" s="83" t="n">
        <v>7570009</v>
      </c>
    </row>
    <row r="136" ht="12.8" customHeight="1" s="82">
      <c r="A136" s="83" t="inlineStr">
        <is>
          <t>00000_335311</t>
        </is>
      </c>
      <c r="B136" s="83" t="n">
        <v>335311</v>
      </c>
      <c r="C136" s="83" t="n">
        <v>27036</v>
      </c>
      <c r="D136" s="83" t="n">
        <v>2713777</v>
      </c>
      <c r="E136" s="83" t="n">
        <v>2695488</v>
      </c>
      <c r="F136" s="83" t="n">
        <v>1249681</v>
      </c>
      <c r="G136" s="83" t="n">
        <v>75879</v>
      </c>
      <c r="H136" s="83" t="n">
        <v>4021047</v>
      </c>
    </row>
    <row r="137" ht="12.8" customHeight="1" s="82">
      <c r="A137" s="83" t="inlineStr">
        <is>
          <t>00000_335312</t>
        </is>
      </c>
      <c r="B137" s="83" t="n">
        <v>335312</v>
      </c>
      <c r="C137" s="83" t="n">
        <v>38347</v>
      </c>
      <c r="D137" s="83" t="n">
        <v>3849187</v>
      </c>
      <c r="E137" s="83" t="n">
        <v>3823246</v>
      </c>
      <c r="F137" s="83" t="n">
        <v>1772531</v>
      </c>
      <c r="G137" s="83" t="n">
        <v>107625</v>
      </c>
      <c r="H137" s="83" t="n">
        <v>5703403</v>
      </c>
    </row>
    <row r="138" ht="12.8" customHeight="1" s="82">
      <c r="A138" s="83" t="inlineStr">
        <is>
          <t>00000_335313</t>
        </is>
      </c>
      <c r="B138" s="83" t="n">
        <v>335313</v>
      </c>
      <c r="C138" s="83" t="n">
        <v>38337</v>
      </c>
      <c r="D138" s="83" t="n">
        <v>3848092</v>
      </c>
      <c r="E138" s="83" t="n">
        <v>3822159</v>
      </c>
      <c r="F138" s="83" t="n">
        <v>1772027</v>
      </c>
      <c r="G138" s="83" t="n">
        <v>107595</v>
      </c>
      <c r="H138" s="83" t="n">
        <v>5701780</v>
      </c>
    </row>
    <row r="139" ht="12.8" customHeight="1" s="82">
      <c r="A139" s="83" t="inlineStr">
        <is>
          <t>00000_335314</t>
        </is>
      </c>
      <c r="B139" s="83" t="n">
        <v>335314</v>
      </c>
      <c r="C139" s="83" t="n">
        <v>51417</v>
      </c>
      <c r="D139" s="83" t="n">
        <v>5161109</v>
      </c>
      <c r="E139" s="83" t="n">
        <v>5126326</v>
      </c>
      <c r="F139" s="83" t="n">
        <v>2376665</v>
      </c>
      <c r="G139" s="83" t="n">
        <v>144307</v>
      </c>
      <c r="H139" s="83" t="n">
        <v>7647298</v>
      </c>
    </row>
    <row r="140" ht="12.8" customHeight="1" s="82">
      <c r="A140" s="83" t="inlineStr">
        <is>
          <t>00000_335911</t>
        </is>
      </c>
      <c r="B140" s="83" t="n">
        <v>335911</v>
      </c>
      <c r="C140" s="83" t="n">
        <v>49075</v>
      </c>
      <c r="D140" s="83" t="n">
        <v>4925939</v>
      </c>
      <c r="E140" s="83" t="n">
        <v>4892741</v>
      </c>
      <c r="F140" s="83" t="n">
        <v>2268370</v>
      </c>
      <c r="G140" s="83" t="n">
        <v>137732</v>
      </c>
      <c r="H140" s="83" t="n">
        <v>7298843</v>
      </c>
    </row>
    <row r="141" ht="12.8" customHeight="1" s="82">
      <c r="A141" s="83" t="inlineStr">
        <is>
          <t>00000_335912</t>
        </is>
      </c>
      <c r="B141" s="83" t="n">
        <v>335912</v>
      </c>
      <c r="C141" s="83" t="n">
        <v>0</v>
      </c>
      <c r="D141" s="83" t="n">
        <v>0</v>
      </c>
      <c r="E141" s="83" t="n">
        <v>0</v>
      </c>
      <c r="F141" s="83" t="n">
        <v>0</v>
      </c>
      <c r="G141" s="83" t="n">
        <v>0</v>
      </c>
      <c r="H141" s="83" t="n">
        <v>0</v>
      </c>
    </row>
    <row r="142" ht="12.8" customHeight="1" s="82">
      <c r="A142" s="83" t="inlineStr">
        <is>
          <t>00000_335920</t>
        </is>
      </c>
      <c r="B142" s="83" t="n">
        <v>335920</v>
      </c>
      <c r="C142" s="83" t="n">
        <v>26389</v>
      </c>
      <c r="D142" s="83" t="n">
        <v>2648815</v>
      </c>
      <c r="E142" s="83" t="n">
        <v>2630964</v>
      </c>
      <c r="F142" s="83" t="n">
        <v>1219766</v>
      </c>
      <c r="G142" s="83" t="n">
        <v>74062</v>
      </c>
      <c r="H142" s="83" t="n">
        <v>3924792</v>
      </c>
    </row>
    <row r="143" ht="12.8" customHeight="1" s="82">
      <c r="A143" s="83" t="inlineStr">
        <is>
          <t>00000_335930</t>
        </is>
      </c>
      <c r="B143" s="83" t="n">
        <v>335930</v>
      </c>
      <c r="C143" s="83" t="n">
        <v>41484</v>
      </c>
      <c r="D143" s="83" t="n">
        <v>4164015</v>
      </c>
      <c r="E143" s="83" t="n">
        <v>4135952</v>
      </c>
      <c r="F143" s="83" t="n">
        <v>1917508</v>
      </c>
      <c r="G143" s="83" t="n">
        <v>116428</v>
      </c>
      <c r="H143" s="83" t="n">
        <v>6169888</v>
      </c>
    </row>
    <row r="144" ht="12.8" customHeight="1" s="82">
      <c r="A144" s="83" t="inlineStr">
        <is>
          <t>00000_335991</t>
        </is>
      </c>
      <c r="B144" s="83" t="n">
        <v>335991</v>
      </c>
      <c r="C144" s="83" t="n">
        <v>9588</v>
      </c>
      <c r="D144" s="83" t="n">
        <v>962451</v>
      </c>
      <c r="E144" s="83" t="n">
        <v>955964</v>
      </c>
      <c r="F144" s="83" t="n">
        <v>443204</v>
      </c>
      <c r="G144" s="83" t="n">
        <v>26911</v>
      </c>
      <c r="H144" s="83" t="n">
        <v>1426079</v>
      </c>
    </row>
    <row r="145" ht="12.8" customHeight="1" s="82">
      <c r="A145" s="83" t="inlineStr">
        <is>
          <t>00000_335999</t>
        </is>
      </c>
      <c r="B145" s="83" t="n">
        <v>335999</v>
      </c>
      <c r="C145" s="83" t="n">
        <v>40502</v>
      </c>
      <c r="D145" s="83" t="n">
        <v>4065473</v>
      </c>
      <c r="E145" s="83" t="n">
        <v>4038074</v>
      </c>
      <c r="F145" s="83" t="n">
        <v>1872130</v>
      </c>
      <c r="G145" s="83" t="n">
        <v>113673</v>
      </c>
      <c r="H145" s="83" t="n">
        <v>6023877</v>
      </c>
    </row>
    <row r="146" ht="12.8" customHeight="1" s="82">
      <c r="A146" s="83" t="inlineStr">
        <is>
          <t>00000_336111</t>
        </is>
      </c>
      <c r="B146" s="83" t="n">
        <v>336111</v>
      </c>
      <c r="C146" s="83" t="n">
        <v>90743</v>
      </c>
      <c r="D146" s="83" t="n">
        <v>8272838</v>
      </c>
      <c r="E146" s="83" t="n">
        <v>7942767</v>
      </c>
      <c r="F146" s="83" t="n">
        <v>5778562</v>
      </c>
      <c r="G146" s="83" t="n">
        <v>412249</v>
      </c>
      <c r="H146" s="83" t="n">
        <v>14133578</v>
      </c>
    </row>
    <row r="147" ht="12.8" customHeight="1" s="82">
      <c r="A147" s="83" t="inlineStr">
        <is>
          <t>00000_336112</t>
        </is>
      </c>
      <c r="B147" s="83" t="n">
        <v>336112</v>
      </c>
      <c r="C147" s="83" t="n">
        <v>211733</v>
      </c>
      <c r="D147" s="83" t="n">
        <v>19303288</v>
      </c>
      <c r="E147" s="83" t="n">
        <v>18533123</v>
      </c>
      <c r="F147" s="83" t="n">
        <v>13483312</v>
      </c>
      <c r="G147" s="83" t="n">
        <v>961914</v>
      </c>
      <c r="H147" s="83" t="n">
        <v>32978348</v>
      </c>
    </row>
    <row r="148" ht="12.8" customHeight="1" s="82">
      <c r="A148" s="83" t="inlineStr">
        <is>
          <t>00000_336120</t>
        </is>
      </c>
      <c r="B148" s="83" t="n">
        <v>336120</v>
      </c>
      <c r="C148" s="83" t="n">
        <v>37745</v>
      </c>
      <c r="D148" s="83" t="n">
        <v>3441119</v>
      </c>
      <c r="E148" s="83" t="n">
        <v>3303824</v>
      </c>
      <c r="F148" s="83" t="n">
        <v>2403615</v>
      </c>
      <c r="G148" s="83" t="n">
        <v>171476</v>
      </c>
      <c r="H148" s="83" t="n">
        <v>5878916</v>
      </c>
    </row>
    <row r="149" ht="12.8" customHeight="1" s="82">
      <c r="A149" s="83" t="inlineStr">
        <is>
          <t>00000_336211</t>
        </is>
      </c>
      <c r="B149" s="83" t="n">
        <v>336211</v>
      </c>
      <c r="C149" s="83" t="n">
        <v>47647</v>
      </c>
      <c r="D149" s="83" t="n">
        <v>4343925</v>
      </c>
      <c r="E149" s="83" t="n">
        <v>4170610</v>
      </c>
      <c r="F149" s="83" t="n">
        <v>3034223</v>
      </c>
      <c r="G149" s="83" t="n">
        <v>216465</v>
      </c>
      <c r="H149" s="83" t="n">
        <v>7421298</v>
      </c>
    </row>
    <row r="150" ht="12.8" customHeight="1" s="82">
      <c r="A150" s="83" t="inlineStr">
        <is>
          <t>00000_336212</t>
        </is>
      </c>
      <c r="B150" s="83" t="n">
        <v>336212</v>
      </c>
      <c r="C150" s="83" t="n">
        <v>32630</v>
      </c>
      <c r="D150" s="83" t="n">
        <v>2974830</v>
      </c>
      <c r="E150" s="83" t="n">
        <v>2856140</v>
      </c>
      <c r="F150" s="83" t="n">
        <v>2077913</v>
      </c>
      <c r="G150" s="83" t="n">
        <v>148241</v>
      </c>
      <c r="H150" s="83" t="n">
        <v>5082293</v>
      </c>
    </row>
    <row r="151" ht="12.8" customHeight="1" s="82">
      <c r="A151" s="83" t="inlineStr">
        <is>
          <t>00000_336213</t>
        </is>
      </c>
      <c r="B151" s="83" t="n">
        <v>336213</v>
      </c>
      <c r="C151" s="83" t="n">
        <v>19352</v>
      </c>
      <c r="D151" s="83" t="n">
        <v>1764271</v>
      </c>
      <c r="E151" s="83" t="n">
        <v>1693880</v>
      </c>
      <c r="F151" s="83" t="n">
        <v>1232340</v>
      </c>
      <c r="G151" s="83" t="n">
        <v>87916</v>
      </c>
      <c r="H151" s="83" t="n">
        <v>3014137</v>
      </c>
    </row>
    <row r="152" ht="12.8" customHeight="1" s="82">
      <c r="A152" s="83" t="inlineStr">
        <is>
          <t>00000_336214</t>
        </is>
      </c>
      <c r="B152" s="83" t="n">
        <v>336214</v>
      </c>
      <c r="C152" s="83" t="n">
        <v>48764</v>
      </c>
      <c r="D152" s="83" t="n">
        <v>4445718</v>
      </c>
      <c r="E152" s="83" t="n">
        <v>4268342</v>
      </c>
      <c r="F152" s="83" t="n">
        <v>3105326</v>
      </c>
      <c r="G152" s="83" t="n">
        <v>221537</v>
      </c>
      <c r="H152" s="83" t="n">
        <v>7595206</v>
      </c>
    </row>
    <row r="153" ht="12.8" customHeight="1" s="82">
      <c r="A153" s="83" t="inlineStr">
        <is>
          <t>00000_336310</t>
        </is>
      </c>
      <c r="B153" s="83" t="n">
        <v>336310</v>
      </c>
      <c r="C153" s="83" t="n">
        <v>55939</v>
      </c>
      <c r="D153" s="83" t="n">
        <v>5099834</v>
      </c>
      <c r="E153" s="83" t="n">
        <v>4896360</v>
      </c>
      <c r="F153" s="83" t="n">
        <v>3562225</v>
      </c>
      <c r="G153" s="83" t="n">
        <v>254133</v>
      </c>
      <c r="H153" s="83" t="n">
        <v>8712717</v>
      </c>
    </row>
    <row r="154" ht="12.8" customHeight="1" s="82">
      <c r="A154" s="83" t="inlineStr">
        <is>
          <t>00000_336320</t>
        </is>
      </c>
      <c r="B154" s="83" t="n">
        <v>336320</v>
      </c>
      <c r="C154" s="83" t="n">
        <v>56816</v>
      </c>
      <c r="D154" s="83" t="n">
        <v>5179779</v>
      </c>
      <c r="E154" s="83" t="n">
        <v>4973115</v>
      </c>
      <c r="F154" s="83" t="n">
        <v>3618066</v>
      </c>
      <c r="G154" s="83" t="n">
        <v>258117</v>
      </c>
      <c r="H154" s="83" t="n">
        <v>8849298</v>
      </c>
    </row>
    <row r="155" ht="12.8" customHeight="1" s="82">
      <c r="A155" s="83" t="inlineStr">
        <is>
          <t>00000_336350</t>
        </is>
      </c>
      <c r="B155" s="83" t="n">
        <v>336350</v>
      </c>
      <c r="C155" s="83" t="n">
        <v>81783</v>
      </c>
      <c r="D155" s="83" t="n">
        <v>7455956</v>
      </c>
      <c r="E155" s="83" t="n">
        <v>7158477</v>
      </c>
      <c r="F155" s="83" t="n">
        <v>5207971</v>
      </c>
      <c r="G155" s="83" t="n">
        <v>371542</v>
      </c>
      <c r="H155" s="83" t="n">
        <v>12737991</v>
      </c>
    </row>
    <row r="156" ht="12.8" customHeight="1" s="82">
      <c r="A156" s="83" t="inlineStr">
        <is>
          <t>00000_336360</t>
        </is>
      </c>
      <c r="B156" s="83" t="n">
        <v>336360</v>
      </c>
      <c r="C156" s="83" t="n">
        <v>61419</v>
      </c>
      <c r="D156" s="83" t="n">
        <v>5599488</v>
      </c>
      <c r="E156" s="83" t="n">
        <v>5376079</v>
      </c>
      <c r="F156" s="83" t="n">
        <v>3911232</v>
      </c>
      <c r="G156" s="83" t="n">
        <v>279031</v>
      </c>
      <c r="H156" s="83" t="n">
        <v>9566343</v>
      </c>
    </row>
    <row r="157" ht="12.8" customHeight="1" s="82">
      <c r="A157" s="83" t="inlineStr">
        <is>
          <t>00000_336370</t>
        </is>
      </c>
      <c r="B157" s="83" t="n">
        <v>336370</v>
      </c>
      <c r="C157" s="83" t="n">
        <v>75859</v>
      </c>
      <c r="D157" s="83" t="n">
        <v>6915949</v>
      </c>
      <c r="E157" s="83" t="n">
        <v>6640015</v>
      </c>
      <c r="F157" s="83" t="n">
        <v>4830778</v>
      </c>
      <c r="G157" s="83" t="n">
        <v>344633</v>
      </c>
      <c r="H157" s="83" t="n">
        <v>11815426</v>
      </c>
    </row>
    <row r="158" ht="12.8" customHeight="1" s="82">
      <c r="A158" s="83" t="inlineStr">
        <is>
          <t>00000_336390</t>
        </is>
      </c>
      <c r="B158" s="83" t="n">
        <v>336390</v>
      </c>
      <c r="C158" s="83" t="n">
        <v>132175</v>
      </c>
      <c r="D158" s="83" t="n">
        <v>12050104</v>
      </c>
      <c r="E158" s="83" t="n">
        <v>11569327</v>
      </c>
      <c r="F158" s="83" t="n">
        <v>8416976</v>
      </c>
      <c r="G158" s="83" t="n">
        <v>600476</v>
      </c>
      <c r="H158" s="83" t="n">
        <v>20586779</v>
      </c>
    </row>
    <row r="159" ht="12.8" customHeight="1" s="82">
      <c r="A159" s="83" t="inlineStr">
        <is>
          <t>00000_3363A0</t>
        </is>
      </c>
      <c r="B159" s="83" t="inlineStr">
        <is>
          <t>3363A0</t>
        </is>
      </c>
      <c r="C159" s="83" t="n">
        <v>51606</v>
      </c>
      <c r="D159" s="83" t="n">
        <v>4704858</v>
      </c>
      <c r="E159" s="83" t="n">
        <v>4517142</v>
      </c>
      <c r="F159" s="83" t="n">
        <v>3286334</v>
      </c>
      <c r="G159" s="83" t="n">
        <v>234451</v>
      </c>
      <c r="H159" s="83" t="n">
        <v>8037927</v>
      </c>
    </row>
    <row r="160" ht="12.8" customHeight="1" s="82">
      <c r="A160" s="83" t="inlineStr">
        <is>
          <t>00000_336411</t>
        </is>
      </c>
      <c r="B160" s="83" t="n">
        <v>336411</v>
      </c>
      <c r="C160" s="83" t="n">
        <v>252516</v>
      </c>
      <c r="D160" s="83" t="n">
        <v>31985859</v>
      </c>
      <c r="E160" s="83" t="n">
        <v>31714496</v>
      </c>
      <c r="F160" s="83" t="n">
        <v>27357092</v>
      </c>
      <c r="G160" s="83" t="n">
        <v>1279613</v>
      </c>
      <c r="H160" s="83" t="n">
        <v>60351201</v>
      </c>
    </row>
    <row r="161" ht="12.8" customHeight="1" s="82">
      <c r="A161" s="83" t="inlineStr">
        <is>
          <t>00000_336412</t>
        </is>
      </c>
      <c r="B161" s="83" t="n">
        <v>336412</v>
      </c>
      <c r="C161" s="83" t="n">
        <v>80615</v>
      </c>
      <c r="D161" s="83" t="n">
        <v>10211395</v>
      </c>
      <c r="E161" s="83" t="n">
        <v>10124763</v>
      </c>
      <c r="F161" s="83" t="n">
        <v>8733674</v>
      </c>
      <c r="G161" s="83" t="n">
        <v>408513</v>
      </c>
      <c r="H161" s="83" t="n">
        <v>19266950</v>
      </c>
    </row>
    <row r="162" ht="12.8" customHeight="1" s="82">
      <c r="A162" s="83" t="inlineStr">
        <is>
          <t>00000_336413</t>
        </is>
      </c>
      <c r="B162" s="83" t="n">
        <v>336413</v>
      </c>
      <c r="C162" s="83" t="n">
        <v>82382</v>
      </c>
      <c r="D162" s="83" t="n">
        <v>10435185</v>
      </c>
      <c r="E162" s="83" t="n">
        <v>10346654</v>
      </c>
      <c r="F162" s="83" t="n">
        <v>8925079</v>
      </c>
      <c r="G162" s="83" t="n">
        <v>417466</v>
      </c>
      <c r="H162" s="83" t="n">
        <v>19689198</v>
      </c>
    </row>
    <row r="163" ht="12.8" customHeight="1" s="82">
      <c r="A163" s="83" t="inlineStr">
        <is>
          <t>00000_336414</t>
        </is>
      </c>
      <c r="B163" s="83" t="n">
        <v>336414</v>
      </c>
      <c r="C163" s="83" t="n">
        <v>105591</v>
      </c>
      <c r="D163" s="83" t="n">
        <v>13375078</v>
      </c>
      <c r="E163" s="83" t="n">
        <v>13261606</v>
      </c>
      <c r="F163" s="83" t="n">
        <v>11439532</v>
      </c>
      <c r="G163" s="83" t="n">
        <v>535078</v>
      </c>
      <c r="H163" s="83" t="n">
        <v>25236215</v>
      </c>
    </row>
    <row r="164" ht="12.8" customHeight="1" s="82">
      <c r="A164" s="83" t="inlineStr">
        <is>
          <t>00000_33641A</t>
        </is>
      </c>
      <c r="B164" s="83" t="inlineStr">
        <is>
          <t>33641A</t>
        </is>
      </c>
      <c r="C164" s="83" t="n">
        <v>24253</v>
      </c>
      <c r="D164" s="83" t="n">
        <v>3072079</v>
      </c>
      <c r="E164" s="83" t="n">
        <v>3046016</v>
      </c>
      <c r="F164" s="83" t="n">
        <v>2627509</v>
      </c>
      <c r="G164" s="83" t="n">
        <v>122900</v>
      </c>
      <c r="H164" s="83" t="n">
        <v>5796425</v>
      </c>
    </row>
    <row r="165" ht="12.8" customHeight="1" s="82">
      <c r="A165" s="83" t="inlineStr">
        <is>
          <t>00000_336500</t>
        </is>
      </c>
      <c r="B165" s="83" t="n">
        <v>336500</v>
      </c>
      <c r="C165" s="83" t="n">
        <v>15806</v>
      </c>
      <c r="D165" s="83" t="n">
        <v>2002099</v>
      </c>
      <c r="E165" s="83" t="n">
        <v>1985114</v>
      </c>
      <c r="F165" s="83" t="n">
        <v>1712370</v>
      </c>
      <c r="G165" s="83" t="n">
        <v>80095</v>
      </c>
      <c r="H165" s="83" t="n">
        <v>3777578</v>
      </c>
    </row>
    <row r="166" ht="12.8" customHeight="1" s="82">
      <c r="A166" s="83" t="inlineStr">
        <is>
          <t>00000_336611</t>
        </is>
      </c>
      <c r="B166" s="83" t="n">
        <v>336611</v>
      </c>
      <c r="C166" s="83" t="n">
        <v>108342</v>
      </c>
      <c r="D166" s="83" t="n">
        <v>13723501</v>
      </c>
      <c r="E166" s="83" t="n">
        <v>13607073</v>
      </c>
      <c r="F166" s="83" t="n">
        <v>11737533</v>
      </c>
      <c r="G166" s="83" t="n">
        <v>549017</v>
      </c>
      <c r="H166" s="83" t="n">
        <v>25893623</v>
      </c>
    </row>
    <row r="167" ht="12.8" customHeight="1" s="82">
      <c r="A167" s="83" t="inlineStr">
        <is>
          <t>00000_336612</t>
        </is>
      </c>
      <c r="B167" s="83" t="n">
        <v>336612</v>
      </c>
      <c r="C167" s="83" t="n">
        <v>27568</v>
      </c>
      <c r="D167" s="83" t="n">
        <v>3491951</v>
      </c>
      <c r="E167" s="83" t="n">
        <v>3462326</v>
      </c>
      <c r="F167" s="83" t="n">
        <v>2986621</v>
      </c>
      <c r="G167" s="83" t="n">
        <v>139698</v>
      </c>
      <c r="H167" s="83" t="n">
        <v>6588644</v>
      </c>
    </row>
    <row r="168" ht="12.8" customHeight="1" s="82">
      <c r="A168" s="83" t="inlineStr">
        <is>
          <t>00000_336991</t>
        </is>
      </c>
      <c r="B168" s="83" t="n">
        <v>336991</v>
      </c>
      <c r="C168" s="83" t="n">
        <v>7462</v>
      </c>
      <c r="D168" s="83" t="n">
        <v>945199</v>
      </c>
      <c r="E168" s="83" t="n">
        <v>937181</v>
      </c>
      <c r="F168" s="83" t="n">
        <v>808417</v>
      </c>
      <c r="G168" s="83" t="n">
        <v>37813</v>
      </c>
      <c r="H168" s="83" t="n">
        <v>1783411</v>
      </c>
    </row>
    <row r="169" ht="12.8" customHeight="1" s="82">
      <c r="A169" s="83" t="inlineStr">
        <is>
          <t>00000_336992</t>
        </is>
      </c>
      <c r="B169" s="83" t="n">
        <v>336992</v>
      </c>
      <c r="C169" s="83" t="n">
        <v>6776</v>
      </c>
      <c r="D169" s="83" t="n">
        <v>858283</v>
      </c>
      <c r="E169" s="83" t="n">
        <v>851001</v>
      </c>
      <c r="F169" s="83" t="n">
        <v>734078</v>
      </c>
      <c r="G169" s="83" t="n">
        <v>34336</v>
      </c>
      <c r="H169" s="83" t="n">
        <v>1619415</v>
      </c>
    </row>
    <row r="170" ht="12.8" customHeight="1" s="82">
      <c r="A170" s="83" t="inlineStr">
        <is>
          <t>00000_336999</t>
        </is>
      </c>
      <c r="B170" s="83" t="n">
        <v>336999</v>
      </c>
      <c r="C170" s="83" t="n">
        <v>12515</v>
      </c>
      <c r="D170" s="83" t="n">
        <v>1585295</v>
      </c>
      <c r="E170" s="83" t="n">
        <v>1571846</v>
      </c>
      <c r="F170" s="83" t="n">
        <v>1355882</v>
      </c>
      <c r="G170" s="83" t="n">
        <v>63421</v>
      </c>
      <c r="H170" s="83" t="n">
        <v>2991149</v>
      </c>
    </row>
    <row r="171" ht="12.8" customHeight="1" s="82">
      <c r="A171" s="83" t="inlineStr">
        <is>
          <t>00000_337110</t>
        </is>
      </c>
      <c r="B171" s="83" t="n">
        <v>337110</v>
      </c>
      <c r="C171" s="83" t="n">
        <v>127777</v>
      </c>
      <c r="D171" s="83" t="n">
        <v>8151678</v>
      </c>
      <c r="E171" s="83" t="n">
        <v>7695960</v>
      </c>
      <c r="F171" s="83" t="n">
        <v>1816166</v>
      </c>
      <c r="G171" s="83" t="n">
        <v>161068</v>
      </c>
      <c r="H171" s="83" t="n">
        <v>9673194</v>
      </c>
    </row>
    <row r="172" ht="12.8" customHeight="1" s="82">
      <c r="A172" s="83" t="inlineStr">
        <is>
          <t>00000_337121</t>
        </is>
      </c>
      <c r="B172" s="83" t="n">
        <v>337121</v>
      </c>
      <c r="C172" s="83" t="n">
        <v>51529</v>
      </c>
      <c r="D172" s="83" t="n">
        <v>3287375</v>
      </c>
      <c r="E172" s="83" t="n">
        <v>3103595</v>
      </c>
      <c r="F172" s="83" t="n">
        <v>732416</v>
      </c>
      <c r="G172" s="83" t="n">
        <v>64955</v>
      </c>
      <c r="H172" s="83" t="n">
        <v>3900966</v>
      </c>
    </row>
    <row r="173" ht="12.8" customHeight="1" s="82">
      <c r="A173" s="83" t="inlineStr">
        <is>
          <t>00000_337122</t>
        </is>
      </c>
      <c r="B173" s="83" t="n">
        <v>337122</v>
      </c>
      <c r="C173" s="83" t="n">
        <v>29353</v>
      </c>
      <c r="D173" s="83" t="n">
        <v>1872613</v>
      </c>
      <c r="E173" s="83" t="n">
        <v>1767925</v>
      </c>
      <c r="F173" s="83" t="n">
        <v>417212</v>
      </c>
      <c r="G173" s="83" t="n">
        <v>37001</v>
      </c>
      <c r="H173" s="83" t="n">
        <v>2222138</v>
      </c>
    </row>
    <row r="174" ht="12.8" customHeight="1" s="82">
      <c r="A174" s="83" t="inlineStr">
        <is>
          <t>00000_337127</t>
        </is>
      </c>
      <c r="B174" s="83" t="n">
        <v>337127</v>
      </c>
      <c r="C174" s="83" t="n">
        <v>27384</v>
      </c>
      <c r="D174" s="83" t="n">
        <v>1746991</v>
      </c>
      <c r="E174" s="83" t="n">
        <v>1649326</v>
      </c>
      <c r="F174" s="83" t="n">
        <v>389224</v>
      </c>
      <c r="G174" s="83" t="n">
        <v>34519</v>
      </c>
      <c r="H174" s="83" t="n">
        <v>2073068</v>
      </c>
    </row>
    <row r="175" ht="12.8" customHeight="1" s="82">
      <c r="A175" s="83" t="inlineStr">
        <is>
          <t>00000_33712N</t>
        </is>
      </c>
      <c r="B175" s="83" t="inlineStr">
        <is>
          <t>33712N</t>
        </is>
      </c>
      <c r="C175" s="83" t="n">
        <v>12619</v>
      </c>
      <c r="D175" s="83" t="n">
        <v>805024</v>
      </c>
      <c r="E175" s="83" t="n">
        <v>760019</v>
      </c>
      <c r="F175" s="83" t="n">
        <v>179357</v>
      </c>
      <c r="G175" s="83" t="n">
        <v>15906</v>
      </c>
      <c r="H175" s="83" t="n">
        <v>955282</v>
      </c>
    </row>
    <row r="176" ht="12.8" customHeight="1" s="82">
      <c r="A176" s="83" t="inlineStr">
        <is>
          <t>00000_337215</t>
        </is>
      </c>
      <c r="B176" s="83" t="n">
        <v>337215</v>
      </c>
      <c r="C176" s="83" t="n">
        <v>45497</v>
      </c>
      <c r="D176" s="83" t="n">
        <v>2902512</v>
      </c>
      <c r="E176" s="83" t="n">
        <v>2740248</v>
      </c>
      <c r="F176" s="83" t="n">
        <v>646670</v>
      </c>
      <c r="G176" s="83" t="n">
        <v>57350</v>
      </c>
      <c r="H176" s="83" t="n">
        <v>3444268</v>
      </c>
    </row>
    <row r="177" ht="12.8" customHeight="1" s="82">
      <c r="A177" s="83" t="inlineStr">
        <is>
          <t>00000_33721A</t>
        </is>
      </c>
      <c r="B177" s="83" t="inlineStr">
        <is>
          <t>33721A</t>
        </is>
      </c>
      <c r="C177" s="83" t="n">
        <v>80244</v>
      </c>
      <c r="D177" s="83" t="n">
        <v>5119236</v>
      </c>
      <c r="E177" s="83" t="n">
        <v>4833046</v>
      </c>
      <c r="F177" s="83" t="n">
        <v>1140549</v>
      </c>
      <c r="G177" s="83" t="n">
        <v>101150</v>
      </c>
      <c r="H177" s="83" t="n">
        <v>6074745</v>
      </c>
    </row>
    <row r="178" ht="12.8" customHeight="1" s="82">
      <c r="A178" s="83" t="inlineStr">
        <is>
          <t>00000_337900</t>
        </is>
      </c>
      <c r="B178" s="83" t="n">
        <v>337900</v>
      </c>
      <c r="C178" s="83" t="n">
        <v>38094</v>
      </c>
      <c r="D178" s="83" t="n">
        <v>2430224</v>
      </c>
      <c r="E178" s="83" t="n">
        <v>2294363</v>
      </c>
      <c r="F178" s="83" t="n">
        <v>541446</v>
      </c>
      <c r="G178" s="83" t="n">
        <v>48019</v>
      </c>
      <c r="H178" s="83" t="n">
        <v>2883827</v>
      </c>
    </row>
    <row r="179" ht="12.8" customHeight="1" s="82">
      <c r="A179" s="83" t="inlineStr">
        <is>
          <t>00000_339112</t>
        </is>
      </c>
      <c r="B179" s="83" t="n">
        <v>339112</v>
      </c>
      <c r="C179" s="83" t="n">
        <v>214902</v>
      </c>
      <c r="D179" s="83" t="n">
        <v>20636036</v>
      </c>
      <c r="E179" s="83" t="n">
        <v>18739409</v>
      </c>
      <c r="F179" s="83" t="n">
        <v>11496667</v>
      </c>
      <c r="G179" s="83" t="n">
        <v>644465</v>
      </c>
      <c r="H179" s="83" t="n">
        <v>30880541</v>
      </c>
    </row>
    <row r="180" ht="12.8" customHeight="1" s="82">
      <c r="A180" s="83" t="inlineStr">
        <is>
          <t>00000_339113</t>
        </is>
      </c>
      <c r="B180" s="83" t="n">
        <v>339113</v>
      </c>
      <c r="C180" s="83" t="n">
        <v>143095</v>
      </c>
      <c r="D180" s="83" t="n">
        <v>13740778</v>
      </c>
      <c r="E180" s="83" t="n">
        <v>12477884</v>
      </c>
      <c r="F180" s="83" t="n">
        <v>7655209</v>
      </c>
      <c r="G180" s="83" t="n">
        <v>429125</v>
      </c>
      <c r="H180" s="83" t="n">
        <v>20562219</v>
      </c>
    </row>
    <row r="181" ht="12.8" customHeight="1" s="82">
      <c r="A181" s="83" t="inlineStr">
        <is>
          <t>00000_339114</t>
        </is>
      </c>
      <c r="B181" s="83" t="n">
        <v>339114</v>
      </c>
      <c r="C181" s="83" t="n">
        <v>19552</v>
      </c>
      <c r="D181" s="83" t="n">
        <v>1877499</v>
      </c>
      <c r="E181" s="83" t="n">
        <v>1704941</v>
      </c>
      <c r="F181" s="83" t="n">
        <v>1045985</v>
      </c>
      <c r="G181" s="83" t="n">
        <v>58634</v>
      </c>
      <c r="H181" s="83" t="n">
        <v>2809560</v>
      </c>
    </row>
    <row r="182" ht="12.8" customHeight="1" s="82">
      <c r="A182" s="83" t="inlineStr">
        <is>
          <t>00000_339115</t>
        </is>
      </c>
      <c r="B182" s="83" t="n">
        <v>339115</v>
      </c>
      <c r="C182" s="83" t="n">
        <v>29497</v>
      </c>
      <c r="D182" s="83" t="n">
        <v>2832421</v>
      </c>
      <c r="E182" s="83" t="n">
        <v>2572097</v>
      </c>
      <c r="F182" s="83" t="n">
        <v>1577987</v>
      </c>
      <c r="G182" s="83" t="n">
        <v>88457</v>
      </c>
      <c r="H182" s="83" t="n">
        <v>4238541</v>
      </c>
    </row>
    <row r="183" ht="12.8" customHeight="1" s="82">
      <c r="A183" s="83" t="inlineStr">
        <is>
          <t>00000_339116</t>
        </is>
      </c>
      <c r="B183" s="83" t="n">
        <v>339116</v>
      </c>
      <c r="C183" s="83" t="n">
        <v>39682</v>
      </c>
      <c r="D183" s="83" t="n">
        <v>3810506</v>
      </c>
      <c r="E183" s="83" t="n">
        <v>3460288</v>
      </c>
      <c r="F183" s="83" t="n">
        <v>2122894</v>
      </c>
      <c r="G183" s="83" t="n">
        <v>119002</v>
      </c>
      <c r="H183" s="83" t="n">
        <v>5702184</v>
      </c>
    </row>
    <row r="184" ht="12.8" customHeight="1" s="82">
      <c r="A184" s="83" t="inlineStr">
        <is>
          <t>00000_339910</t>
        </is>
      </c>
      <c r="B184" s="83" t="n">
        <v>339910</v>
      </c>
      <c r="C184" s="83" t="n">
        <v>22707</v>
      </c>
      <c r="D184" s="83" t="n">
        <v>2180460</v>
      </c>
      <c r="E184" s="83" t="n">
        <v>1980058</v>
      </c>
      <c r="F184" s="83" t="n">
        <v>1214770</v>
      </c>
      <c r="G184" s="83" t="n">
        <v>68096</v>
      </c>
      <c r="H184" s="83" t="n">
        <v>3262923</v>
      </c>
    </row>
    <row r="185" ht="12.8" customHeight="1" s="82">
      <c r="A185" s="83" t="inlineStr">
        <is>
          <t>00000_339920</t>
        </is>
      </c>
      <c r="B185" s="83" t="n">
        <v>339920</v>
      </c>
      <c r="C185" s="83" t="n">
        <v>50182</v>
      </c>
      <c r="D185" s="83" t="n">
        <v>4818779</v>
      </c>
      <c r="E185" s="83" t="n">
        <v>4375893</v>
      </c>
      <c r="F185" s="83" t="n">
        <v>2684619</v>
      </c>
      <c r="G185" s="83" t="n">
        <v>150491</v>
      </c>
      <c r="H185" s="83" t="n">
        <v>7211003</v>
      </c>
    </row>
    <row r="186" ht="12.8" customHeight="1" s="82">
      <c r="A186" s="83" t="inlineStr">
        <is>
          <t>00000_339930</t>
        </is>
      </c>
      <c r="B186" s="83" t="n">
        <v>339930</v>
      </c>
      <c r="C186" s="83" t="n">
        <v>18832</v>
      </c>
      <c r="D186" s="83" t="n">
        <v>1808396</v>
      </c>
      <c r="E186" s="83" t="n">
        <v>1642189</v>
      </c>
      <c r="F186" s="83" t="n">
        <v>1007487</v>
      </c>
      <c r="G186" s="83" t="n">
        <v>56476</v>
      </c>
      <c r="H186" s="83" t="n">
        <v>2706152</v>
      </c>
    </row>
    <row r="187" ht="12.8" customHeight="1" s="82">
      <c r="A187" s="83" t="inlineStr">
        <is>
          <t>00000_339940</t>
        </is>
      </c>
      <c r="B187" s="83" t="n">
        <v>339940</v>
      </c>
      <c r="C187" s="83" t="n">
        <v>10308</v>
      </c>
      <c r="D187" s="83" t="n">
        <v>989828</v>
      </c>
      <c r="E187" s="83" t="n">
        <v>898854</v>
      </c>
      <c r="F187" s="83" t="n">
        <v>551449</v>
      </c>
      <c r="G187" s="83" t="n">
        <v>30912</v>
      </c>
      <c r="H187" s="83" t="n">
        <v>1481216</v>
      </c>
    </row>
    <row r="188" ht="12.8" customHeight="1" s="82">
      <c r="A188" s="83" t="inlineStr">
        <is>
          <t>00000_339950</t>
        </is>
      </c>
      <c r="B188" s="83" t="n">
        <v>339950</v>
      </c>
      <c r="C188" s="83" t="n">
        <v>69692</v>
      </c>
      <c r="D188" s="83" t="n">
        <v>6692219</v>
      </c>
      <c r="E188" s="83" t="n">
        <v>6077147</v>
      </c>
      <c r="F188" s="83" t="n">
        <v>3728343</v>
      </c>
      <c r="G188" s="83" t="n">
        <v>208998</v>
      </c>
      <c r="H188" s="83" t="n">
        <v>10014488</v>
      </c>
    </row>
    <row r="189" ht="12.8" customHeight="1" s="82">
      <c r="A189" s="83" t="inlineStr">
        <is>
          <t>00000_339990</t>
        </is>
      </c>
      <c r="B189" s="83" t="n">
        <v>339990</v>
      </c>
      <c r="C189" s="83" t="n">
        <v>128662</v>
      </c>
      <c r="D189" s="83" t="n">
        <v>12354807</v>
      </c>
      <c r="E189" s="83" t="n">
        <v>11219296</v>
      </c>
      <c r="F189" s="83" t="n">
        <v>6883062</v>
      </c>
      <c r="G189" s="83" t="n">
        <v>385841</v>
      </c>
      <c r="H189" s="83" t="n">
        <v>18488199</v>
      </c>
    </row>
    <row r="190" ht="12.8" customHeight="1" s="82">
      <c r="A190" s="83" t="inlineStr">
        <is>
          <t>00000_311111</t>
        </is>
      </c>
      <c r="B190" s="83" t="n">
        <v>311111</v>
      </c>
      <c r="C190" s="83" t="n">
        <v>46308</v>
      </c>
      <c r="D190" s="83" t="n">
        <v>3364364</v>
      </c>
      <c r="E190" s="83" t="n">
        <v>3191505</v>
      </c>
      <c r="F190" s="83" t="n">
        <v>2888291</v>
      </c>
      <c r="G190" s="83" t="n">
        <v>628338</v>
      </c>
      <c r="H190" s="83" t="n">
        <v>6708135</v>
      </c>
    </row>
    <row r="191" ht="12.8" customHeight="1" s="82">
      <c r="A191" s="83" t="inlineStr">
        <is>
          <t>00000_311119</t>
        </is>
      </c>
      <c r="B191" s="83" t="n">
        <v>311119</v>
      </c>
      <c r="C191" s="83" t="n">
        <v>46584</v>
      </c>
      <c r="D191" s="83" t="n">
        <v>3384431</v>
      </c>
      <c r="E191" s="83" t="n">
        <v>3210541</v>
      </c>
      <c r="F191" s="83" t="n">
        <v>2905518</v>
      </c>
      <c r="G191" s="83" t="n">
        <v>632086</v>
      </c>
      <c r="H191" s="83" t="n">
        <v>6748145</v>
      </c>
    </row>
    <row r="192" ht="12.8" customHeight="1" s="82">
      <c r="A192" s="83" t="inlineStr">
        <is>
          <t>00000_311210</t>
        </is>
      </c>
      <c r="B192" s="83" t="n">
        <v>311210</v>
      </c>
      <c r="C192" s="83" t="n">
        <v>28367</v>
      </c>
      <c r="D192" s="83" t="n">
        <v>2060896</v>
      </c>
      <c r="E192" s="83" t="n">
        <v>1955008</v>
      </c>
      <c r="F192" s="83" t="n">
        <v>1769269</v>
      </c>
      <c r="G192" s="83" t="n">
        <v>384899</v>
      </c>
      <c r="H192" s="83" t="n">
        <v>4109176</v>
      </c>
    </row>
    <row r="193" ht="12.8" customHeight="1" s="82">
      <c r="A193" s="83" t="inlineStr">
        <is>
          <t>00000_311221</t>
        </is>
      </c>
      <c r="B193" s="83" t="n">
        <v>311221</v>
      </c>
      <c r="C193" s="83" t="n">
        <v>29035</v>
      </c>
      <c r="D193" s="83" t="n">
        <v>2109481</v>
      </c>
      <c r="E193" s="83" t="n">
        <v>2001097</v>
      </c>
      <c r="F193" s="83" t="n">
        <v>1810980</v>
      </c>
      <c r="G193" s="83" t="n">
        <v>393973</v>
      </c>
      <c r="H193" s="83" t="n">
        <v>4206050</v>
      </c>
    </row>
    <row r="194" ht="12.8" customHeight="1" s="82">
      <c r="A194" s="83" t="inlineStr">
        <is>
          <t>00000_311225</t>
        </is>
      </c>
      <c r="B194" s="83" t="n">
        <v>311225</v>
      </c>
      <c r="C194" s="83" t="n">
        <v>9944</v>
      </c>
      <c r="D194" s="83" t="n">
        <v>722482</v>
      </c>
      <c r="E194" s="83" t="n">
        <v>685362</v>
      </c>
      <c r="F194" s="83" t="n">
        <v>620248</v>
      </c>
      <c r="G194" s="83" t="n">
        <v>134933</v>
      </c>
      <c r="H194" s="83" t="n">
        <v>1440543</v>
      </c>
    </row>
    <row r="195" ht="12.8" customHeight="1" s="82">
      <c r="A195" s="83" t="inlineStr">
        <is>
          <t>00000_311224</t>
        </is>
      </c>
      <c r="B195" s="83" t="n">
        <v>311224</v>
      </c>
      <c r="C195" s="83" t="n">
        <v>13623</v>
      </c>
      <c r="D195" s="83" t="n">
        <v>989779</v>
      </c>
      <c r="E195" s="83" t="n">
        <v>938925</v>
      </c>
      <c r="F195" s="83" t="n">
        <v>849721</v>
      </c>
      <c r="G195" s="83" t="n">
        <v>184854</v>
      </c>
      <c r="H195" s="83" t="n">
        <v>1973499</v>
      </c>
    </row>
    <row r="196" ht="12.8" customHeight="1" s="82">
      <c r="A196" s="83" t="inlineStr">
        <is>
          <t>00000_311230</t>
        </is>
      </c>
      <c r="B196" s="83" t="n">
        <v>311230</v>
      </c>
      <c r="C196" s="83" t="n">
        <v>19010</v>
      </c>
      <c r="D196" s="83" t="n">
        <v>1381090</v>
      </c>
      <c r="E196" s="83" t="n">
        <v>1310131</v>
      </c>
      <c r="F196" s="83" t="n">
        <v>1185660</v>
      </c>
      <c r="G196" s="83" t="n">
        <v>257936</v>
      </c>
      <c r="H196" s="83" t="n">
        <v>2753727</v>
      </c>
    </row>
    <row r="197" ht="12.8" customHeight="1" s="82">
      <c r="A197" s="83" t="inlineStr">
        <is>
          <t>00000_311300</t>
        </is>
      </c>
      <c r="B197" s="83" t="n">
        <v>311300</v>
      </c>
      <c r="C197" s="83" t="n">
        <v>87374</v>
      </c>
      <c r="D197" s="83" t="n">
        <v>6347897</v>
      </c>
      <c r="E197" s="83" t="n">
        <v>6021746</v>
      </c>
      <c r="F197" s="83" t="n">
        <v>5449641</v>
      </c>
      <c r="G197" s="83" t="n">
        <v>1185552</v>
      </c>
      <c r="H197" s="83" t="n">
        <v>12656939</v>
      </c>
    </row>
    <row r="198" ht="12.8" customHeight="1" s="82">
      <c r="A198" s="83" t="inlineStr">
        <is>
          <t>00000_311410</t>
        </is>
      </c>
      <c r="B198" s="83" t="n">
        <v>311410</v>
      </c>
      <c r="C198" s="83" t="n">
        <v>99746</v>
      </c>
      <c r="D198" s="83" t="n">
        <v>7246766</v>
      </c>
      <c r="E198" s="83" t="n">
        <v>6874431</v>
      </c>
      <c r="F198" s="83" t="n">
        <v>6221315</v>
      </c>
      <c r="G198" s="83" t="n">
        <v>1353427</v>
      </c>
      <c r="H198" s="83" t="n">
        <v>14449173</v>
      </c>
    </row>
    <row r="199" ht="12.8" customHeight="1" s="82">
      <c r="A199" s="83" t="inlineStr">
        <is>
          <t>00000_311420</t>
        </is>
      </c>
      <c r="B199" s="83" t="n">
        <v>311420</v>
      </c>
      <c r="C199" s="83" t="n">
        <v>97401</v>
      </c>
      <c r="D199" s="83" t="n">
        <v>7076438</v>
      </c>
      <c r="E199" s="83" t="n">
        <v>6712855</v>
      </c>
      <c r="F199" s="83" t="n">
        <v>6075090</v>
      </c>
      <c r="G199" s="83" t="n">
        <v>1321616</v>
      </c>
      <c r="H199" s="83" t="n">
        <v>14109561</v>
      </c>
    </row>
    <row r="200" ht="12.8" customHeight="1" s="82">
      <c r="A200" s="83" t="inlineStr">
        <is>
          <t>00000_311513</t>
        </is>
      </c>
      <c r="B200" s="83" t="n">
        <v>311513</v>
      </c>
      <c r="C200" s="83" t="n">
        <v>70492</v>
      </c>
      <c r="D200" s="83" t="n">
        <v>5121376</v>
      </c>
      <c r="E200" s="83" t="n">
        <v>4858242</v>
      </c>
      <c r="F200" s="83" t="n">
        <v>4396678</v>
      </c>
      <c r="G200" s="83" t="n">
        <v>956483</v>
      </c>
      <c r="H200" s="83" t="n">
        <v>10211403</v>
      </c>
    </row>
    <row r="201" ht="12.8" customHeight="1" s="82">
      <c r="A201" s="83" t="inlineStr">
        <is>
          <t>00000_311514</t>
        </is>
      </c>
      <c r="B201" s="83" t="n">
        <v>311514</v>
      </c>
      <c r="C201" s="83" t="n">
        <v>28460</v>
      </c>
      <c r="D201" s="83" t="n">
        <v>2067673</v>
      </c>
      <c r="E201" s="83" t="n">
        <v>1961437</v>
      </c>
      <c r="F201" s="83" t="n">
        <v>1775088</v>
      </c>
      <c r="G201" s="83" t="n">
        <v>386165</v>
      </c>
      <c r="H201" s="83" t="n">
        <v>4122690</v>
      </c>
    </row>
    <row r="202" ht="12.8" customHeight="1" s="82">
      <c r="A202" s="83" t="inlineStr">
        <is>
          <t>00000_31151A</t>
        </is>
      </c>
      <c r="B202" s="83" t="inlineStr">
        <is>
          <t>31151A</t>
        </is>
      </c>
      <c r="C202" s="83" t="n">
        <v>73705</v>
      </c>
      <c r="D202" s="83" t="n">
        <v>5354851</v>
      </c>
      <c r="E202" s="83" t="n">
        <v>5079722</v>
      </c>
      <c r="F202" s="83" t="n">
        <v>4597115</v>
      </c>
      <c r="G202" s="83" t="n">
        <v>1000088</v>
      </c>
      <c r="H202" s="83" t="n">
        <v>10676925</v>
      </c>
    </row>
    <row r="203" ht="12.8" customHeight="1" s="82">
      <c r="A203" s="83" t="inlineStr">
        <is>
          <t>00000_311520</t>
        </is>
      </c>
      <c r="B203" s="83" t="n">
        <v>311520</v>
      </c>
      <c r="C203" s="83" t="n">
        <v>24985</v>
      </c>
      <c r="D203" s="83" t="n">
        <v>1815188</v>
      </c>
      <c r="E203" s="83" t="n">
        <v>1721925</v>
      </c>
      <c r="F203" s="83" t="n">
        <v>1558331</v>
      </c>
      <c r="G203" s="83" t="n">
        <v>339010</v>
      </c>
      <c r="H203" s="83" t="n">
        <v>3619265</v>
      </c>
    </row>
    <row r="204" ht="12.8" customHeight="1" s="82">
      <c r="A204" s="83" t="inlineStr">
        <is>
          <t>00000_311615</t>
        </is>
      </c>
      <c r="B204" s="83" t="n">
        <v>311615</v>
      </c>
      <c r="C204" s="83" t="n">
        <v>197939</v>
      </c>
      <c r="D204" s="83" t="n">
        <v>14380732</v>
      </c>
      <c r="E204" s="83" t="n">
        <v>13641858</v>
      </c>
      <c r="F204" s="83" t="n">
        <v>12345793</v>
      </c>
      <c r="G204" s="83" t="n">
        <v>2685787</v>
      </c>
      <c r="H204" s="83" t="n">
        <v>28673438</v>
      </c>
    </row>
    <row r="205" ht="12.8" customHeight="1" s="82">
      <c r="A205" s="83" t="inlineStr">
        <is>
          <t>00000_31161A</t>
        </is>
      </c>
      <c r="B205" s="83" t="inlineStr">
        <is>
          <t>31161A</t>
        </is>
      </c>
      <c r="C205" s="83" t="n">
        <v>327467</v>
      </c>
      <c r="D205" s="83" t="n">
        <v>23791277</v>
      </c>
      <c r="E205" s="83" t="n">
        <v>22568894</v>
      </c>
      <c r="F205" s="83" t="n">
        <v>20424703</v>
      </c>
      <c r="G205" s="83" t="n">
        <v>4443328</v>
      </c>
      <c r="H205" s="83" t="n">
        <v>47436925</v>
      </c>
    </row>
    <row r="206" ht="12.8" customHeight="1" s="82">
      <c r="A206" s="83" t="inlineStr">
        <is>
          <t>00000_311700</t>
        </is>
      </c>
      <c r="B206" s="83" t="n">
        <v>311700</v>
      </c>
      <c r="C206" s="83" t="n">
        <v>36994</v>
      </c>
      <c r="D206" s="83" t="n">
        <v>2687729</v>
      </c>
      <c r="E206" s="83" t="n">
        <v>2549635</v>
      </c>
      <c r="F206" s="83" t="n">
        <v>2307403</v>
      </c>
      <c r="G206" s="83" t="n">
        <v>501968</v>
      </c>
      <c r="H206" s="83" t="n">
        <v>5359006</v>
      </c>
    </row>
    <row r="207" ht="12.8" customHeight="1" s="82">
      <c r="A207" s="83" t="inlineStr">
        <is>
          <t>00000_311810</t>
        </is>
      </c>
      <c r="B207" s="83" t="n">
        <v>311810</v>
      </c>
      <c r="C207" s="83" t="n">
        <v>200719</v>
      </c>
      <c r="D207" s="83" t="n">
        <v>14582733</v>
      </c>
      <c r="E207" s="83" t="n">
        <v>13833480</v>
      </c>
      <c r="F207" s="83" t="n">
        <v>12519210</v>
      </c>
      <c r="G207" s="83" t="n">
        <v>2723514</v>
      </c>
      <c r="H207" s="83" t="n">
        <v>29076203</v>
      </c>
    </row>
    <row r="208" ht="12.8" customHeight="1" s="82">
      <c r="A208" s="83" t="inlineStr">
        <is>
          <t>00000_3118A0</t>
        </is>
      </c>
      <c r="B208" s="83" t="inlineStr">
        <is>
          <t>3118A0</t>
        </is>
      </c>
      <c r="C208" s="83" t="n">
        <v>79401</v>
      </c>
      <c r="D208" s="83" t="n">
        <v>5768705</v>
      </c>
      <c r="E208" s="83" t="n">
        <v>5472312</v>
      </c>
      <c r="F208" s="83" t="n">
        <v>4952407</v>
      </c>
      <c r="G208" s="83" t="n">
        <v>1077380</v>
      </c>
      <c r="H208" s="83" t="n">
        <v>11502100</v>
      </c>
    </row>
    <row r="209" ht="12.8" customHeight="1" s="82">
      <c r="A209" s="83" t="inlineStr">
        <is>
          <t>00000_311910</t>
        </is>
      </c>
      <c r="B209" s="83" t="n">
        <v>311910</v>
      </c>
      <c r="C209" s="83" t="n">
        <v>67171</v>
      </c>
      <c r="D209" s="83" t="n">
        <v>4880152</v>
      </c>
      <c r="E209" s="83" t="n">
        <v>4629412</v>
      </c>
      <c r="F209" s="83" t="n">
        <v>4189588</v>
      </c>
      <c r="G209" s="83" t="n">
        <v>911431</v>
      </c>
      <c r="H209" s="83" t="n">
        <v>9730432</v>
      </c>
    </row>
    <row r="210" ht="12.8" customHeight="1" s="82">
      <c r="A210" s="83" t="inlineStr">
        <is>
          <t>00000_311920</t>
        </is>
      </c>
      <c r="B210" s="83" t="n">
        <v>311920</v>
      </c>
      <c r="C210" s="83" t="n">
        <v>29006</v>
      </c>
      <c r="D210" s="83" t="n">
        <v>2107369</v>
      </c>
      <c r="E210" s="83" t="n">
        <v>1999093</v>
      </c>
      <c r="F210" s="83" t="n">
        <v>1809167</v>
      </c>
      <c r="G210" s="83" t="n">
        <v>393578</v>
      </c>
      <c r="H210" s="83" t="n">
        <v>4201838</v>
      </c>
    </row>
    <row r="211" ht="12.8" customHeight="1" s="82">
      <c r="A211" s="83" t="inlineStr">
        <is>
          <t>00000_311930</t>
        </is>
      </c>
      <c r="B211" s="83" t="n">
        <v>311930</v>
      </c>
      <c r="C211" s="83" t="n">
        <v>14662</v>
      </c>
      <c r="D211" s="83" t="n">
        <v>1065252</v>
      </c>
      <c r="E211" s="83" t="n">
        <v>1010520</v>
      </c>
      <c r="F211" s="83" t="n">
        <v>914514</v>
      </c>
      <c r="G211" s="83" t="n">
        <v>198950</v>
      </c>
      <c r="H211" s="83" t="n">
        <v>2123984</v>
      </c>
    </row>
    <row r="212" ht="12.8" customHeight="1" s="82">
      <c r="A212" s="83" t="inlineStr">
        <is>
          <t>00000_311940</t>
        </is>
      </c>
      <c r="B212" s="83" t="n">
        <v>311940</v>
      </c>
      <c r="C212" s="83" t="n">
        <v>63639</v>
      </c>
      <c r="D212" s="83" t="n">
        <v>4623500</v>
      </c>
      <c r="E212" s="83" t="n">
        <v>4385947</v>
      </c>
      <c r="F212" s="83" t="n">
        <v>3969253</v>
      </c>
      <c r="G212" s="83" t="n">
        <v>863498</v>
      </c>
      <c r="H212" s="83" t="n">
        <v>9218698</v>
      </c>
    </row>
    <row r="213" ht="12.8" customHeight="1" s="82">
      <c r="A213" s="83" t="inlineStr">
        <is>
          <t>00000_311990</t>
        </is>
      </c>
      <c r="B213" s="83" t="n">
        <v>311990</v>
      </c>
      <c r="C213" s="83" t="n">
        <v>103702</v>
      </c>
      <c r="D213" s="83" t="n">
        <v>7534199</v>
      </c>
      <c r="E213" s="83" t="n">
        <v>7147096</v>
      </c>
      <c r="F213" s="83" t="n">
        <v>6468076</v>
      </c>
      <c r="G213" s="83" t="n">
        <v>1407109</v>
      </c>
      <c r="H213" s="83" t="n">
        <v>15022280</v>
      </c>
    </row>
    <row r="214" ht="12.8" customHeight="1" s="82">
      <c r="A214" s="83" t="inlineStr">
        <is>
          <t>00000_312110</t>
        </is>
      </c>
      <c r="B214" s="83" t="n">
        <v>312110</v>
      </c>
      <c r="C214" s="83" t="n">
        <v>128039</v>
      </c>
      <c r="D214" s="83" t="n">
        <v>9519480</v>
      </c>
      <c r="E214" s="83" t="n">
        <v>9174375</v>
      </c>
      <c r="F214" s="83" t="n">
        <v>8302750</v>
      </c>
      <c r="G214" s="83" t="n">
        <v>1806236</v>
      </c>
      <c r="H214" s="83" t="n">
        <v>19283361</v>
      </c>
    </row>
    <row r="215" ht="12.8" customHeight="1" s="82">
      <c r="A215" s="83" t="inlineStr">
        <is>
          <t>00000_312120</t>
        </is>
      </c>
      <c r="B215" s="83" t="n">
        <v>312120</v>
      </c>
      <c r="C215" s="83" t="n">
        <v>91857</v>
      </c>
      <c r="D215" s="83" t="n">
        <v>6829454</v>
      </c>
      <c r="E215" s="83" t="n">
        <v>6581869</v>
      </c>
      <c r="F215" s="83" t="n">
        <v>5956549</v>
      </c>
      <c r="G215" s="83" t="n">
        <v>1295828</v>
      </c>
      <c r="H215" s="83" t="n">
        <v>13834246</v>
      </c>
    </row>
    <row r="216" ht="12.8" customHeight="1" s="82">
      <c r="A216" s="83" t="inlineStr">
        <is>
          <t>00000_312130</t>
        </is>
      </c>
      <c r="B216" s="83" t="n">
        <v>312130</v>
      </c>
      <c r="C216" s="83" t="n">
        <v>74887</v>
      </c>
      <c r="D216" s="83" t="n">
        <v>5567700</v>
      </c>
      <c r="E216" s="83" t="n">
        <v>5365857</v>
      </c>
      <c r="F216" s="83" t="n">
        <v>4856066</v>
      </c>
      <c r="G216" s="83" t="n">
        <v>1056421</v>
      </c>
      <c r="H216" s="83" t="n">
        <v>11278344</v>
      </c>
    </row>
    <row r="217" ht="12.8" customHeight="1" s="82">
      <c r="A217" s="83" t="inlineStr">
        <is>
          <t>00000_312140</t>
        </is>
      </c>
      <c r="B217" s="83" t="n">
        <v>312140</v>
      </c>
      <c r="C217" s="83" t="n">
        <v>30584</v>
      </c>
      <c r="D217" s="83" t="n">
        <v>2273895</v>
      </c>
      <c r="E217" s="83" t="n">
        <v>2191460</v>
      </c>
      <c r="F217" s="83" t="n">
        <v>1983257</v>
      </c>
      <c r="G217" s="83" t="n">
        <v>431451</v>
      </c>
      <c r="H217" s="83" t="n">
        <v>4606169</v>
      </c>
    </row>
    <row r="218" ht="12.8" customHeight="1" s="82">
      <c r="A218" s="83" t="inlineStr">
        <is>
          <t>00000_312200</t>
        </is>
      </c>
      <c r="B218" s="83" t="n">
        <v>312200</v>
      </c>
      <c r="C218" s="83" t="n">
        <v>18156</v>
      </c>
      <c r="D218" s="83" t="n">
        <v>1349879</v>
      </c>
      <c r="E218" s="83" t="n">
        <v>1300942</v>
      </c>
      <c r="F218" s="83" t="n">
        <v>1177344</v>
      </c>
      <c r="G218" s="83" t="n">
        <v>256127</v>
      </c>
      <c r="H218" s="83" t="n">
        <v>2734414</v>
      </c>
    </row>
    <row r="219" ht="12.8" customHeight="1" s="82">
      <c r="A219" s="83" t="inlineStr">
        <is>
          <t>00000_313100</t>
        </is>
      </c>
      <c r="B219" s="83" t="n">
        <v>313100</v>
      </c>
      <c r="C219" s="83" t="n">
        <v>22452</v>
      </c>
      <c r="D219" s="83" t="n">
        <v>1426223</v>
      </c>
      <c r="E219" s="83" t="n">
        <v>1390782</v>
      </c>
      <c r="F219" s="83" t="n">
        <v>397413</v>
      </c>
      <c r="G219" s="83" t="n">
        <v>75839</v>
      </c>
      <c r="H219" s="83" t="n">
        <v>1864034</v>
      </c>
    </row>
    <row r="220" ht="12.8" customHeight="1" s="82">
      <c r="A220" s="83" t="inlineStr">
        <is>
          <t>00000_313200</t>
        </is>
      </c>
      <c r="B220" s="83" t="n">
        <v>313200</v>
      </c>
      <c r="C220" s="83" t="n">
        <v>51164</v>
      </c>
      <c r="D220" s="83" t="n">
        <v>3250116</v>
      </c>
      <c r="E220" s="83" t="n">
        <v>3169354</v>
      </c>
      <c r="F220" s="83" t="n">
        <v>905635</v>
      </c>
      <c r="G220" s="83" t="n">
        <v>172824</v>
      </c>
      <c r="H220" s="83" t="n">
        <v>4247813</v>
      </c>
    </row>
    <row r="221" ht="12.8" customHeight="1" s="82">
      <c r="A221" s="83" t="inlineStr">
        <is>
          <t>00000_313300</t>
        </is>
      </c>
      <c r="B221" s="83" t="n">
        <v>313300</v>
      </c>
      <c r="C221" s="83" t="n">
        <v>30786</v>
      </c>
      <c r="D221" s="83" t="n">
        <v>1955648</v>
      </c>
      <c r="E221" s="83" t="n">
        <v>1907052</v>
      </c>
      <c r="F221" s="83" t="n">
        <v>544936</v>
      </c>
      <c r="G221" s="83" t="n">
        <v>103991</v>
      </c>
      <c r="H221" s="83" t="n">
        <v>2555979</v>
      </c>
    </row>
    <row r="222" ht="12.8" customHeight="1" s="82">
      <c r="A222" s="83" t="inlineStr">
        <is>
          <t>00000_314110</t>
        </is>
      </c>
      <c r="B222" s="83" t="n">
        <v>314110</v>
      </c>
      <c r="C222" s="83" t="n">
        <v>34240</v>
      </c>
      <c r="D222" s="83" t="n">
        <v>2005949</v>
      </c>
      <c r="E222" s="83" t="n">
        <v>1932726</v>
      </c>
      <c r="F222" s="83" t="n">
        <v>552272</v>
      </c>
      <c r="G222" s="83" t="n">
        <v>105391</v>
      </c>
      <c r="H222" s="83" t="n">
        <v>2590389</v>
      </c>
    </row>
    <row r="223" ht="12.8" customHeight="1" s="82">
      <c r="A223" s="83" t="inlineStr">
        <is>
          <t>00000_314120</t>
        </is>
      </c>
      <c r="B223" s="83" t="n">
        <v>314120</v>
      </c>
      <c r="C223" s="83" t="n">
        <v>16019</v>
      </c>
      <c r="D223" s="83" t="n">
        <v>938453</v>
      </c>
      <c r="E223" s="83" t="n">
        <v>904197</v>
      </c>
      <c r="F223" s="83" t="n">
        <v>258372</v>
      </c>
      <c r="G223" s="83" t="n">
        <v>49305</v>
      </c>
      <c r="H223" s="83" t="n">
        <v>1211875</v>
      </c>
    </row>
    <row r="224" ht="12.8" customHeight="1" s="82">
      <c r="A224" s="83" t="inlineStr">
        <is>
          <t>00000_314900</t>
        </is>
      </c>
      <c r="B224" s="83" t="n">
        <v>314900</v>
      </c>
      <c r="C224" s="83" t="n">
        <v>65832</v>
      </c>
      <c r="D224" s="83" t="n">
        <v>3856779</v>
      </c>
      <c r="E224" s="83" t="n">
        <v>3715995</v>
      </c>
      <c r="F224" s="83" t="n">
        <v>1061837</v>
      </c>
      <c r="G224" s="83" t="n">
        <v>202632</v>
      </c>
      <c r="H224" s="83" t="n">
        <v>4980463</v>
      </c>
    </row>
    <row r="225" ht="12.8" customHeight="1" s="82">
      <c r="A225" s="83" t="inlineStr">
        <is>
          <t>00000_315000</t>
        </is>
      </c>
      <c r="B225" s="83" t="n">
        <v>315000</v>
      </c>
      <c r="C225" s="83" t="n">
        <v>147564</v>
      </c>
      <c r="D225" s="83" t="n">
        <v>7102962</v>
      </c>
      <c r="E225" s="83" t="n">
        <v>6272945</v>
      </c>
      <c r="F225" s="83" t="n">
        <v>1508586</v>
      </c>
      <c r="G225" s="83" t="n">
        <v>273127</v>
      </c>
      <c r="H225" s="83" t="n">
        <v>8054657</v>
      </c>
    </row>
    <row r="226" ht="12.8" customHeight="1" s="82">
      <c r="A226" s="83" t="inlineStr">
        <is>
          <t>00000_316000</t>
        </is>
      </c>
      <c r="B226" s="83" t="n">
        <v>316000</v>
      </c>
      <c r="C226" s="83" t="n">
        <v>31998</v>
      </c>
      <c r="D226" s="83" t="n">
        <v>1944027</v>
      </c>
      <c r="E226" s="83" t="n">
        <v>1811276</v>
      </c>
      <c r="F226" s="83" t="n">
        <v>435595</v>
      </c>
      <c r="G226" s="83" t="n">
        <v>78864</v>
      </c>
      <c r="H226" s="83" t="n">
        <v>2325736</v>
      </c>
    </row>
    <row r="227" ht="12.8" customHeight="1" s="82">
      <c r="A227" s="83" t="inlineStr">
        <is>
          <t>00000_322110</t>
        </is>
      </c>
      <c r="B227" s="83" t="n">
        <v>322110</v>
      </c>
      <c r="C227" s="83" t="n">
        <v>6368</v>
      </c>
      <c r="D227" s="83" t="n">
        <v>621590</v>
      </c>
      <c r="E227" s="83" t="n">
        <v>601262</v>
      </c>
      <c r="F227" s="83" t="n">
        <v>554141</v>
      </c>
      <c r="G227" s="83" t="n">
        <v>38425</v>
      </c>
      <c r="H227" s="83" t="n">
        <v>1193828</v>
      </c>
    </row>
    <row r="228" ht="12.8" customHeight="1" s="82">
      <c r="A228" s="83" t="inlineStr">
        <is>
          <t>00000_322120</t>
        </is>
      </c>
      <c r="B228" s="83" t="n">
        <v>322120</v>
      </c>
      <c r="C228" s="83" t="n">
        <v>60261</v>
      </c>
      <c r="D228" s="83" t="n">
        <v>5881845</v>
      </c>
      <c r="E228" s="83" t="n">
        <v>5689491</v>
      </c>
      <c r="F228" s="83" t="n">
        <v>5243608</v>
      </c>
      <c r="G228" s="83" t="n">
        <v>363601</v>
      </c>
      <c r="H228" s="83" t="n">
        <v>11296700</v>
      </c>
    </row>
    <row r="229" ht="12.8" customHeight="1" s="82">
      <c r="A229" s="83" t="inlineStr">
        <is>
          <t>00000_322130</t>
        </is>
      </c>
      <c r="B229" s="83" t="n">
        <v>322130</v>
      </c>
      <c r="C229" s="83" t="n">
        <v>41289</v>
      </c>
      <c r="D229" s="83" t="n">
        <v>4030066</v>
      </c>
      <c r="E229" s="83" t="n">
        <v>3898271</v>
      </c>
      <c r="F229" s="83" t="n">
        <v>3592765</v>
      </c>
      <c r="G229" s="83" t="n">
        <v>249129</v>
      </c>
      <c r="H229" s="83" t="n">
        <v>7740165</v>
      </c>
    </row>
    <row r="230" ht="12.8" customHeight="1" s="82">
      <c r="A230" s="83" t="inlineStr">
        <is>
          <t>00000_322210</t>
        </is>
      </c>
      <c r="B230" s="83" t="n">
        <v>322210</v>
      </c>
      <c r="C230" s="83" t="n">
        <v>152090</v>
      </c>
      <c r="D230" s="83" t="n">
        <v>14844909</v>
      </c>
      <c r="E230" s="83" t="n">
        <v>14359437</v>
      </c>
      <c r="F230" s="83" t="n">
        <v>13234094</v>
      </c>
      <c r="G230" s="83" t="n">
        <v>917676</v>
      </c>
      <c r="H230" s="83" t="n">
        <v>28511207</v>
      </c>
    </row>
    <row r="231" ht="12.8" customHeight="1" s="82">
      <c r="A231" s="83" t="inlineStr">
        <is>
          <t>00000_322220</t>
        </is>
      </c>
      <c r="B231" s="83" t="n">
        <v>322220</v>
      </c>
      <c r="C231" s="83" t="n">
        <v>51732</v>
      </c>
      <c r="D231" s="83" t="n">
        <v>5049409</v>
      </c>
      <c r="E231" s="83" t="n">
        <v>4884278</v>
      </c>
      <c r="F231" s="83" t="n">
        <v>4501500</v>
      </c>
      <c r="G231" s="83" t="n">
        <v>312142</v>
      </c>
      <c r="H231" s="83" t="n">
        <v>9697920</v>
      </c>
    </row>
    <row r="232" ht="12.8" customHeight="1" s="82">
      <c r="A232" s="83" t="inlineStr">
        <is>
          <t>00000_322230</t>
        </is>
      </c>
      <c r="B232" s="83" t="n">
        <v>322230</v>
      </c>
      <c r="C232" s="83" t="n">
        <v>12212</v>
      </c>
      <c r="D232" s="83" t="n">
        <v>1191998</v>
      </c>
      <c r="E232" s="83" t="n">
        <v>1153016</v>
      </c>
      <c r="F232" s="83" t="n">
        <v>1062655</v>
      </c>
      <c r="G232" s="83" t="n">
        <v>73686</v>
      </c>
      <c r="H232" s="83" t="n">
        <v>2289358</v>
      </c>
    </row>
    <row r="233" ht="12.8" customHeight="1" s="82">
      <c r="A233" s="83" t="inlineStr">
        <is>
          <t>00000_322291</t>
        </is>
      </c>
      <c r="B233" s="83" t="n">
        <v>322291</v>
      </c>
      <c r="C233" s="83" t="n">
        <v>29936</v>
      </c>
      <c r="D233" s="83" t="n">
        <v>2921961</v>
      </c>
      <c r="E233" s="83" t="n">
        <v>2826405</v>
      </c>
      <c r="F233" s="83" t="n">
        <v>2604900</v>
      </c>
      <c r="G233" s="83" t="n">
        <v>180628</v>
      </c>
      <c r="H233" s="83" t="n">
        <v>5611934</v>
      </c>
    </row>
    <row r="234" ht="12.8" customHeight="1" s="82">
      <c r="A234" s="83" t="inlineStr">
        <is>
          <t>00000_322299</t>
        </is>
      </c>
      <c r="B234" s="83" t="n">
        <v>322299</v>
      </c>
      <c r="C234" s="83" t="n">
        <v>15034</v>
      </c>
      <c r="D234" s="83" t="n">
        <v>1467445</v>
      </c>
      <c r="E234" s="83" t="n">
        <v>1419456</v>
      </c>
      <c r="F234" s="83" t="n">
        <v>1308214</v>
      </c>
      <c r="G234" s="83" t="n">
        <v>90714</v>
      </c>
      <c r="H234" s="83" t="n">
        <v>2818383</v>
      </c>
    </row>
    <row r="235" ht="12.8" customHeight="1" s="82">
      <c r="A235" s="83" t="inlineStr">
        <is>
          <t>00000_323110</t>
        </is>
      </c>
      <c r="B235" s="83" t="n">
        <v>323110</v>
      </c>
      <c r="C235" s="83" t="n">
        <v>428533</v>
      </c>
      <c r="D235" s="83" t="n">
        <v>25958632</v>
      </c>
      <c r="E235" s="83" t="n">
        <v>25103168</v>
      </c>
      <c r="F235" s="83" t="n">
        <v>14326398</v>
      </c>
      <c r="G235" s="83" t="n">
        <v>894062</v>
      </c>
      <c r="H235" s="83" t="n">
        <v>40323628</v>
      </c>
    </row>
    <row r="236" ht="12.8" customHeight="1" s="82">
      <c r="A236" s="83" t="inlineStr">
        <is>
          <t>00000_323120</t>
        </is>
      </c>
      <c r="B236" s="83" t="n">
        <v>323120</v>
      </c>
      <c r="C236" s="83" t="n">
        <v>20576</v>
      </c>
      <c r="D236" s="83" t="n">
        <v>1246401</v>
      </c>
      <c r="E236" s="83" t="n">
        <v>1205326</v>
      </c>
      <c r="F236" s="83" t="n">
        <v>687880</v>
      </c>
      <c r="G236" s="83" t="n">
        <v>42928</v>
      </c>
      <c r="H236" s="83" t="n">
        <v>1936134</v>
      </c>
    </row>
    <row r="237" ht="12.8" customHeight="1" s="82">
      <c r="A237" s="83" t="inlineStr">
        <is>
          <t>00000_324110</t>
        </is>
      </c>
      <c r="B237" s="83" t="n">
        <v>324110</v>
      </c>
      <c r="C237" s="83" t="n">
        <v>78425</v>
      </c>
      <c r="D237" s="83" t="n">
        <v>36498916</v>
      </c>
      <c r="E237" s="83" t="n">
        <v>14723296</v>
      </c>
      <c r="F237" s="83" t="n">
        <v>123190967</v>
      </c>
      <c r="G237" s="83" t="n">
        <v>3435809</v>
      </c>
      <c r="H237" s="83" t="n">
        <v>141350072</v>
      </c>
    </row>
    <row r="238" ht="12.8" customHeight="1" s="82">
      <c r="A238" s="83" t="inlineStr">
        <is>
          <t>00000_324121</t>
        </is>
      </c>
      <c r="B238" s="83" t="n">
        <v>324121</v>
      </c>
      <c r="C238" s="83" t="n">
        <v>11231</v>
      </c>
      <c r="D238" s="83" t="n">
        <v>5226860</v>
      </c>
      <c r="E238" s="83" t="n">
        <v>2108463</v>
      </c>
      <c r="F238" s="83" t="n">
        <v>17641674</v>
      </c>
      <c r="G238" s="83" t="n">
        <v>492028</v>
      </c>
      <c r="H238" s="83" t="n">
        <v>20242165</v>
      </c>
    </row>
    <row r="239" ht="12.8" customHeight="1" s="82">
      <c r="A239" s="83" t="inlineStr">
        <is>
          <t>00000_324122</t>
        </is>
      </c>
      <c r="B239" s="83" t="n">
        <v>324122</v>
      </c>
      <c r="C239" s="83" t="n">
        <v>10003</v>
      </c>
      <c r="D239" s="83" t="n">
        <v>4655614</v>
      </c>
      <c r="E239" s="83" t="n">
        <v>1878028</v>
      </c>
      <c r="F239" s="83" t="n">
        <v>15713605</v>
      </c>
      <c r="G239" s="83" t="n">
        <v>438254</v>
      </c>
      <c r="H239" s="83" t="n">
        <v>18029887</v>
      </c>
    </row>
    <row r="240" ht="12.8" customHeight="1" s="82">
      <c r="A240" s="83" t="inlineStr">
        <is>
          <t>00000_324190</t>
        </is>
      </c>
      <c r="B240" s="83" t="n">
        <v>324190</v>
      </c>
      <c r="C240" s="83" t="n">
        <v>11258</v>
      </c>
      <c r="D240" s="83" t="n">
        <v>5239588</v>
      </c>
      <c r="E240" s="83" t="n">
        <v>2113597</v>
      </c>
      <c r="F240" s="83" t="n">
        <v>17684631</v>
      </c>
      <c r="G240" s="83" t="n">
        <v>493226</v>
      </c>
      <c r="H240" s="83" t="n">
        <v>20291454</v>
      </c>
    </row>
    <row r="241" ht="12.8" customHeight="1" s="82">
      <c r="A241" s="83" t="inlineStr">
        <is>
          <t>00000_325110</t>
        </is>
      </c>
      <c r="B241" s="83" t="n">
        <v>325110</v>
      </c>
      <c r="C241" s="83" t="n">
        <v>37308</v>
      </c>
      <c r="D241" s="83" t="n">
        <v>5645386</v>
      </c>
      <c r="E241" s="83" t="n">
        <v>5045828</v>
      </c>
      <c r="F241" s="83" t="n">
        <v>14100765</v>
      </c>
      <c r="G241" s="83" t="n">
        <v>850567</v>
      </c>
      <c r="H241" s="83" t="n">
        <v>19997161</v>
      </c>
    </row>
    <row r="242" ht="12.8" customHeight="1" s="82">
      <c r="A242" s="83" t="inlineStr">
        <is>
          <t>00000_325120</t>
        </is>
      </c>
      <c r="B242" s="83" t="n">
        <v>325120</v>
      </c>
      <c r="C242" s="83" t="n">
        <v>23048</v>
      </c>
      <c r="D242" s="83" t="n">
        <v>3487689</v>
      </c>
      <c r="E242" s="83" t="n">
        <v>3117286</v>
      </c>
      <c r="F242" s="83" t="n">
        <v>8711378</v>
      </c>
      <c r="G242" s="83" t="n">
        <v>525476</v>
      </c>
      <c r="H242" s="83" t="n">
        <v>12354140</v>
      </c>
    </row>
    <row r="243" ht="12.8" customHeight="1" s="82">
      <c r="A243" s="83" t="inlineStr">
        <is>
          <t>00000_325130</t>
        </is>
      </c>
      <c r="B243" s="83" t="n">
        <v>325130</v>
      </c>
      <c r="C243" s="83" t="n">
        <v>9631</v>
      </c>
      <c r="D243" s="83" t="n">
        <v>1457358</v>
      </c>
      <c r="E243" s="83" t="n">
        <v>1302582</v>
      </c>
      <c r="F243" s="83" t="n">
        <v>3640118</v>
      </c>
      <c r="G243" s="83" t="n">
        <v>219574</v>
      </c>
      <c r="H243" s="83" t="n">
        <v>5162274</v>
      </c>
    </row>
    <row r="244" ht="12.8" customHeight="1" s="82">
      <c r="A244" s="83" t="inlineStr">
        <is>
          <t>00000_325180</t>
        </is>
      </c>
      <c r="B244" s="83" t="n">
        <v>325180</v>
      </c>
      <c r="C244" s="83" t="n">
        <v>43255</v>
      </c>
      <c r="D244" s="83" t="n">
        <v>6545344</v>
      </c>
      <c r="E244" s="83" t="n">
        <v>5850208</v>
      </c>
      <c r="F244" s="83" t="n">
        <v>16348637</v>
      </c>
      <c r="G244" s="83" t="n">
        <v>986161</v>
      </c>
      <c r="H244" s="83" t="n">
        <v>23185005</v>
      </c>
    </row>
    <row r="245" ht="12.8" customHeight="1" s="82">
      <c r="A245" s="83" t="inlineStr">
        <is>
          <t>00000_325190</t>
        </is>
      </c>
      <c r="B245" s="83" t="n">
        <v>325190</v>
      </c>
      <c r="C245" s="83" t="n">
        <v>56114</v>
      </c>
      <c r="D245" s="83" t="n">
        <v>8491206</v>
      </c>
      <c r="E245" s="83" t="n">
        <v>7589414</v>
      </c>
      <c r="F245" s="83" t="n">
        <v>21208915</v>
      </c>
      <c r="G245" s="83" t="n">
        <v>1279336</v>
      </c>
      <c r="H245" s="83" t="n">
        <v>30077665</v>
      </c>
    </row>
    <row r="246" ht="12.8" customHeight="1" s="82">
      <c r="A246" s="83" t="inlineStr">
        <is>
          <t>00000_325211</t>
        </is>
      </c>
      <c r="B246" s="83" t="n">
        <v>325211</v>
      </c>
      <c r="C246" s="83" t="n">
        <v>64587</v>
      </c>
      <c r="D246" s="83" t="n">
        <v>9773281</v>
      </c>
      <c r="E246" s="83" t="n">
        <v>8735328</v>
      </c>
      <c r="F246" s="83" t="n">
        <v>24411218</v>
      </c>
      <c r="G246" s="83" t="n">
        <v>1472501</v>
      </c>
      <c r="H246" s="83" t="n">
        <v>34619047</v>
      </c>
    </row>
    <row r="247" ht="12.8" customHeight="1" s="82">
      <c r="A247" s="83" t="inlineStr">
        <is>
          <t>00000_3252A0</t>
        </is>
      </c>
      <c r="B247" s="83" t="inlineStr">
        <is>
          <t>3252A0</t>
        </is>
      </c>
      <c r="C247" s="83" t="n">
        <v>33356</v>
      </c>
      <c r="D247" s="83" t="n">
        <v>5047422</v>
      </c>
      <c r="E247" s="83" t="n">
        <v>4511370</v>
      </c>
      <c r="F247" s="83" t="n">
        <v>12607202</v>
      </c>
      <c r="G247" s="83" t="n">
        <v>760475</v>
      </c>
      <c r="H247" s="83" t="n">
        <v>17879047</v>
      </c>
    </row>
    <row r="248" ht="12.8" customHeight="1" s="82">
      <c r="A248" s="83" t="inlineStr">
        <is>
          <t>00000_325411</t>
        </is>
      </c>
      <c r="B248" s="83" t="n">
        <v>325411</v>
      </c>
      <c r="C248" s="83" t="n">
        <v>46492</v>
      </c>
      <c r="D248" s="83" t="n">
        <v>7035184</v>
      </c>
      <c r="E248" s="83" t="n">
        <v>6288026</v>
      </c>
      <c r="F248" s="83" t="n">
        <v>17572135</v>
      </c>
      <c r="G248" s="83" t="n">
        <v>1059963</v>
      </c>
      <c r="H248" s="83" t="n">
        <v>24920124</v>
      </c>
    </row>
    <row r="249" ht="12.8" customHeight="1" s="82">
      <c r="A249" s="83" t="inlineStr">
        <is>
          <t>00000_325412</t>
        </is>
      </c>
      <c r="B249" s="83" t="n">
        <v>325412</v>
      </c>
      <c r="C249" s="83" t="n">
        <v>291510</v>
      </c>
      <c r="D249" s="83" t="n">
        <v>44111192</v>
      </c>
      <c r="E249" s="83" t="n">
        <v>39426446</v>
      </c>
      <c r="F249" s="83" t="n">
        <v>110178756</v>
      </c>
      <c r="G249" s="83" t="n">
        <v>6646055</v>
      </c>
      <c r="H249" s="83" t="n">
        <v>156251257</v>
      </c>
    </row>
    <row r="250" ht="12.8" customHeight="1" s="82">
      <c r="A250" s="83" t="inlineStr">
        <is>
          <t>00000_325413</t>
        </is>
      </c>
      <c r="B250" s="83" t="n">
        <v>325413</v>
      </c>
      <c r="C250" s="83" t="n">
        <v>35705</v>
      </c>
      <c r="D250" s="83" t="n">
        <v>5402913</v>
      </c>
      <c r="E250" s="83" t="n">
        <v>4829107</v>
      </c>
      <c r="F250" s="83" t="n">
        <v>13495129</v>
      </c>
      <c r="G250" s="83" t="n">
        <v>814035</v>
      </c>
      <c r="H250" s="83" t="n">
        <v>19138271</v>
      </c>
    </row>
    <row r="251" ht="12.8" customHeight="1" s="82">
      <c r="A251" s="83" t="inlineStr">
        <is>
          <t>00000_325414</t>
        </is>
      </c>
      <c r="B251" s="83" t="n">
        <v>325414</v>
      </c>
      <c r="C251" s="83" t="n">
        <v>49618</v>
      </c>
      <c r="D251" s="83" t="n">
        <v>7508157</v>
      </c>
      <c r="E251" s="83" t="n">
        <v>6710767</v>
      </c>
      <c r="F251" s="83" t="n">
        <v>18753503</v>
      </c>
      <c r="G251" s="83" t="n">
        <v>1131224</v>
      </c>
      <c r="H251" s="83" t="n">
        <v>26595494</v>
      </c>
    </row>
    <row r="252" ht="12.8" customHeight="1" s="82">
      <c r="A252" s="83" t="inlineStr">
        <is>
          <t>00000_325310</t>
        </is>
      </c>
      <c r="B252" s="83" t="n">
        <v>325310</v>
      </c>
      <c r="C252" s="83" t="n">
        <v>22243</v>
      </c>
      <c r="D252" s="83" t="n">
        <v>3365773</v>
      </c>
      <c r="E252" s="83" t="n">
        <v>3008318</v>
      </c>
      <c r="F252" s="83" t="n">
        <v>8406862</v>
      </c>
      <c r="G252" s="83" t="n">
        <v>507107</v>
      </c>
      <c r="H252" s="83" t="n">
        <v>11922287</v>
      </c>
    </row>
    <row r="253" ht="12.8" customHeight="1" s="82">
      <c r="A253" s="83" t="inlineStr">
        <is>
          <t>00000_325320</t>
        </is>
      </c>
      <c r="B253" s="83" t="n">
        <v>325320</v>
      </c>
      <c r="C253" s="83" t="n">
        <v>13883</v>
      </c>
      <c r="D253" s="83" t="n">
        <v>2100831</v>
      </c>
      <c r="E253" s="83" t="n">
        <v>1877716</v>
      </c>
      <c r="F253" s="83" t="n">
        <v>5247353</v>
      </c>
      <c r="G253" s="83" t="n">
        <v>316524</v>
      </c>
      <c r="H253" s="83" t="n">
        <v>7441593</v>
      </c>
    </row>
    <row r="254" ht="12.8" customHeight="1" s="82">
      <c r="A254" s="83" t="inlineStr">
        <is>
          <t>00000_325510</t>
        </is>
      </c>
      <c r="B254" s="83" t="n">
        <v>325510</v>
      </c>
      <c r="C254" s="83" t="n">
        <v>34068</v>
      </c>
      <c r="D254" s="83" t="n">
        <v>5155184</v>
      </c>
      <c r="E254" s="83" t="n">
        <v>4607687</v>
      </c>
      <c r="F254" s="83" t="n">
        <v>12876364</v>
      </c>
      <c r="G254" s="83" t="n">
        <v>776711</v>
      </c>
      <c r="H254" s="83" t="n">
        <v>18260762</v>
      </c>
    </row>
    <row r="255" ht="12.8" customHeight="1" s="82">
      <c r="A255" s="83" t="inlineStr">
        <is>
          <t>00000_325520</t>
        </is>
      </c>
      <c r="B255" s="83" t="n">
        <v>325520</v>
      </c>
      <c r="C255" s="83" t="n">
        <v>19943</v>
      </c>
      <c r="D255" s="83" t="n">
        <v>3017734</v>
      </c>
      <c r="E255" s="83" t="n">
        <v>2697241</v>
      </c>
      <c r="F255" s="83" t="n">
        <v>7537546</v>
      </c>
      <c r="G255" s="83" t="n">
        <v>454670</v>
      </c>
      <c r="H255" s="83" t="n">
        <v>10689457</v>
      </c>
    </row>
    <row r="256" ht="12.8" customHeight="1" s="82">
      <c r="A256" s="83" t="inlineStr">
        <is>
          <t>00000_325610</t>
        </is>
      </c>
      <c r="B256" s="83" t="n">
        <v>325610</v>
      </c>
      <c r="C256" s="83" t="n">
        <v>49530</v>
      </c>
      <c r="D256" s="83" t="n">
        <v>7494934</v>
      </c>
      <c r="E256" s="83" t="n">
        <v>6698949</v>
      </c>
      <c r="F256" s="83" t="n">
        <v>18720476</v>
      </c>
      <c r="G256" s="83" t="n">
        <v>1129231</v>
      </c>
      <c r="H256" s="83" t="n">
        <v>26548656</v>
      </c>
    </row>
    <row r="257" ht="12.8" customHeight="1" s="82">
      <c r="A257" s="83" t="inlineStr">
        <is>
          <t>00000_325620</t>
        </is>
      </c>
      <c r="B257" s="83" t="n">
        <v>325620</v>
      </c>
      <c r="C257" s="83" t="n">
        <v>39465</v>
      </c>
      <c r="D257" s="83" t="n">
        <v>5971902</v>
      </c>
      <c r="E257" s="83" t="n">
        <v>5337667</v>
      </c>
      <c r="F257" s="83" t="n">
        <v>14916321</v>
      </c>
      <c r="G257" s="83" t="n">
        <v>899762</v>
      </c>
      <c r="H257" s="83" t="n">
        <v>21153751</v>
      </c>
    </row>
    <row r="258" ht="12.8" customHeight="1" s="82">
      <c r="A258" s="83" t="inlineStr">
        <is>
          <t>00000_325910</t>
        </is>
      </c>
      <c r="B258" s="83" t="n">
        <v>325910</v>
      </c>
      <c r="C258" s="83" t="n">
        <v>5520</v>
      </c>
      <c r="D258" s="83" t="n">
        <v>835284</v>
      </c>
      <c r="E258" s="83" t="n">
        <v>746574</v>
      </c>
      <c r="F258" s="83" t="n">
        <v>2086331</v>
      </c>
      <c r="G258" s="83" t="n">
        <v>125849</v>
      </c>
      <c r="H258" s="83" t="n">
        <v>2958753</v>
      </c>
    </row>
    <row r="259" ht="12.8" customHeight="1" s="82">
      <c r="A259" s="83" t="inlineStr">
        <is>
          <t>00000_3259A0</t>
        </is>
      </c>
      <c r="B259" s="83" t="inlineStr">
        <is>
          <t>3259A0</t>
        </is>
      </c>
      <c r="C259" s="83" t="n">
        <v>60140</v>
      </c>
      <c r="D259" s="83" t="n">
        <v>9100443</v>
      </c>
      <c r="E259" s="83" t="n">
        <v>8133948</v>
      </c>
      <c r="F259" s="83" t="n">
        <v>22730637</v>
      </c>
      <c r="G259" s="83" t="n">
        <v>1371127</v>
      </c>
      <c r="H259" s="83" t="n">
        <v>32235711</v>
      </c>
    </row>
    <row r="260" ht="12.8" customHeight="1" s="82">
      <c r="A260" s="83" t="inlineStr">
        <is>
          <t>00000_326110</t>
        </is>
      </c>
      <c r="B260" s="83" t="n">
        <v>326110</v>
      </c>
      <c r="C260" s="83" t="n">
        <v>108264</v>
      </c>
      <c r="D260" s="83" t="n">
        <v>8620821</v>
      </c>
      <c r="E260" s="83" t="n">
        <v>8369956</v>
      </c>
      <c r="F260" s="83" t="n">
        <v>4149816</v>
      </c>
      <c r="G260" s="83" t="n">
        <v>345735</v>
      </c>
      <c r="H260" s="83" t="n">
        <v>12865507</v>
      </c>
    </row>
    <row r="261" ht="12.8" customHeight="1" s="82">
      <c r="A261" s="83" t="inlineStr">
        <is>
          <t>00000_326120</t>
        </is>
      </c>
      <c r="B261" s="83" t="n">
        <v>326120</v>
      </c>
      <c r="C261" s="83" t="n">
        <v>58478</v>
      </c>
      <c r="D261" s="83" t="n">
        <v>4656488</v>
      </c>
      <c r="E261" s="83" t="n">
        <v>4520985</v>
      </c>
      <c r="F261" s="83" t="n">
        <v>2241500</v>
      </c>
      <c r="G261" s="83" t="n">
        <v>186747</v>
      </c>
      <c r="H261" s="83" t="n">
        <v>6949232</v>
      </c>
    </row>
    <row r="262" ht="12.8" customHeight="1" s="82">
      <c r="A262" s="83" t="inlineStr">
        <is>
          <t>00000_326130</t>
        </is>
      </c>
      <c r="B262" s="83" t="n">
        <v>326130</v>
      </c>
      <c r="C262" s="83" t="n">
        <v>21290</v>
      </c>
      <c r="D262" s="83" t="n">
        <v>1695276</v>
      </c>
      <c r="E262" s="83" t="n">
        <v>1645943</v>
      </c>
      <c r="F262" s="83" t="n">
        <v>816057</v>
      </c>
      <c r="G262" s="83" t="n">
        <v>67988</v>
      </c>
      <c r="H262" s="83" t="n">
        <v>2529989</v>
      </c>
    </row>
    <row r="263" ht="12.8" customHeight="1" s="82">
      <c r="A263" s="83" t="inlineStr">
        <is>
          <t>00000_326140</t>
        </is>
      </c>
      <c r="B263" s="83" t="n">
        <v>326140</v>
      </c>
      <c r="C263" s="83" t="n">
        <v>30431</v>
      </c>
      <c r="D263" s="83" t="n">
        <v>2423158</v>
      </c>
      <c r="E263" s="83" t="n">
        <v>2352644</v>
      </c>
      <c r="F263" s="83" t="n">
        <v>1166439</v>
      </c>
      <c r="G263" s="83" t="n">
        <v>97180</v>
      </c>
      <c r="H263" s="83" t="n">
        <v>3616263</v>
      </c>
    </row>
    <row r="264" ht="12.8" customHeight="1" s="82">
      <c r="A264" s="83" t="inlineStr">
        <is>
          <t>00000_326150</t>
        </is>
      </c>
      <c r="B264" s="83" t="n">
        <v>326150</v>
      </c>
      <c r="C264" s="83" t="n">
        <v>35136</v>
      </c>
      <c r="D264" s="83" t="n">
        <v>2797823</v>
      </c>
      <c r="E264" s="83" t="n">
        <v>2716406</v>
      </c>
      <c r="F264" s="83" t="n">
        <v>1346792</v>
      </c>
      <c r="G264" s="83" t="n">
        <v>112206</v>
      </c>
      <c r="H264" s="83" t="n">
        <v>4175403</v>
      </c>
    </row>
    <row r="265" ht="12.8" customHeight="1" s="82">
      <c r="A265" s="83" t="inlineStr">
        <is>
          <t>00000_326160</t>
        </is>
      </c>
      <c r="B265" s="83" t="n">
        <v>326160</v>
      </c>
      <c r="C265" s="83" t="n">
        <v>36607</v>
      </c>
      <c r="D265" s="83" t="n">
        <v>2914931</v>
      </c>
      <c r="E265" s="83" t="n">
        <v>2830107</v>
      </c>
      <c r="F265" s="83" t="n">
        <v>1403164</v>
      </c>
      <c r="G265" s="83" t="n">
        <v>116902</v>
      </c>
      <c r="H265" s="83" t="n">
        <v>4350173</v>
      </c>
    </row>
    <row r="266" ht="12.8" customHeight="1" s="82">
      <c r="A266" s="83" t="inlineStr">
        <is>
          <t>00000_326190</t>
        </is>
      </c>
      <c r="B266" s="83" t="n">
        <v>326190</v>
      </c>
      <c r="C266" s="83" t="n">
        <v>327689</v>
      </c>
      <c r="D266" s="83" t="n">
        <v>26093045</v>
      </c>
      <c r="E266" s="83" t="n">
        <v>25333738</v>
      </c>
      <c r="F266" s="83" t="n">
        <v>12560444</v>
      </c>
      <c r="G266" s="83" t="n">
        <v>1046453</v>
      </c>
      <c r="H266" s="83" t="n">
        <v>38940636</v>
      </c>
    </row>
    <row r="267" ht="12.8" customHeight="1" s="82">
      <c r="A267" s="83" t="inlineStr">
        <is>
          <t>00000_326210</t>
        </is>
      </c>
      <c r="B267" s="83" t="n">
        <v>326210</v>
      </c>
      <c r="C267" s="83" t="n">
        <v>66257</v>
      </c>
      <c r="D267" s="83" t="n">
        <v>5275857</v>
      </c>
      <c r="E267" s="83" t="n">
        <v>5122329</v>
      </c>
      <c r="F267" s="83" t="n">
        <v>2539646</v>
      </c>
      <c r="G267" s="83" t="n">
        <v>211587</v>
      </c>
      <c r="H267" s="83" t="n">
        <v>7873562</v>
      </c>
    </row>
    <row r="268" ht="12.8" customHeight="1" s="82">
      <c r="A268" s="83" t="inlineStr">
        <is>
          <t>00000_326220</t>
        </is>
      </c>
      <c r="B268" s="83" t="n">
        <v>326220</v>
      </c>
      <c r="C268" s="83" t="n">
        <v>24136</v>
      </c>
      <c r="D268" s="83" t="n">
        <v>1921908</v>
      </c>
      <c r="E268" s="83" t="n">
        <v>1865981</v>
      </c>
      <c r="F268" s="83" t="n">
        <v>925151</v>
      </c>
      <c r="G268" s="83" t="n">
        <v>77078</v>
      </c>
      <c r="H268" s="83" t="n">
        <v>2868210</v>
      </c>
    </row>
    <row r="269" ht="12.8" customHeight="1" s="82">
      <c r="A269" s="83" t="inlineStr">
        <is>
          <t>00000_326290</t>
        </is>
      </c>
      <c r="B269" s="83" t="n">
        <v>326290</v>
      </c>
      <c r="C269" s="83" t="n">
        <v>52636</v>
      </c>
      <c r="D269" s="83" t="n">
        <v>4191297</v>
      </c>
      <c r="E269" s="83" t="n">
        <v>4069331</v>
      </c>
      <c r="F269" s="83" t="n">
        <v>2017571</v>
      </c>
      <c r="G269" s="83" t="n">
        <v>168091</v>
      </c>
      <c r="H269" s="83" t="n">
        <v>6254992</v>
      </c>
    </row>
    <row r="270" ht="12.8" customHeight="1" s="82">
      <c r="A270" s="83" t="inlineStr">
        <is>
          <t>00000_423100</t>
        </is>
      </c>
      <c r="B270" s="83" t="n">
        <v>423100</v>
      </c>
      <c r="C270" s="83" t="n">
        <v>353597</v>
      </c>
      <c r="D270" s="83" t="n">
        <v>37855459</v>
      </c>
      <c r="E270" s="83" t="n">
        <v>34866188</v>
      </c>
      <c r="F270" s="83" t="n">
        <v>29044284</v>
      </c>
      <c r="G270" s="83" t="n">
        <v>17029411</v>
      </c>
      <c r="H270" s="83" t="n">
        <v>80939883</v>
      </c>
    </row>
    <row r="271" ht="12.8" customHeight="1" s="82">
      <c r="A271" s="83" t="inlineStr">
        <is>
          <t>00000_423400</t>
        </is>
      </c>
      <c r="B271" s="83" t="n">
        <v>423400</v>
      </c>
      <c r="C271" s="83" t="n">
        <v>1021732</v>
      </c>
      <c r="D271" s="83" t="n">
        <v>109384938</v>
      </c>
      <c r="E271" s="83" t="n">
        <v>100747315</v>
      </c>
      <c r="F271" s="83" t="n">
        <v>83924679</v>
      </c>
      <c r="G271" s="83" t="n">
        <v>49207197</v>
      </c>
      <c r="H271" s="83" t="n">
        <v>233879190</v>
      </c>
    </row>
    <row r="272" ht="12.8" customHeight="1" s="82">
      <c r="A272" s="83" t="inlineStr">
        <is>
          <t>00000_423600</t>
        </is>
      </c>
      <c r="B272" s="83" t="n">
        <v>423600</v>
      </c>
      <c r="C272" s="83" t="n">
        <v>482451</v>
      </c>
      <c r="D272" s="83" t="n">
        <v>51650414</v>
      </c>
      <c r="E272" s="83" t="n">
        <v>47571819</v>
      </c>
      <c r="F272" s="83" t="n">
        <v>39628348</v>
      </c>
      <c r="G272" s="83" t="n">
        <v>23235119</v>
      </c>
      <c r="H272" s="83" t="n">
        <v>110435287</v>
      </c>
    </row>
    <row r="273" ht="12.8" customHeight="1" s="82">
      <c r="A273" s="83" t="inlineStr">
        <is>
          <t>00000_423800</t>
        </is>
      </c>
      <c r="B273" s="83" t="n">
        <v>423800</v>
      </c>
      <c r="C273" s="83" t="n">
        <v>847206</v>
      </c>
      <c r="D273" s="83" t="n">
        <v>90700472</v>
      </c>
      <c r="E273" s="83" t="n">
        <v>83538275</v>
      </c>
      <c r="F273" s="83" t="n">
        <v>69589179</v>
      </c>
      <c r="G273" s="83" t="n">
        <v>40801925</v>
      </c>
      <c r="H273" s="83" t="n">
        <v>193929378</v>
      </c>
    </row>
    <row r="274" ht="12.8" customHeight="1" s="82">
      <c r="A274" s="83" t="inlineStr">
        <is>
          <t>00000_423A00</t>
        </is>
      </c>
      <c r="B274" s="83" t="inlineStr">
        <is>
          <t>423A00</t>
        </is>
      </c>
      <c r="C274" s="83" t="n">
        <v>1208344</v>
      </c>
      <c r="D274" s="83" t="n">
        <v>129363244</v>
      </c>
      <c r="E274" s="83" t="n">
        <v>119148026</v>
      </c>
      <c r="F274" s="83" t="n">
        <v>99252867</v>
      </c>
      <c r="G274" s="83" t="n">
        <v>58194508</v>
      </c>
      <c r="H274" s="83" t="n">
        <v>276595401</v>
      </c>
    </row>
    <row r="275" ht="12.8" customHeight="1" s="82">
      <c r="A275" s="83" t="inlineStr">
        <is>
          <t>00000_424200</t>
        </is>
      </c>
      <c r="B275" s="83" t="n">
        <v>424200</v>
      </c>
      <c r="C275" s="83" t="n">
        <v>371684</v>
      </c>
      <c r="D275" s="83" t="n">
        <v>39791831</v>
      </c>
      <c r="E275" s="83" t="n">
        <v>36649654</v>
      </c>
      <c r="F275" s="83" t="n">
        <v>30529949</v>
      </c>
      <c r="G275" s="83" t="n">
        <v>17900494</v>
      </c>
      <c r="H275" s="83" t="n">
        <v>85080097</v>
      </c>
    </row>
    <row r="276" ht="12.8" customHeight="1" s="82">
      <c r="A276" s="83" t="inlineStr">
        <is>
          <t>00000_424400</t>
        </is>
      </c>
      <c r="B276" s="83" t="n">
        <v>424400</v>
      </c>
      <c r="C276" s="83" t="n">
        <v>744982</v>
      </c>
      <c r="D276" s="83" t="n">
        <v>79756517</v>
      </c>
      <c r="E276" s="83" t="n">
        <v>73458513</v>
      </c>
      <c r="F276" s="83" t="n">
        <v>61192520</v>
      </c>
      <c r="G276" s="83" t="n">
        <v>35878748</v>
      </c>
      <c r="H276" s="83" t="n">
        <v>170529781</v>
      </c>
    </row>
    <row r="277" ht="12.8" customHeight="1" s="82">
      <c r="A277" s="83" t="inlineStr">
        <is>
          <t>00000_424700</t>
        </is>
      </c>
      <c r="B277" s="83" t="n">
        <v>424700</v>
      </c>
      <c r="C277" s="83" t="n">
        <v>140147</v>
      </c>
      <c r="D277" s="83" t="n">
        <v>15003893</v>
      </c>
      <c r="E277" s="83" t="n">
        <v>13819105</v>
      </c>
      <c r="F277" s="83" t="n">
        <v>11511611</v>
      </c>
      <c r="G277" s="83" t="n">
        <v>6749554</v>
      </c>
      <c r="H277" s="83" t="n">
        <v>32080270</v>
      </c>
    </row>
    <row r="278" ht="12.8" customHeight="1" s="82">
      <c r="A278" s="83" t="inlineStr">
        <is>
          <t>00000_424A00</t>
        </is>
      </c>
      <c r="B278" s="83" t="inlineStr">
        <is>
          <t>424A00</t>
        </is>
      </c>
      <c r="C278" s="83" t="n">
        <v>1048029</v>
      </c>
      <c r="D278" s="83" t="n">
        <v>112200162</v>
      </c>
      <c r="E278" s="83" t="n">
        <v>103340233</v>
      </c>
      <c r="F278" s="83" t="n">
        <v>86084635</v>
      </c>
      <c r="G278" s="83" t="n">
        <v>50473635</v>
      </c>
      <c r="H278" s="83" t="n">
        <v>239898503</v>
      </c>
    </row>
    <row r="279" ht="12.8" customHeight="1" s="82">
      <c r="A279" s="83" t="inlineStr">
        <is>
          <t>00000_425000</t>
        </is>
      </c>
      <c r="B279" s="83" t="n">
        <v>425000</v>
      </c>
      <c r="C279" s="83" t="n">
        <v>539359</v>
      </c>
      <c r="D279" s="83" t="n">
        <v>57742833</v>
      </c>
      <c r="E279" s="83" t="n">
        <v>53183148</v>
      </c>
      <c r="F279" s="83" t="n">
        <v>44302706</v>
      </c>
      <c r="G279" s="83" t="n">
        <v>25975815</v>
      </c>
      <c r="H279" s="83" t="n">
        <v>123461669</v>
      </c>
    </row>
    <row r="280" ht="12.8" customHeight="1" s="82">
      <c r="A280" s="83" t="inlineStr">
        <is>
          <t>00000_4200ID</t>
        </is>
      </c>
      <c r="B280" s="83" t="inlineStr">
        <is>
          <t>4200ID</t>
        </is>
      </c>
      <c r="C280" s="83" t="n">
        <v>0</v>
      </c>
      <c r="D280" s="83" t="n">
        <v>0</v>
      </c>
      <c r="E280" s="83" t="n">
        <v>0</v>
      </c>
      <c r="F280" s="83" t="n">
        <v>0</v>
      </c>
      <c r="G280" s="83" t="n">
        <v>0</v>
      </c>
      <c r="H280" s="83" t="n">
        <v>0</v>
      </c>
    </row>
    <row r="281" ht="12.8" customHeight="1" s="82">
      <c r="A281" s="83" t="inlineStr">
        <is>
          <t>00000_441000</t>
        </is>
      </c>
      <c r="B281" s="83" t="n">
        <v>441000</v>
      </c>
      <c r="C281" s="83" t="n">
        <v>2192441</v>
      </c>
      <c r="D281" s="83" t="n">
        <v>183207074</v>
      </c>
      <c r="E281" s="83" t="n">
        <v>162072895</v>
      </c>
      <c r="F281" s="83" t="n">
        <v>109737967</v>
      </c>
      <c r="G281" s="83" t="n">
        <v>70232189</v>
      </c>
      <c r="H281" s="83" t="n">
        <v>342043051</v>
      </c>
    </row>
    <row r="282" ht="12.8" customHeight="1" s="82">
      <c r="A282" s="83" t="inlineStr">
        <is>
          <t>00000_445000</t>
        </is>
      </c>
      <c r="B282" s="83" t="n">
        <v>445000</v>
      </c>
      <c r="C282" s="83" t="n">
        <v>3337850</v>
      </c>
      <c r="D282" s="83" t="n">
        <v>134067142</v>
      </c>
      <c r="E282" s="83" t="n">
        <v>121454169</v>
      </c>
      <c r="F282" s="83" t="n">
        <v>82235426</v>
      </c>
      <c r="G282" s="83" t="n">
        <v>52630590</v>
      </c>
      <c r="H282" s="83" t="n">
        <v>256320185</v>
      </c>
    </row>
    <row r="283" ht="12.8" customHeight="1" s="82">
      <c r="A283" s="83" t="inlineStr">
        <is>
          <t>00000_452000</t>
        </is>
      </c>
      <c r="B283" s="83" t="n">
        <v>452000</v>
      </c>
      <c r="C283" s="83" t="n">
        <v>3146652</v>
      </c>
      <c r="D283" s="83" t="n">
        <v>116024601</v>
      </c>
      <c r="E283" s="83" t="n">
        <v>115270787</v>
      </c>
      <c r="F283" s="83" t="n">
        <v>78048718</v>
      </c>
      <c r="G283" s="83" t="n">
        <v>49951102</v>
      </c>
      <c r="H283" s="83" t="n">
        <v>243270607</v>
      </c>
    </row>
    <row r="284" ht="12.8" customHeight="1" s="82">
      <c r="A284" s="83" t="inlineStr">
        <is>
          <t>00000_444000</t>
        </is>
      </c>
      <c r="B284" s="83" t="n">
        <v>444000</v>
      </c>
      <c r="C284" s="83" t="n">
        <v>1488027</v>
      </c>
      <c r="D284" s="83" t="n">
        <v>72311968</v>
      </c>
      <c r="E284" s="83" t="n">
        <v>69204577</v>
      </c>
      <c r="F284" s="83" t="n">
        <v>46857740</v>
      </c>
      <c r="G284" s="83" t="n">
        <v>29988907</v>
      </c>
      <c r="H284" s="83" t="n">
        <v>146051223</v>
      </c>
    </row>
    <row r="285" ht="12.8" customHeight="1" s="82">
      <c r="A285" s="83" t="inlineStr">
        <is>
          <t>00000_446000</t>
        </is>
      </c>
      <c r="B285" s="83" t="n">
        <v>446000</v>
      </c>
      <c r="C285" s="83" t="n">
        <v>1282559</v>
      </c>
      <c r="D285" s="83" t="n">
        <v>58611504</v>
      </c>
      <c r="E285" s="83" t="n">
        <v>55267050</v>
      </c>
      <c r="F285" s="83" t="n">
        <v>37420777</v>
      </c>
      <c r="G285" s="83" t="n">
        <v>23949260</v>
      </c>
      <c r="H285" s="83" t="n">
        <v>116637087</v>
      </c>
    </row>
    <row r="286" ht="12.8" customHeight="1" s="82">
      <c r="A286" s="83" t="inlineStr">
        <is>
          <t>00000_447000</t>
        </is>
      </c>
      <c r="B286" s="83" t="n">
        <v>447000</v>
      </c>
      <c r="C286" s="83" t="n">
        <v>997923</v>
      </c>
      <c r="D286" s="83" t="n">
        <v>45932389</v>
      </c>
      <c r="E286" s="83" t="n">
        <v>34504660</v>
      </c>
      <c r="F286" s="83" t="n">
        <v>23362767</v>
      </c>
      <c r="G286" s="83" t="n">
        <v>14952147</v>
      </c>
      <c r="H286" s="83" t="n">
        <v>72819575</v>
      </c>
    </row>
    <row r="287" ht="12.8" customHeight="1" s="82">
      <c r="A287" s="83" t="inlineStr">
        <is>
          <t>00000_448000</t>
        </is>
      </c>
      <c r="B287" s="83" t="n">
        <v>448000</v>
      </c>
      <c r="C287" s="83" t="n">
        <v>1349546</v>
      </c>
      <c r="D287" s="83" t="n">
        <v>44258169</v>
      </c>
      <c r="E287" s="83" t="n">
        <v>39963719</v>
      </c>
      <c r="F287" s="83" t="n">
        <v>27059042</v>
      </c>
      <c r="G287" s="83" t="n">
        <v>17317760</v>
      </c>
      <c r="H287" s="83" t="n">
        <v>84340520</v>
      </c>
    </row>
    <row r="288" ht="12.8" customHeight="1" s="82">
      <c r="A288" s="83" t="inlineStr">
        <is>
          <t>00000_454000</t>
        </is>
      </c>
      <c r="B288" s="83" t="n">
        <v>454000</v>
      </c>
      <c r="C288" s="83" t="n">
        <v>2302810</v>
      </c>
      <c r="D288" s="83" t="n">
        <v>74460057</v>
      </c>
      <c r="E288" s="83" t="n">
        <v>64920130</v>
      </c>
      <c r="F288" s="83" t="n">
        <v>43956783</v>
      </c>
      <c r="G288" s="83" t="n">
        <v>28132297</v>
      </c>
      <c r="H288" s="83" t="n">
        <v>137009210</v>
      </c>
    </row>
    <row r="289" ht="12.8" customHeight="1" s="82">
      <c r="A289" s="83" t="inlineStr">
        <is>
          <t>00000_4B0000</t>
        </is>
      </c>
      <c r="B289" s="83" t="inlineStr">
        <is>
          <t>4B0000</t>
        </is>
      </c>
      <c r="C289" s="83" t="n">
        <v>3412489</v>
      </c>
      <c r="D289" s="83" t="n">
        <v>122486920</v>
      </c>
      <c r="E289" s="83" t="n">
        <v>105450095</v>
      </c>
      <c r="F289" s="83" t="n">
        <v>71399224</v>
      </c>
      <c r="G289" s="83" t="n">
        <v>45695432</v>
      </c>
      <c r="H289" s="83" t="n">
        <v>222544752</v>
      </c>
    </row>
    <row r="290" ht="12.8" customHeight="1" s="82">
      <c r="A290" s="83" t="inlineStr">
        <is>
          <t>00000_481000</t>
        </is>
      </c>
      <c r="B290" s="83" t="n">
        <v>481000</v>
      </c>
      <c r="C290" s="83" t="n">
        <v>549607</v>
      </c>
      <c r="D290" s="83" t="n">
        <v>74060741</v>
      </c>
      <c r="E290" s="83" t="n">
        <v>67252673</v>
      </c>
      <c r="F290" s="83" t="n">
        <v>55359728</v>
      </c>
      <c r="G290" s="83" t="n">
        <v>29381134</v>
      </c>
      <c r="H290" s="83" t="n">
        <v>151993535</v>
      </c>
    </row>
    <row r="291" ht="12.8" customHeight="1" s="82">
      <c r="A291" s="83" t="inlineStr">
        <is>
          <t>00000_482000</t>
        </is>
      </c>
      <c r="B291" s="83" t="n">
        <v>482000</v>
      </c>
      <c r="C291" s="83" t="n">
        <v>153159</v>
      </c>
      <c r="D291" s="83" t="n">
        <v>20428384</v>
      </c>
      <c r="E291" s="83" t="n">
        <v>20700751</v>
      </c>
      <c r="F291" s="83" t="n">
        <v>31349208</v>
      </c>
      <c r="G291" s="83" t="n">
        <v>-569579</v>
      </c>
      <c r="H291" s="83" t="n">
        <v>51480380</v>
      </c>
    </row>
    <row r="292" ht="12.8" customHeight="1" s="82">
      <c r="A292" s="83" t="inlineStr">
        <is>
          <t>00000_483000</t>
        </is>
      </c>
      <c r="B292" s="83" t="n">
        <v>483000</v>
      </c>
      <c r="C292" s="83" t="n">
        <v>71917</v>
      </c>
      <c r="D292" s="83" t="n">
        <v>9155254</v>
      </c>
      <c r="E292" s="83" t="n">
        <v>8342817</v>
      </c>
      <c r="F292" s="83" t="n">
        <v>11383648</v>
      </c>
      <c r="G292" s="83" t="n">
        <v>1249917</v>
      </c>
      <c r="H292" s="83" t="n">
        <v>20976382</v>
      </c>
    </row>
    <row r="293" ht="12.8" customHeight="1" s="82">
      <c r="A293" s="83" t="inlineStr">
        <is>
          <t>00000_484000</t>
        </is>
      </c>
      <c r="B293" s="83" t="n">
        <v>484000</v>
      </c>
      <c r="C293" s="83" t="n">
        <v>2553646</v>
      </c>
      <c r="D293" s="83" t="n">
        <v>182334833</v>
      </c>
      <c r="E293" s="83" t="n">
        <v>130651979</v>
      </c>
      <c r="F293" s="83" t="n">
        <v>126983090</v>
      </c>
      <c r="G293" s="83" t="n">
        <v>5636848</v>
      </c>
      <c r="H293" s="83" t="n">
        <v>263271917</v>
      </c>
    </row>
    <row r="294" ht="12.8" customHeight="1" s="82">
      <c r="A294" s="83" t="inlineStr">
        <is>
          <t>00000_485000</t>
        </is>
      </c>
      <c r="B294" s="83" t="n">
        <v>485000</v>
      </c>
      <c r="C294" s="83" t="n">
        <v>1763918</v>
      </c>
      <c r="D294" s="83" t="n">
        <v>47797615</v>
      </c>
      <c r="E294" s="83" t="n">
        <v>27664622</v>
      </c>
      <c r="F294" s="83" t="n">
        <v>26879524</v>
      </c>
      <c r="G294" s="83" t="n">
        <v>2413954</v>
      </c>
      <c r="H294" s="83" t="n">
        <v>56958100</v>
      </c>
    </row>
    <row r="295" ht="12.8" customHeight="1" s="82">
      <c r="A295" s="83" t="inlineStr">
        <is>
          <t>00000_486000</t>
        </is>
      </c>
      <c r="B295" s="83" t="n">
        <v>486000</v>
      </c>
      <c r="C295" s="83" t="n">
        <v>52808</v>
      </c>
      <c r="D295" s="83" t="n">
        <v>51198864</v>
      </c>
      <c r="E295" s="83" t="n">
        <v>9001500</v>
      </c>
      <c r="F295" s="83" t="n">
        <v>36474890</v>
      </c>
      <c r="G295" s="83" t="n">
        <v>4321695</v>
      </c>
      <c r="H295" s="83" t="n">
        <v>49798085</v>
      </c>
    </row>
    <row r="296" ht="12.8" customHeight="1" s="82">
      <c r="A296" s="83" t="inlineStr">
        <is>
          <t>00000_48A000</t>
        </is>
      </c>
      <c r="B296" s="83" t="inlineStr">
        <is>
          <t>48A000</t>
        </is>
      </c>
      <c r="C296" s="83" t="n">
        <v>971426</v>
      </c>
      <c r="D296" s="83" t="n">
        <v>87835640</v>
      </c>
      <c r="E296" s="83" t="n">
        <v>70901059</v>
      </c>
      <c r="F296" s="83" t="n">
        <v>37181764</v>
      </c>
      <c r="G296" s="83" t="n">
        <v>1696833</v>
      </c>
      <c r="H296" s="83" t="n">
        <v>109779656</v>
      </c>
    </row>
    <row r="297" ht="12.8" customHeight="1" s="82">
      <c r="A297" s="83" t="inlineStr">
        <is>
          <t>00000_492000</t>
        </is>
      </c>
      <c r="B297" s="83" t="n">
        <v>492000</v>
      </c>
      <c r="C297" s="83" t="n">
        <v>3359584</v>
      </c>
      <c r="D297" s="83" t="n">
        <v>65915065</v>
      </c>
      <c r="E297" s="83" t="n">
        <v>65690651</v>
      </c>
      <c r="F297" s="83" t="n">
        <v>34449335</v>
      </c>
      <c r="G297" s="83" t="n">
        <v>1572135</v>
      </c>
      <c r="H297" s="83" t="n">
        <v>101712121</v>
      </c>
    </row>
    <row r="298" ht="12.8" customHeight="1" s="82">
      <c r="A298" s="83" t="inlineStr">
        <is>
          <t>00000_493000</t>
        </is>
      </c>
      <c r="B298" s="83" t="n">
        <v>493000</v>
      </c>
      <c r="C298" s="83" t="n">
        <v>1997420</v>
      </c>
      <c r="D298" s="83" t="n">
        <v>108747550</v>
      </c>
      <c r="E298" s="83" t="n">
        <v>109054334</v>
      </c>
      <c r="F298" s="83" t="n">
        <v>4247167</v>
      </c>
      <c r="G298" s="83" t="n">
        <v>1237996</v>
      </c>
      <c r="H298" s="83" t="n">
        <v>114539497</v>
      </c>
    </row>
    <row r="299" ht="12.8" customHeight="1" s="82">
      <c r="A299" s="83" t="inlineStr">
        <is>
          <t>00000_511110</t>
        </is>
      </c>
      <c r="B299" s="83" t="n">
        <v>511110</v>
      </c>
      <c r="C299" s="83" t="n">
        <v>59595</v>
      </c>
      <c r="D299" s="83" t="n">
        <v>8849225</v>
      </c>
      <c r="E299" s="83" t="n">
        <v>8775155</v>
      </c>
      <c r="F299" s="83" t="n">
        <v>10206064</v>
      </c>
      <c r="G299" s="83" t="n">
        <v>431599</v>
      </c>
      <c r="H299" s="83" t="n">
        <v>19412817</v>
      </c>
    </row>
    <row r="300" ht="12.8" customHeight="1" s="82">
      <c r="A300" s="83" t="inlineStr">
        <is>
          <t>00000_511120</t>
        </is>
      </c>
      <c r="B300" s="83" t="n">
        <v>511120</v>
      </c>
      <c r="C300" s="83" t="n">
        <v>60486</v>
      </c>
      <c r="D300" s="83" t="n">
        <v>8981465</v>
      </c>
      <c r="E300" s="83" t="n">
        <v>8906288</v>
      </c>
      <c r="F300" s="83" t="n">
        <v>10358580</v>
      </c>
      <c r="G300" s="83" t="n">
        <v>438048</v>
      </c>
      <c r="H300" s="83" t="n">
        <v>19702917</v>
      </c>
    </row>
    <row r="301" ht="12.8" customHeight="1" s="82">
      <c r="A301" s="83" t="inlineStr">
        <is>
          <t>00000_511130</t>
        </is>
      </c>
      <c r="B301" s="83" t="n">
        <v>511130</v>
      </c>
      <c r="C301" s="83" t="n">
        <v>44128</v>
      </c>
      <c r="D301" s="83" t="n">
        <v>6552577</v>
      </c>
      <c r="E301" s="83" t="n">
        <v>6497731</v>
      </c>
      <c r="F301" s="83" t="n">
        <v>7557274</v>
      </c>
      <c r="G301" s="83" t="n">
        <v>319585</v>
      </c>
      <c r="H301" s="83" t="n">
        <v>14374590</v>
      </c>
    </row>
    <row r="302" ht="12.8" customHeight="1" s="82">
      <c r="A302" s="83" t="inlineStr">
        <is>
          <t>00000_5111A0</t>
        </is>
      </c>
      <c r="B302" s="83" t="inlineStr">
        <is>
          <t>5111A0</t>
        </is>
      </c>
      <c r="C302" s="83" t="n">
        <v>71585</v>
      </c>
      <c r="D302" s="83" t="n">
        <v>10629490</v>
      </c>
      <c r="E302" s="83" t="n">
        <v>10540518</v>
      </c>
      <c r="F302" s="83" t="n">
        <v>12259294</v>
      </c>
      <c r="G302" s="83" t="n">
        <v>518427</v>
      </c>
      <c r="H302" s="83" t="n">
        <v>23318239</v>
      </c>
    </row>
    <row r="303" ht="12.8" customHeight="1" s="82">
      <c r="A303" s="83" t="inlineStr">
        <is>
          <t>00000_511200</t>
        </is>
      </c>
      <c r="B303" s="83" t="n">
        <v>511200</v>
      </c>
      <c r="C303" s="83" t="n">
        <v>863843</v>
      </c>
      <c r="D303" s="83" t="n">
        <v>128270769</v>
      </c>
      <c r="E303" s="83" t="n">
        <v>127197114</v>
      </c>
      <c r="F303" s="83" t="n">
        <v>147938345</v>
      </c>
      <c r="G303" s="83" t="n">
        <v>6256084</v>
      </c>
      <c r="H303" s="83" t="n">
        <v>281391543</v>
      </c>
    </row>
    <row r="304" ht="12.8" customHeight="1" s="82">
      <c r="A304" s="83" t="inlineStr">
        <is>
          <t>00000_512100</t>
        </is>
      </c>
      <c r="B304" s="83" t="n">
        <v>512100</v>
      </c>
      <c r="C304" s="83" t="n">
        <v>523966</v>
      </c>
      <c r="D304" s="83" t="n">
        <v>49648836</v>
      </c>
      <c r="E304" s="83" t="n">
        <v>43190753</v>
      </c>
      <c r="F304" s="83" t="n">
        <v>45862438</v>
      </c>
      <c r="G304" s="83" t="n">
        <v>4832109</v>
      </c>
      <c r="H304" s="83" t="n">
        <v>93885300</v>
      </c>
    </row>
    <row r="305" ht="12.8" customHeight="1" s="82">
      <c r="A305" s="83" t="inlineStr">
        <is>
          <t>00000_512200</t>
        </is>
      </c>
      <c r="B305" s="83" t="n">
        <v>512200</v>
      </c>
      <c r="C305" s="83" t="n">
        <v>36234</v>
      </c>
      <c r="D305" s="83" t="n">
        <v>3433414</v>
      </c>
      <c r="E305" s="83" t="n">
        <v>2986812</v>
      </c>
      <c r="F305" s="83" t="n">
        <v>3171569</v>
      </c>
      <c r="G305" s="83" t="n">
        <v>334160</v>
      </c>
      <c r="H305" s="83" t="n">
        <v>6492541</v>
      </c>
    </row>
    <row r="306" ht="12.8" customHeight="1" s="82">
      <c r="A306" s="83" t="inlineStr">
        <is>
          <t>00000_515100</t>
        </is>
      </c>
      <c r="B306" s="83" t="n">
        <v>515100</v>
      </c>
      <c r="C306" s="83" t="n">
        <v>311779</v>
      </c>
      <c r="D306" s="83" t="n">
        <v>65503773</v>
      </c>
      <c r="E306" s="83" t="n">
        <v>32691004</v>
      </c>
      <c r="F306" s="83" t="n">
        <v>94019646</v>
      </c>
      <c r="G306" s="83" t="n">
        <v>13367863</v>
      </c>
      <c r="H306" s="83" t="n">
        <v>140078512</v>
      </c>
    </row>
    <row r="307" ht="12.8" customHeight="1" s="82">
      <c r="A307" s="83" t="inlineStr">
        <is>
          <t>00000_515200</t>
        </is>
      </c>
      <c r="B307" s="83" t="n">
        <v>515200</v>
      </c>
      <c r="C307" s="83" t="n">
        <v>7</v>
      </c>
      <c r="D307" s="83" t="n">
        <v>50</v>
      </c>
      <c r="E307" s="83" t="n">
        <v>46</v>
      </c>
      <c r="F307" s="83" t="n">
        <v>133</v>
      </c>
      <c r="G307" s="83" t="n">
        <v>19</v>
      </c>
      <c r="H307" s="83" t="n">
        <v>199</v>
      </c>
    </row>
    <row r="308" ht="12.8" customHeight="1" s="82">
      <c r="A308" s="83" t="inlineStr">
        <is>
          <t>00000_517110</t>
        </is>
      </c>
      <c r="B308" s="83" t="n">
        <v>517110</v>
      </c>
      <c r="C308" s="83" t="n">
        <v>641236</v>
      </c>
      <c r="D308" s="83" t="n">
        <v>62858006</v>
      </c>
      <c r="E308" s="83" t="n">
        <v>61339730</v>
      </c>
      <c r="F308" s="83" t="n">
        <v>176413661</v>
      </c>
      <c r="G308" s="83" t="n">
        <v>25082775</v>
      </c>
      <c r="H308" s="83" t="n">
        <v>262836166</v>
      </c>
    </row>
    <row r="309" ht="12.8" customHeight="1" s="82">
      <c r="A309" s="83" t="inlineStr">
        <is>
          <t>00000_517210</t>
        </is>
      </c>
      <c r="B309" s="83" t="n">
        <v>517210</v>
      </c>
      <c r="C309" s="83" t="n">
        <v>174828</v>
      </c>
      <c r="D309" s="83" t="n">
        <v>17137725</v>
      </c>
      <c r="E309" s="83" t="n">
        <v>16723779</v>
      </c>
      <c r="F309" s="83" t="n">
        <v>48097752</v>
      </c>
      <c r="G309" s="83" t="n">
        <v>6838615</v>
      </c>
      <c r="H309" s="83" t="n">
        <v>71660146</v>
      </c>
    </row>
    <row r="310" ht="12.8" customHeight="1" s="82">
      <c r="A310" s="83" t="inlineStr">
        <is>
          <t>00000_517A00</t>
        </is>
      </c>
      <c r="B310" s="83" t="inlineStr">
        <is>
          <t>517A00</t>
        </is>
      </c>
      <c r="C310" s="83" t="n">
        <v>92564</v>
      </c>
      <c r="D310" s="83" t="n">
        <v>9073684</v>
      </c>
      <c r="E310" s="83" t="n">
        <v>8854518</v>
      </c>
      <c r="F310" s="83" t="n">
        <v>25465679</v>
      </c>
      <c r="G310" s="83" t="n">
        <v>3620751</v>
      </c>
      <c r="H310" s="83" t="n">
        <v>37940947</v>
      </c>
    </row>
    <row r="311" ht="12.8" customHeight="1" s="82">
      <c r="A311" s="83" t="inlineStr">
        <is>
          <t>00000_518200</t>
        </is>
      </c>
      <c r="B311" s="83" t="n">
        <v>518200</v>
      </c>
      <c r="C311" s="83" t="n">
        <v>580211</v>
      </c>
      <c r="D311" s="83" t="n">
        <v>94076147</v>
      </c>
      <c r="E311" s="83" t="n">
        <v>89581728</v>
      </c>
      <c r="F311" s="83" t="n">
        <v>109091949</v>
      </c>
      <c r="G311" s="83" t="n">
        <v>3737285</v>
      </c>
      <c r="H311" s="83" t="n">
        <v>202410962</v>
      </c>
    </row>
    <row r="312" ht="12.8" customHeight="1" s="82">
      <c r="A312" s="83" t="inlineStr">
        <is>
          <t>00000_519130</t>
        </is>
      </c>
      <c r="B312" s="83" t="n">
        <v>519130</v>
      </c>
      <c r="C312" s="83" t="n">
        <v>350022</v>
      </c>
      <c r="D312" s="83" t="n">
        <v>89738194</v>
      </c>
      <c r="E312" s="83" t="n">
        <v>84599971</v>
      </c>
      <c r="F312" s="83" t="n">
        <v>103025203</v>
      </c>
      <c r="G312" s="83" t="n">
        <v>3529449</v>
      </c>
      <c r="H312" s="83" t="n">
        <v>191154624</v>
      </c>
    </row>
    <row r="313" ht="12.8" customHeight="1" s="82">
      <c r="A313" s="83" t="inlineStr">
        <is>
          <t>00000_5191A0</t>
        </is>
      </c>
      <c r="B313" s="83" t="inlineStr">
        <is>
          <t>5191A0</t>
        </is>
      </c>
      <c r="C313" s="83" t="n">
        <v>51473</v>
      </c>
      <c r="D313" s="83" t="n">
        <v>13196551</v>
      </c>
      <c r="E313" s="83" t="n">
        <v>12440944</v>
      </c>
      <c r="F313" s="83" t="n">
        <v>15150487</v>
      </c>
      <c r="G313" s="83" t="n">
        <v>519027</v>
      </c>
      <c r="H313" s="83" t="n">
        <v>28110459</v>
      </c>
    </row>
    <row r="314" ht="12.8" customHeight="1" s="82">
      <c r="A314" s="83" t="inlineStr">
        <is>
          <t>00000_522A00</t>
        </is>
      </c>
      <c r="B314" s="83" t="inlineStr">
        <is>
          <t>522A00</t>
        </is>
      </c>
      <c r="C314" s="83" t="n">
        <v>3018369</v>
      </c>
      <c r="D314" s="83" t="n">
        <v>350612624</v>
      </c>
      <c r="E314" s="83" t="n">
        <v>340701895</v>
      </c>
      <c r="F314" s="83" t="n">
        <v>483544282</v>
      </c>
      <c r="G314" s="83" t="n">
        <v>23805869</v>
      </c>
      <c r="H314" s="83" t="n">
        <v>848052046</v>
      </c>
    </row>
    <row r="315" ht="12.8" customHeight="1" s="82">
      <c r="A315" s="83" t="inlineStr">
        <is>
          <t>00000_52A000</t>
        </is>
      </c>
      <c r="B315" s="83" t="inlineStr">
        <is>
          <t>52A000</t>
        </is>
      </c>
      <c r="C315" s="83" t="n">
        <v>22011</v>
      </c>
      <c r="D315" s="83" t="n">
        <v>3517044</v>
      </c>
      <c r="E315" s="83" t="n">
        <v>3533045</v>
      </c>
      <c r="F315" s="83" t="n">
        <v>5014306</v>
      </c>
      <c r="G315" s="83" t="n">
        <v>246865</v>
      </c>
      <c r="H315" s="83" t="n">
        <v>8794216</v>
      </c>
    </row>
    <row r="316" ht="12.8" customHeight="1" s="82">
      <c r="A316" s="83" t="inlineStr">
        <is>
          <t>00000_523900</t>
        </is>
      </c>
      <c r="B316" s="83" t="n">
        <v>523900</v>
      </c>
      <c r="C316" s="83" t="n">
        <v>2832271</v>
      </c>
      <c r="D316" s="83" t="n">
        <v>193729088</v>
      </c>
      <c r="E316" s="83" t="n">
        <v>172807645</v>
      </c>
      <c r="F316" s="83" t="n">
        <v>12483890</v>
      </c>
      <c r="G316" s="83" t="n">
        <v>3900524</v>
      </c>
      <c r="H316" s="83" t="n">
        <v>189192060</v>
      </c>
    </row>
    <row r="317" ht="12.8" customHeight="1" s="82">
      <c r="A317" s="83" t="inlineStr">
        <is>
          <t>00000_523A00</t>
        </is>
      </c>
      <c r="B317" s="83" t="inlineStr">
        <is>
          <t>523A00</t>
        </is>
      </c>
      <c r="C317" s="83" t="n">
        <v>2563368</v>
      </c>
      <c r="D317" s="83" t="n">
        <v>175335921</v>
      </c>
      <c r="E317" s="83" t="n">
        <v>156400818</v>
      </c>
      <c r="F317" s="83" t="n">
        <v>11298636</v>
      </c>
      <c r="G317" s="83" t="n">
        <v>3530198</v>
      </c>
      <c r="H317" s="83" t="n">
        <v>171229651</v>
      </c>
    </row>
    <row r="318" ht="12.8" customHeight="1" s="82">
      <c r="A318" s="83" t="inlineStr">
        <is>
          <t>00000_524113</t>
        </is>
      </c>
      <c r="B318" s="83" t="n">
        <v>524113</v>
      </c>
      <c r="C318" s="83" t="n">
        <v>383587</v>
      </c>
      <c r="D318" s="83" t="n">
        <v>36687896</v>
      </c>
      <c r="E318" s="83" t="n">
        <v>36152732</v>
      </c>
      <c r="F318" s="83" t="n">
        <v>30903746</v>
      </c>
      <c r="G318" s="83" t="n">
        <v>4284353</v>
      </c>
      <c r="H318" s="83" t="n">
        <v>71340832</v>
      </c>
    </row>
    <row r="319" ht="12.8" customHeight="1" s="82">
      <c r="A319" s="83" t="inlineStr">
        <is>
          <t>00000_5241XX</t>
        </is>
      </c>
      <c r="B319" s="83" t="inlineStr">
        <is>
          <t>5241XX</t>
        </is>
      </c>
      <c r="C319" s="83" t="n">
        <v>1525446</v>
      </c>
      <c r="D319" s="83" t="n">
        <v>145900351</v>
      </c>
      <c r="E319" s="83" t="n">
        <v>143772112</v>
      </c>
      <c r="F319" s="83" t="n">
        <v>122897957</v>
      </c>
      <c r="G319" s="83" t="n">
        <v>17038007</v>
      </c>
      <c r="H319" s="83" t="n">
        <v>283708077</v>
      </c>
    </row>
    <row r="320" ht="12.8" customHeight="1" s="82">
      <c r="A320" s="83" t="inlineStr">
        <is>
          <t>00000_524200</t>
        </is>
      </c>
      <c r="B320" s="83" t="n">
        <v>524200</v>
      </c>
      <c r="C320" s="83" t="n">
        <v>1786394</v>
      </c>
      <c r="D320" s="83" t="n">
        <v>170858543</v>
      </c>
      <c r="E320" s="83" t="n">
        <v>168366242</v>
      </c>
      <c r="F320" s="83" t="n">
        <v>143921285</v>
      </c>
      <c r="G320" s="83" t="n">
        <v>19952584</v>
      </c>
      <c r="H320" s="83" t="n">
        <v>332240111</v>
      </c>
    </row>
    <row r="321" ht="12.8" customHeight="1" s="82">
      <c r="A321" s="83" t="inlineStr">
        <is>
          <t>00000_525000</t>
        </is>
      </c>
      <c r="B321" s="83" t="n">
        <v>525000</v>
      </c>
      <c r="C321" s="83" t="n">
        <v>850601</v>
      </c>
      <c r="D321" s="83" t="n">
        <v>16283546</v>
      </c>
      <c r="E321" s="83" t="n">
        <v>5365603</v>
      </c>
      <c r="F321" s="83" t="n">
        <v>22273460</v>
      </c>
      <c r="G321" s="83" t="n">
        <v>703877</v>
      </c>
      <c r="H321" s="83" t="n">
        <v>28342940</v>
      </c>
    </row>
    <row r="322" ht="12.8" customHeight="1" s="82">
      <c r="A322" s="83" t="inlineStr">
        <is>
          <t>00000_531HSO</t>
        </is>
      </c>
      <c r="B322" s="83" t="inlineStr">
        <is>
          <t>531HSO</t>
        </is>
      </c>
      <c r="C322" s="83" t="n">
        <v>0</v>
      </c>
      <c r="D322" s="83" t="n">
        <v>0</v>
      </c>
      <c r="E322" s="83" t="n">
        <v>0</v>
      </c>
      <c r="F322" s="83" t="n">
        <v>0</v>
      </c>
      <c r="G322" s="83" t="n">
        <v>0</v>
      </c>
      <c r="H322" s="83" t="n">
        <v>0</v>
      </c>
    </row>
    <row r="323" ht="12.8" customHeight="1" s="82">
      <c r="A323" s="83" t="inlineStr">
        <is>
          <t>00000_531HST</t>
        </is>
      </c>
      <c r="B323" s="83" t="inlineStr">
        <is>
          <t>531HST</t>
        </is>
      </c>
      <c r="C323" s="83" t="n">
        <v>1887237</v>
      </c>
      <c r="D323" s="83" t="n">
        <v>52664548</v>
      </c>
      <c r="E323" s="83" t="n">
        <v>27636980</v>
      </c>
      <c r="F323" s="83" t="n">
        <v>439384343</v>
      </c>
      <c r="G323" s="83" t="n">
        <v>54923100</v>
      </c>
      <c r="H323" s="83" t="n">
        <v>521944424</v>
      </c>
    </row>
    <row r="324" ht="12.8" customHeight="1" s="82">
      <c r="A324" s="83" t="inlineStr">
        <is>
          <t>00000_531ORE</t>
        </is>
      </c>
      <c r="B324" s="83" t="inlineStr">
        <is>
          <t>531ORE</t>
        </is>
      </c>
      <c r="C324" s="83" t="n">
        <v>9251002</v>
      </c>
      <c r="D324" s="83" t="n">
        <v>258155115</v>
      </c>
      <c r="E324" s="83" t="n">
        <v>135473069</v>
      </c>
      <c r="F324" s="83" t="n">
        <v>2153807849</v>
      </c>
      <c r="G324" s="83" t="n">
        <v>269226259</v>
      </c>
      <c r="H324" s="83" t="n">
        <v>2558507176</v>
      </c>
    </row>
    <row r="325" ht="12.8" customHeight="1" s="82">
      <c r="A325" s="83" t="inlineStr">
        <is>
          <t>00000_532100</t>
        </is>
      </c>
      <c r="B325" s="83" t="n">
        <v>532100</v>
      </c>
      <c r="C325" s="83" t="n">
        <v>224250</v>
      </c>
      <c r="D325" s="83" t="n">
        <v>29134638</v>
      </c>
      <c r="E325" s="83" t="n">
        <v>14253528</v>
      </c>
      <c r="F325" s="83" t="n">
        <v>75899209</v>
      </c>
      <c r="G325" s="83" t="n">
        <v>8370835</v>
      </c>
      <c r="H325" s="83" t="n">
        <v>98523573</v>
      </c>
    </row>
    <row r="326" ht="12.8" customHeight="1" s="82">
      <c r="A326" s="83" t="inlineStr">
        <is>
          <t>00000_532400</t>
        </is>
      </c>
      <c r="B326" s="83" t="n">
        <v>532400</v>
      </c>
      <c r="C326" s="83" t="n">
        <v>276105</v>
      </c>
      <c r="D326" s="83" t="n">
        <v>35871687</v>
      </c>
      <c r="E326" s="83" t="n">
        <v>17549492</v>
      </c>
      <c r="F326" s="83" t="n">
        <v>93450024</v>
      </c>
      <c r="G326" s="83" t="n">
        <v>10306494</v>
      </c>
      <c r="H326" s="83" t="n">
        <v>121306010</v>
      </c>
    </row>
    <row r="327" ht="12.8" customHeight="1" s="82">
      <c r="A327" s="83" t="inlineStr">
        <is>
          <t>00000_532A00</t>
        </is>
      </c>
      <c r="B327" s="83" t="inlineStr">
        <is>
          <t>532A00</t>
        </is>
      </c>
      <c r="C327" s="83" t="n">
        <v>162622</v>
      </c>
      <c r="D327" s="83" t="n">
        <v>21127867</v>
      </c>
      <c r="E327" s="83" t="n">
        <v>10336378</v>
      </c>
      <c r="F327" s="83" t="n">
        <v>55040614</v>
      </c>
      <c r="G327" s="83" t="n">
        <v>6070365</v>
      </c>
      <c r="H327" s="83" t="n">
        <v>71447357</v>
      </c>
    </row>
    <row r="328" ht="12.8" customHeight="1" s="82">
      <c r="A328" s="83" t="inlineStr">
        <is>
          <t>00000_533000</t>
        </is>
      </c>
      <c r="B328" s="83" t="n">
        <v>533000</v>
      </c>
      <c r="C328" s="83" t="n">
        <v>30599</v>
      </c>
      <c r="D328" s="83" t="n">
        <v>3903444</v>
      </c>
      <c r="E328" s="83" t="n">
        <v>3656126</v>
      </c>
      <c r="F328" s="83" t="n">
        <v>19468656</v>
      </c>
      <c r="G328" s="83" t="n">
        <v>2147175</v>
      </c>
      <c r="H328" s="83" t="n">
        <v>25271957</v>
      </c>
    </row>
    <row r="329" ht="12.8" customHeight="1" s="82">
      <c r="A329" s="83" t="inlineStr">
        <is>
          <t>00000_541100</t>
        </is>
      </c>
      <c r="B329" s="83" t="n">
        <v>541100</v>
      </c>
      <c r="C329" s="83" t="n">
        <v>1962826</v>
      </c>
      <c r="D329" s="83" t="n">
        <v>211326057</v>
      </c>
      <c r="E329" s="83" t="n">
        <v>169203399</v>
      </c>
      <c r="F329" s="83" t="n">
        <v>133740409</v>
      </c>
      <c r="G329" s="83" t="n">
        <v>25991077</v>
      </c>
      <c r="H329" s="83" t="n">
        <v>328934885</v>
      </c>
    </row>
    <row r="330" ht="12.8" customHeight="1" s="82">
      <c r="A330" s="83" t="inlineStr">
        <is>
          <t>00000_541511</t>
        </is>
      </c>
      <c r="B330" s="83" t="n">
        <v>541511</v>
      </c>
      <c r="C330" s="83" t="n">
        <v>2042707</v>
      </c>
      <c r="D330" s="83" t="n">
        <v>219926307</v>
      </c>
      <c r="E330" s="83" t="n">
        <v>193559749</v>
      </c>
      <c r="F330" s="83" t="n">
        <v>23737377</v>
      </c>
      <c r="G330" s="83" t="n">
        <v>4835286</v>
      </c>
      <c r="H330" s="83" t="n">
        <v>222132413</v>
      </c>
    </row>
    <row r="331" ht="12.8" customHeight="1" s="82">
      <c r="A331" s="83" t="inlineStr">
        <is>
          <t>00000_541512</t>
        </is>
      </c>
      <c r="B331" s="83" t="n">
        <v>541512</v>
      </c>
      <c r="C331" s="83" t="n">
        <v>1803513</v>
      </c>
      <c r="D331" s="83" t="n">
        <v>194173748</v>
      </c>
      <c r="E331" s="83" t="n">
        <v>170894618</v>
      </c>
      <c r="F331" s="83" t="n">
        <v>20957818</v>
      </c>
      <c r="G331" s="83" t="n">
        <v>4269092</v>
      </c>
      <c r="H331" s="83" t="n">
        <v>196121528</v>
      </c>
    </row>
    <row r="332" ht="12.8" customHeight="1" s="82">
      <c r="A332" s="83" t="inlineStr">
        <is>
          <t>00000_54151A</t>
        </is>
      </c>
      <c r="B332" s="83" t="inlineStr">
        <is>
          <t>54151A</t>
        </is>
      </c>
      <c r="C332" s="83" t="n">
        <v>365711</v>
      </c>
      <c r="D332" s="83" t="n">
        <v>39373968</v>
      </c>
      <c r="E332" s="83" t="n">
        <v>34653496</v>
      </c>
      <c r="F332" s="83" t="n">
        <v>4249763</v>
      </c>
      <c r="G332" s="83" t="n">
        <v>865674</v>
      </c>
      <c r="H332" s="83" t="n">
        <v>39768933</v>
      </c>
    </row>
    <row r="333" ht="12.8" customHeight="1" s="82">
      <c r="A333" s="83" t="inlineStr">
        <is>
          <t>00000_541200</t>
        </is>
      </c>
      <c r="B333" s="83" t="n">
        <v>541200</v>
      </c>
      <c r="C333" s="83" t="n">
        <v>1375551</v>
      </c>
      <c r="D333" s="83" t="n">
        <v>148097551</v>
      </c>
      <c r="E333" s="83" t="n">
        <v>121724559</v>
      </c>
      <c r="F333" s="83" t="n">
        <v>47480802</v>
      </c>
      <c r="G333" s="83" t="n">
        <v>2874610</v>
      </c>
      <c r="H333" s="83" t="n">
        <v>172079971</v>
      </c>
    </row>
    <row r="334" ht="12.8" customHeight="1" s="82">
      <c r="A334" s="83" t="inlineStr">
        <is>
          <t>00000_541300</t>
        </is>
      </c>
      <c r="B334" s="83" t="n">
        <v>541300</v>
      </c>
      <c r="C334" s="83" t="n">
        <v>2361908</v>
      </c>
      <c r="D334" s="83" t="n">
        <v>254292822</v>
      </c>
      <c r="E334" s="83" t="n">
        <v>209008733</v>
      </c>
      <c r="F334" s="83" t="n">
        <v>81527528</v>
      </c>
      <c r="G334" s="83" t="n">
        <v>4935886</v>
      </c>
      <c r="H334" s="83" t="n">
        <v>295472147</v>
      </c>
    </row>
    <row r="335" ht="12.8" customHeight="1" s="82">
      <c r="A335" s="83" t="inlineStr">
        <is>
          <t>00000_541610</t>
        </is>
      </c>
      <c r="B335" s="83" t="n">
        <v>541610</v>
      </c>
      <c r="C335" s="83" t="n">
        <v>2184702</v>
      </c>
      <c r="D335" s="83" t="n">
        <v>235214085</v>
      </c>
      <c r="E335" s="83" t="n">
        <v>193327509</v>
      </c>
      <c r="F335" s="83" t="n">
        <v>75410791</v>
      </c>
      <c r="G335" s="83" t="n">
        <v>4565563</v>
      </c>
      <c r="H335" s="83" t="n">
        <v>273303863</v>
      </c>
    </row>
    <row r="336" ht="12.8" customHeight="1" s="82">
      <c r="A336" s="83" t="inlineStr">
        <is>
          <t>00000_5416A0</t>
        </is>
      </c>
      <c r="B336" s="83" t="inlineStr">
        <is>
          <t>5416A0</t>
        </is>
      </c>
      <c r="C336" s="83" t="n">
        <v>402991</v>
      </c>
      <c r="D336" s="83" t="n">
        <v>43387656</v>
      </c>
      <c r="E336" s="83" t="n">
        <v>35661247</v>
      </c>
      <c r="F336" s="83" t="n">
        <v>13910296</v>
      </c>
      <c r="G336" s="83" t="n">
        <v>842165</v>
      </c>
      <c r="H336" s="83" t="n">
        <v>50413707</v>
      </c>
    </row>
    <row r="337" ht="12.8" customHeight="1" s="82">
      <c r="A337" s="83" t="inlineStr">
        <is>
          <t>00000_541700</t>
        </is>
      </c>
      <c r="B337" s="83" t="n">
        <v>541700</v>
      </c>
      <c r="C337" s="83" t="n">
        <v>1927379</v>
      </c>
      <c r="D337" s="83" t="n">
        <v>207509630</v>
      </c>
      <c r="E337" s="83" t="n">
        <v>170556623</v>
      </c>
      <c r="F337" s="83" t="n">
        <v>66528607</v>
      </c>
      <c r="G337" s="83" t="n">
        <v>4027813</v>
      </c>
      <c r="H337" s="83" t="n">
        <v>241113043</v>
      </c>
    </row>
    <row r="338" ht="12.8" customHeight="1" s="82">
      <c r="A338" s="83" t="inlineStr">
        <is>
          <t>00000_541800</t>
        </is>
      </c>
      <c r="B338" s="83" t="n">
        <v>541800</v>
      </c>
      <c r="C338" s="83" t="n">
        <v>657307</v>
      </c>
      <c r="D338" s="83" t="n">
        <v>70768405</v>
      </c>
      <c r="E338" s="83" t="n">
        <v>58166072</v>
      </c>
      <c r="F338" s="83" t="n">
        <v>22688698</v>
      </c>
      <c r="G338" s="83" t="n">
        <v>1373632</v>
      </c>
      <c r="H338" s="83" t="n">
        <v>82228403</v>
      </c>
    </row>
    <row r="339" ht="12.8" customHeight="1" s="82">
      <c r="A339" s="83" t="inlineStr">
        <is>
          <t>00000_541400</t>
        </is>
      </c>
      <c r="B339" s="83" t="n">
        <v>541400</v>
      </c>
      <c r="C339" s="83" t="n">
        <v>164715</v>
      </c>
      <c r="D339" s="83" t="n">
        <v>17733882</v>
      </c>
      <c r="E339" s="83" t="n">
        <v>14575859</v>
      </c>
      <c r="F339" s="83" t="n">
        <v>5685570</v>
      </c>
      <c r="G339" s="83" t="n">
        <v>344219</v>
      </c>
      <c r="H339" s="83" t="n">
        <v>20605648</v>
      </c>
    </row>
    <row r="340" ht="12.8" customHeight="1" s="82">
      <c r="A340" s="83" t="inlineStr">
        <is>
          <t>00000_541920</t>
        </is>
      </c>
      <c r="B340" s="83" t="n">
        <v>541920</v>
      </c>
      <c r="C340" s="83" t="n">
        <v>25250</v>
      </c>
      <c r="D340" s="83" t="n">
        <v>2718476</v>
      </c>
      <c r="E340" s="83" t="n">
        <v>2234374</v>
      </c>
      <c r="F340" s="83" t="n">
        <v>871557</v>
      </c>
      <c r="G340" s="83" t="n">
        <v>52766</v>
      </c>
      <c r="H340" s="83" t="n">
        <v>3158697</v>
      </c>
    </row>
    <row r="341" ht="12.8" customHeight="1" s="82">
      <c r="A341" s="83" t="inlineStr">
        <is>
          <t>00000_541940</t>
        </is>
      </c>
      <c r="B341" s="83" t="n">
        <v>541940</v>
      </c>
      <c r="C341" s="83" t="n">
        <v>323407</v>
      </c>
      <c r="D341" s="83" t="n">
        <v>34819369</v>
      </c>
      <c r="E341" s="83" t="n">
        <v>28618787</v>
      </c>
      <c r="F341" s="83" t="n">
        <v>11163261</v>
      </c>
      <c r="G341" s="83" t="n">
        <v>675853</v>
      </c>
      <c r="H341" s="83" t="n">
        <v>40457901</v>
      </c>
    </row>
    <row r="342" ht="12.8" customHeight="1" s="82">
      <c r="A342" s="83" t="inlineStr">
        <is>
          <t>00000_5419A0</t>
        </is>
      </c>
      <c r="B342" s="83" t="inlineStr">
        <is>
          <t>5419A0</t>
        </is>
      </c>
      <c r="C342" s="83" t="n">
        <v>380221</v>
      </c>
      <c r="D342" s="83" t="n">
        <v>40936212</v>
      </c>
      <c r="E342" s="83" t="n">
        <v>33646352</v>
      </c>
      <c r="F342" s="83" t="n">
        <v>13124351</v>
      </c>
      <c r="G342" s="83" t="n">
        <v>794582</v>
      </c>
      <c r="H342" s="83" t="n">
        <v>47565285</v>
      </c>
    </row>
    <row r="343" ht="12.8" customHeight="1" s="82">
      <c r="A343" s="83" t="inlineStr">
        <is>
          <t>00000_550000</t>
        </is>
      </c>
      <c r="B343" s="83" t="n">
        <v>550000</v>
      </c>
      <c r="C343" s="83" t="n">
        <v>2953897</v>
      </c>
      <c r="D343" s="83" t="n">
        <v>424360832</v>
      </c>
      <c r="E343" s="83" t="n">
        <v>425100084</v>
      </c>
      <c r="F343" s="83" t="n">
        <v>43434483</v>
      </c>
      <c r="G343" s="83" t="n">
        <v>11869137</v>
      </c>
      <c r="H343" s="83" t="n">
        <v>480403704</v>
      </c>
    </row>
    <row r="344" ht="12.8" customHeight="1" s="82">
      <c r="A344" s="83" t="inlineStr">
        <is>
          <t>00000_561300</t>
        </is>
      </c>
      <c r="B344" s="83" t="n">
        <v>561300</v>
      </c>
      <c r="C344" s="83" t="n">
        <v>4868320</v>
      </c>
      <c r="D344" s="83" t="n">
        <v>252588391</v>
      </c>
      <c r="E344" s="83" t="n">
        <v>222594982</v>
      </c>
      <c r="F344" s="83" t="n">
        <v>63130617</v>
      </c>
      <c r="G344" s="83" t="n">
        <v>5494755</v>
      </c>
      <c r="H344" s="83" t="n">
        <v>291220354</v>
      </c>
    </row>
    <row r="345" ht="12.8" customHeight="1" s="82">
      <c r="A345" s="83" t="inlineStr">
        <is>
          <t>00000_561700</t>
        </is>
      </c>
      <c r="B345" s="83" t="n">
        <v>561700</v>
      </c>
      <c r="C345" s="83" t="n">
        <v>2493741</v>
      </c>
      <c r="D345" s="83" t="n">
        <v>129385471</v>
      </c>
      <c r="E345" s="83" t="n">
        <v>114021695</v>
      </c>
      <c r="F345" s="83" t="n">
        <v>32337926</v>
      </c>
      <c r="G345" s="83" t="n">
        <v>2814625</v>
      </c>
      <c r="H345" s="83" t="n">
        <v>149174246</v>
      </c>
    </row>
    <row r="346" ht="12.8" customHeight="1" s="82">
      <c r="A346" s="83" t="inlineStr">
        <is>
          <t>00000_561100</t>
        </is>
      </c>
      <c r="B346" s="83" t="n">
        <v>561100</v>
      </c>
      <c r="C346" s="83" t="n">
        <v>1590015</v>
      </c>
      <c r="D346" s="83" t="n">
        <v>82496510</v>
      </c>
      <c r="E346" s="83" t="n">
        <v>72700527</v>
      </c>
      <c r="F346" s="83" t="n">
        <v>20618745</v>
      </c>
      <c r="G346" s="83" t="n">
        <v>1794612</v>
      </c>
      <c r="H346" s="83" t="n">
        <v>95113883</v>
      </c>
    </row>
    <row r="347" ht="12.8" customHeight="1" s="82">
      <c r="A347" s="83" t="inlineStr">
        <is>
          <t>00000_561200</t>
        </is>
      </c>
      <c r="B347" s="83" t="n">
        <v>561200</v>
      </c>
      <c r="C347" s="83" t="n">
        <v>270382</v>
      </c>
      <c r="D347" s="83" t="n">
        <v>14028536</v>
      </c>
      <c r="E347" s="83" t="n">
        <v>12362728</v>
      </c>
      <c r="F347" s="83" t="n">
        <v>3506219</v>
      </c>
      <c r="G347" s="83" t="n">
        <v>305174</v>
      </c>
      <c r="H347" s="83" t="n">
        <v>16174121</v>
      </c>
    </row>
    <row r="348" ht="12.8" customHeight="1" s="82">
      <c r="A348" s="83" t="inlineStr">
        <is>
          <t>00000_561400</t>
        </is>
      </c>
      <c r="B348" s="83" t="n">
        <v>561400</v>
      </c>
      <c r="C348" s="83" t="n">
        <v>1185418</v>
      </c>
      <c r="D348" s="83" t="n">
        <v>61504321</v>
      </c>
      <c r="E348" s="83" t="n">
        <v>54201039</v>
      </c>
      <c r="F348" s="83" t="n">
        <v>15372067</v>
      </c>
      <c r="G348" s="83" t="n">
        <v>1337952</v>
      </c>
      <c r="H348" s="83" t="n">
        <v>70911058</v>
      </c>
    </row>
    <row r="349" ht="12.8" customHeight="1" s="82">
      <c r="A349" s="83" t="inlineStr">
        <is>
          <t>00000_561500</t>
        </is>
      </c>
      <c r="B349" s="83" t="n">
        <v>561500</v>
      </c>
      <c r="C349" s="83" t="n">
        <v>421866</v>
      </c>
      <c r="D349" s="83" t="n">
        <v>21888146</v>
      </c>
      <c r="E349" s="83" t="n">
        <v>19289055</v>
      </c>
      <c r="F349" s="83" t="n">
        <v>5470608</v>
      </c>
      <c r="G349" s="83" t="n">
        <v>476150</v>
      </c>
      <c r="H349" s="83" t="n">
        <v>25235814</v>
      </c>
    </row>
    <row r="350" ht="12.8" customHeight="1" s="82">
      <c r="A350" s="83" t="inlineStr">
        <is>
          <t>00000_561600</t>
        </is>
      </c>
      <c r="B350" s="83" t="n">
        <v>561600</v>
      </c>
      <c r="C350" s="83" t="n">
        <v>1185005</v>
      </c>
      <c r="D350" s="83" t="n">
        <v>61482929</v>
      </c>
      <c r="E350" s="83" t="n">
        <v>54182187</v>
      </c>
      <c r="F350" s="83" t="n">
        <v>15366721</v>
      </c>
      <c r="G350" s="83" t="n">
        <v>1337487</v>
      </c>
      <c r="H350" s="83" t="n">
        <v>70886395</v>
      </c>
    </row>
    <row r="351" ht="12.8" customHeight="1" s="82">
      <c r="A351" s="83" t="inlineStr">
        <is>
          <t>00000_561900</t>
        </is>
      </c>
      <c r="B351" s="83" t="n">
        <v>561900</v>
      </c>
      <c r="C351" s="83" t="n">
        <v>512394</v>
      </c>
      <c r="D351" s="83" t="n">
        <v>26585101</v>
      </c>
      <c r="E351" s="83" t="n">
        <v>23428274</v>
      </c>
      <c r="F351" s="83" t="n">
        <v>6644541</v>
      </c>
      <c r="G351" s="83" t="n">
        <v>578327</v>
      </c>
      <c r="H351" s="83" t="n">
        <v>30651141</v>
      </c>
    </row>
    <row r="352" ht="12.8" customHeight="1" s="82">
      <c r="A352" s="83" t="inlineStr">
        <is>
          <t>00000_562000</t>
        </is>
      </c>
      <c r="B352" s="83" t="n">
        <v>562000</v>
      </c>
      <c r="C352" s="83" t="n">
        <v>530994</v>
      </c>
      <c r="D352" s="83" t="n">
        <v>43135151</v>
      </c>
      <c r="E352" s="83" t="n">
        <v>41118968</v>
      </c>
      <c r="F352" s="83" t="n">
        <v>25296387</v>
      </c>
      <c r="G352" s="83" t="n">
        <v>4808016</v>
      </c>
      <c r="H352" s="83" t="n">
        <v>71223371</v>
      </c>
    </row>
    <row r="353" ht="12.8" customHeight="1" s="82">
      <c r="A353" s="83" t="inlineStr">
        <is>
          <t>00000_611100</t>
        </is>
      </c>
      <c r="B353" s="83" t="n">
        <v>611100</v>
      </c>
      <c r="C353" s="83" t="n">
        <v>1249280</v>
      </c>
      <c r="D353" s="83" t="n">
        <v>65076749</v>
      </c>
      <c r="E353" s="83" t="n">
        <v>61720808</v>
      </c>
      <c r="F353" s="83" t="n">
        <v>10311203</v>
      </c>
      <c r="G353" s="83" t="n">
        <v>3002754</v>
      </c>
      <c r="H353" s="83" t="n">
        <v>75034765</v>
      </c>
    </row>
    <row r="354" ht="12.8" customHeight="1" s="82">
      <c r="A354" s="83" t="inlineStr">
        <is>
          <t>00000_611A00</t>
        </is>
      </c>
      <c r="B354" s="83" t="inlineStr">
        <is>
          <t>611A00</t>
        </is>
      </c>
      <c r="C354" s="83" t="n">
        <v>2658422</v>
      </c>
      <c r="D354" s="83" t="n">
        <v>138480893</v>
      </c>
      <c r="E354" s="83" t="n">
        <v>131339576</v>
      </c>
      <c r="F354" s="83" t="n">
        <v>21941855</v>
      </c>
      <c r="G354" s="83" t="n">
        <v>6389749</v>
      </c>
      <c r="H354" s="83" t="n">
        <v>159671180</v>
      </c>
    </row>
    <row r="355" ht="12.8" customHeight="1" s="82">
      <c r="A355" s="83" t="inlineStr">
        <is>
          <t>00000_611B00</t>
        </is>
      </c>
      <c r="B355" s="83" t="inlineStr">
        <is>
          <t>611B00</t>
        </is>
      </c>
      <c r="C355" s="83" t="n">
        <v>978029</v>
      </c>
      <c r="D355" s="83" t="n">
        <v>50946876</v>
      </c>
      <c r="E355" s="83" t="n">
        <v>48319599</v>
      </c>
      <c r="F355" s="83" t="n">
        <v>8072370</v>
      </c>
      <c r="G355" s="83" t="n">
        <v>2350777</v>
      </c>
      <c r="H355" s="83" t="n">
        <v>58742746</v>
      </c>
    </row>
    <row r="356" ht="12.8" customHeight="1" s="82">
      <c r="A356" s="83" t="inlineStr">
        <is>
          <t>00000_621100</t>
        </is>
      </c>
      <c r="B356" s="83" t="n">
        <v>621100</v>
      </c>
      <c r="C356" s="83" t="n">
        <v>5016084</v>
      </c>
      <c r="D356" s="83" t="n">
        <v>413780198</v>
      </c>
      <c r="E356" s="83" t="n">
        <v>362351477</v>
      </c>
      <c r="F356" s="83" t="n">
        <v>86497383</v>
      </c>
      <c r="G356" s="83" t="n">
        <v>2651858</v>
      </c>
      <c r="H356" s="83" t="n">
        <v>451500719</v>
      </c>
    </row>
    <row r="357" ht="12.8" customHeight="1" s="82">
      <c r="A357" s="83" t="inlineStr">
        <is>
          <t>00000_621200</t>
        </is>
      </c>
      <c r="B357" s="83" t="n">
        <v>621200</v>
      </c>
      <c r="C357" s="83" t="n">
        <v>1029756</v>
      </c>
      <c r="D357" s="83" t="n">
        <v>84945258</v>
      </c>
      <c r="E357" s="83" t="n">
        <v>74387416</v>
      </c>
      <c r="F357" s="83" t="n">
        <v>17757115</v>
      </c>
      <c r="G357" s="83" t="n">
        <v>544402</v>
      </c>
      <c r="H357" s="83" t="n">
        <v>92688933</v>
      </c>
    </row>
    <row r="358" ht="12.8" customHeight="1" s="82">
      <c r="A358" s="83" t="inlineStr">
        <is>
          <t>00000_621300</t>
        </is>
      </c>
      <c r="B358" s="83" t="n">
        <v>621300</v>
      </c>
      <c r="C358" s="83" t="n">
        <v>880506</v>
      </c>
      <c r="D358" s="83" t="n">
        <v>72633575</v>
      </c>
      <c r="E358" s="83" t="n">
        <v>63605952</v>
      </c>
      <c r="F358" s="83" t="n">
        <v>15183458</v>
      </c>
      <c r="G358" s="83" t="n">
        <v>465498</v>
      </c>
      <c r="H358" s="83" t="n">
        <v>79254908</v>
      </c>
    </row>
    <row r="359" ht="12.8" customHeight="1" s="82">
      <c r="A359" s="83" t="inlineStr">
        <is>
          <t>00000_621400</t>
        </is>
      </c>
      <c r="B359" s="83" t="n">
        <v>621400</v>
      </c>
      <c r="C359" s="83" t="n">
        <v>1329960</v>
      </c>
      <c r="D359" s="83" t="n">
        <v>109709276</v>
      </c>
      <c r="E359" s="83" t="n">
        <v>96073515</v>
      </c>
      <c r="F359" s="83" t="n">
        <v>22933831</v>
      </c>
      <c r="G359" s="83" t="n">
        <v>703111</v>
      </c>
      <c r="H359" s="83" t="n">
        <v>119710458</v>
      </c>
    </row>
    <row r="360" ht="12.8" customHeight="1" s="82">
      <c r="A360" s="83" t="inlineStr">
        <is>
          <t>00000_621500</t>
        </is>
      </c>
      <c r="B360" s="83" t="n">
        <v>621500</v>
      </c>
      <c r="C360" s="83" t="n">
        <v>401157</v>
      </c>
      <c r="D360" s="83" t="n">
        <v>33091718</v>
      </c>
      <c r="E360" s="83" t="n">
        <v>28978750</v>
      </c>
      <c r="F360" s="83" t="n">
        <v>6917554</v>
      </c>
      <c r="G360" s="83" t="n">
        <v>212080</v>
      </c>
      <c r="H360" s="83" t="n">
        <v>36108385</v>
      </c>
    </row>
    <row r="361" ht="12.8" customHeight="1" s="82">
      <c r="A361" s="83" t="inlineStr">
        <is>
          <t>00000_621600</t>
        </is>
      </c>
      <c r="B361" s="83" t="n">
        <v>621600</v>
      </c>
      <c r="C361" s="83" t="n">
        <v>982560</v>
      </c>
      <c r="D361" s="83" t="n">
        <v>81052024</v>
      </c>
      <c r="E361" s="83" t="n">
        <v>70978072</v>
      </c>
      <c r="F361" s="83" t="n">
        <v>16943266</v>
      </c>
      <c r="G361" s="83" t="n">
        <v>519451</v>
      </c>
      <c r="H361" s="83" t="n">
        <v>88440788</v>
      </c>
    </row>
    <row r="362" ht="12.8" customHeight="1" s="82">
      <c r="A362" s="83" t="inlineStr">
        <is>
          <t>00000_621900</t>
        </is>
      </c>
      <c r="B362" s="83" t="n">
        <v>621900</v>
      </c>
      <c r="C362" s="83" t="n">
        <v>318957</v>
      </c>
      <c r="D362" s="83" t="n">
        <v>26311017</v>
      </c>
      <c r="E362" s="83" t="n">
        <v>23040822</v>
      </c>
      <c r="F362" s="83" t="n">
        <v>5500104</v>
      </c>
      <c r="G362" s="83" t="n">
        <v>168624</v>
      </c>
      <c r="H362" s="83" t="n">
        <v>28709550</v>
      </c>
    </row>
    <row r="363" ht="12.8" customHeight="1" s="82">
      <c r="A363" s="83" t="inlineStr">
        <is>
          <t>00000_622000</t>
        </is>
      </c>
      <c r="B363" s="83" t="n">
        <v>622000</v>
      </c>
      <c r="C363" s="83" t="n">
        <v>5158293</v>
      </c>
      <c r="D363" s="83" t="n">
        <v>504193246</v>
      </c>
      <c r="E363" s="83" t="n">
        <v>495495755</v>
      </c>
      <c r="F363" s="83" t="n">
        <v>89000402</v>
      </c>
      <c r="G363" s="83" t="n">
        <v>15059099</v>
      </c>
      <c r="H363" s="83" t="n">
        <v>599555256</v>
      </c>
    </row>
    <row r="364" ht="12.8" customHeight="1" s="82">
      <c r="A364" s="83" t="inlineStr">
        <is>
          <t>00000_623A00</t>
        </is>
      </c>
      <c r="B364" s="83" t="inlineStr">
        <is>
          <t>623A00</t>
        </is>
      </c>
      <c r="C364" s="83" t="n">
        <v>2257404</v>
      </c>
      <c r="D364" s="83" t="n">
        <v>117723465</v>
      </c>
      <c r="E364" s="83" t="n">
        <v>113243518</v>
      </c>
      <c r="F364" s="83" t="n">
        <v>6836845</v>
      </c>
      <c r="G364" s="83" t="n">
        <v>5177874</v>
      </c>
      <c r="H364" s="83" t="n">
        <v>125258237</v>
      </c>
    </row>
    <row r="365" ht="12.8" customHeight="1" s="82">
      <c r="A365" s="83" t="inlineStr">
        <is>
          <t>00000_623B00</t>
        </is>
      </c>
      <c r="B365" s="83" t="inlineStr">
        <is>
          <t>623B00</t>
        </is>
      </c>
      <c r="C365" s="83" t="n">
        <v>950055</v>
      </c>
      <c r="D365" s="83" t="n">
        <v>49545285</v>
      </c>
      <c r="E365" s="83" t="n">
        <v>47659847</v>
      </c>
      <c r="F365" s="83" t="n">
        <v>2877365</v>
      </c>
      <c r="G365" s="83" t="n">
        <v>2179169</v>
      </c>
      <c r="H365" s="83" t="n">
        <v>52716381</v>
      </c>
    </row>
    <row r="366" ht="12.8" customHeight="1" s="82">
      <c r="A366" s="83" t="inlineStr">
        <is>
          <t>00000_624100</t>
        </is>
      </c>
      <c r="B366" s="83" t="n">
        <v>624100</v>
      </c>
      <c r="C366" s="83" t="n">
        <v>3422888</v>
      </c>
      <c r="D366" s="83" t="n">
        <v>121401908</v>
      </c>
      <c r="E366" s="83" t="n">
        <v>109382849</v>
      </c>
      <c r="F366" s="83" t="n">
        <v>13789019</v>
      </c>
      <c r="G366" s="83" t="n">
        <v>-3587262</v>
      </c>
      <c r="H366" s="83" t="n">
        <v>119584605</v>
      </c>
    </row>
    <row r="367" ht="12.8" customHeight="1" s="82">
      <c r="A367" s="83" t="inlineStr">
        <is>
          <t>00000_624400</t>
        </is>
      </c>
      <c r="B367" s="83" t="n">
        <v>624400</v>
      </c>
      <c r="C367" s="83" t="n">
        <v>1024277</v>
      </c>
      <c r="D367" s="83" t="n">
        <v>36328726</v>
      </c>
      <c r="E367" s="83" t="n">
        <v>32732102</v>
      </c>
      <c r="F367" s="83" t="n">
        <v>4126274</v>
      </c>
      <c r="G367" s="83" t="n">
        <v>-1073465</v>
      </c>
      <c r="H367" s="83" t="n">
        <v>35784910</v>
      </c>
    </row>
    <row r="368" ht="12.8" customHeight="1" s="82">
      <c r="A368" s="83" t="inlineStr">
        <is>
          <t>00000_624A00</t>
        </is>
      </c>
      <c r="B368" s="83" t="inlineStr">
        <is>
          <t>624A00</t>
        </is>
      </c>
      <c r="C368" s="83" t="n">
        <v>774029</v>
      </c>
      <c r="D368" s="83" t="n">
        <v>27453030</v>
      </c>
      <c r="E368" s="83" t="n">
        <v>24735119</v>
      </c>
      <c r="F368" s="83" t="n">
        <v>3118158</v>
      </c>
      <c r="G368" s="83" t="n">
        <v>-811200</v>
      </c>
      <c r="H368" s="83" t="n">
        <v>27042077</v>
      </c>
    </row>
    <row r="369" ht="12.8" customHeight="1" s="82">
      <c r="A369" s="83" t="inlineStr">
        <is>
          <t>00000_711100</t>
        </is>
      </c>
      <c r="B369" s="83" t="n">
        <v>711100</v>
      </c>
      <c r="C369" s="83" t="n">
        <v>273478</v>
      </c>
      <c r="D369" s="83" t="n">
        <v>12961884</v>
      </c>
      <c r="E369" s="83" t="n">
        <v>7891794</v>
      </c>
      <c r="F369" s="83" t="n">
        <v>8262822</v>
      </c>
      <c r="G369" s="83" t="n">
        <v>583324</v>
      </c>
      <c r="H369" s="83" t="n">
        <v>16737940</v>
      </c>
    </row>
    <row r="370" ht="12.8" customHeight="1" s="82">
      <c r="A370" s="83" t="inlineStr">
        <is>
          <t>00000_711200</t>
        </is>
      </c>
      <c r="B370" s="83" t="n">
        <v>711200</v>
      </c>
      <c r="C370" s="83" t="n">
        <v>1165695</v>
      </c>
      <c r="D370" s="83" t="n">
        <v>55249879</v>
      </c>
      <c r="E370" s="83" t="n">
        <v>33638679</v>
      </c>
      <c r="F370" s="83" t="n">
        <v>35220184</v>
      </c>
      <c r="G370" s="83" t="n">
        <v>2486410</v>
      </c>
      <c r="H370" s="83" t="n">
        <v>71345273</v>
      </c>
    </row>
    <row r="371" ht="12.8" customHeight="1" s="82">
      <c r="A371" s="83" t="inlineStr">
        <is>
          <t>00000_711500</t>
        </is>
      </c>
      <c r="B371" s="83" t="n">
        <v>711500</v>
      </c>
      <c r="C371" s="83" t="n">
        <v>377604</v>
      </c>
      <c r="D371" s="83" t="n">
        <v>17897107</v>
      </c>
      <c r="E371" s="83" t="n">
        <v>10896586</v>
      </c>
      <c r="F371" s="83" t="n">
        <v>11408883</v>
      </c>
      <c r="G371" s="83" t="n">
        <v>805423</v>
      </c>
      <c r="H371" s="83" t="n">
        <v>23110892</v>
      </c>
    </row>
    <row r="372" ht="12.8" customHeight="1" s="82">
      <c r="A372" s="83" t="inlineStr">
        <is>
          <t>00000_711A00</t>
        </is>
      </c>
      <c r="B372" s="83" t="inlineStr">
        <is>
          <t>711A00</t>
        </is>
      </c>
      <c r="C372" s="83" t="n">
        <v>492096</v>
      </c>
      <c r="D372" s="83" t="n">
        <v>23323628</v>
      </c>
      <c r="E372" s="83" t="n">
        <v>14200502</v>
      </c>
      <c r="F372" s="83" t="n">
        <v>14868131</v>
      </c>
      <c r="G372" s="83" t="n">
        <v>1049633</v>
      </c>
      <c r="H372" s="83" t="n">
        <v>30118267</v>
      </c>
    </row>
    <row r="373" ht="12.8" customHeight="1" s="82">
      <c r="A373" s="83" t="inlineStr">
        <is>
          <t>00000_712000</t>
        </is>
      </c>
      <c r="B373" s="83" t="n">
        <v>712000</v>
      </c>
      <c r="C373" s="83" t="n">
        <v>165898</v>
      </c>
      <c r="D373" s="83" t="n">
        <v>9118309</v>
      </c>
      <c r="E373" s="83" t="n">
        <v>8837105</v>
      </c>
      <c r="F373" s="83" t="n">
        <v>9252577</v>
      </c>
      <c r="G373" s="83" t="n">
        <v>653197</v>
      </c>
      <c r="H373" s="83" t="n">
        <v>18742878</v>
      </c>
    </row>
    <row r="374" ht="12.8" customHeight="1" s="82">
      <c r="A374" s="83" t="inlineStr">
        <is>
          <t>00000_713100</t>
        </is>
      </c>
      <c r="B374" s="83" t="n">
        <v>713100</v>
      </c>
      <c r="C374" s="83" t="n">
        <v>258626</v>
      </c>
      <c r="D374" s="83" t="n">
        <v>9427451</v>
      </c>
      <c r="E374" s="83" t="n">
        <v>8822069</v>
      </c>
      <c r="F374" s="83" t="n">
        <v>2797275</v>
      </c>
      <c r="G374" s="83" t="n">
        <v>2883744</v>
      </c>
      <c r="H374" s="83" t="n">
        <v>14503088</v>
      </c>
    </row>
    <row r="375" ht="12.8" customHeight="1" s="82">
      <c r="A375" s="83" t="inlineStr">
        <is>
          <t>00000_713200</t>
        </is>
      </c>
      <c r="B375" s="83" t="n">
        <v>713200</v>
      </c>
      <c r="C375" s="83" t="n">
        <v>355175</v>
      </c>
      <c r="D375" s="83" t="n">
        <v>12946875</v>
      </c>
      <c r="E375" s="83" t="n">
        <v>12115495</v>
      </c>
      <c r="F375" s="83" t="n">
        <v>3841544</v>
      </c>
      <c r="G375" s="83" t="n">
        <v>3960293</v>
      </c>
      <c r="H375" s="83" t="n">
        <v>19917332</v>
      </c>
    </row>
    <row r="376" ht="12.8" customHeight="1" s="82">
      <c r="A376" s="83" t="inlineStr">
        <is>
          <t>00000_713900</t>
        </is>
      </c>
      <c r="B376" s="83" t="n">
        <v>713900</v>
      </c>
      <c r="C376" s="83" t="n">
        <v>1368673</v>
      </c>
      <c r="D376" s="83" t="n">
        <v>49891008</v>
      </c>
      <c r="E376" s="83" t="n">
        <v>46687269</v>
      </c>
      <c r="F376" s="83" t="n">
        <v>14803457</v>
      </c>
      <c r="G376" s="83" t="n">
        <v>15261059</v>
      </c>
      <c r="H376" s="83" t="n">
        <v>76751785</v>
      </c>
    </row>
    <row r="377" ht="12.8" customHeight="1" s="82">
      <c r="A377" s="83" t="inlineStr">
        <is>
          <t>00000_721000</t>
        </is>
      </c>
      <c r="B377" s="83" t="n">
        <v>721000</v>
      </c>
      <c r="C377" s="83" t="n">
        <v>2020401</v>
      </c>
      <c r="D377" s="83" t="n">
        <v>103906757</v>
      </c>
      <c r="E377" s="83" t="n">
        <v>92853020</v>
      </c>
      <c r="F377" s="83" t="n">
        <v>87292902</v>
      </c>
      <c r="G377" s="83" t="n">
        <v>35685964</v>
      </c>
      <c r="H377" s="83" t="n">
        <v>215831886</v>
      </c>
    </row>
    <row r="378" ht="12.8" customHeight="1" s="82">
      <c r="A378" s="83" t="inlineStr">
        <is>
          <t>00000_722110</t>
        </is>
      </c>
      <c r="B378" s="83" t="n">
        <v>722110</v>
      </c>
      <c r="C378" s="83" t="n">
        <v>6291272</v>
      </c>
      <c r="D378" s="83" t="n">
        <v>210751836</v>
      </c>
      <c r="E378" s="83" t="n">
        <v>199080290</v>
      </c>
      <c r="F378" s="83" t="n">
        <v>58835258</v>
      </c>
      <c r="G378" s="83" t="n">
        <v>35931043</v>
      </c>
      <c r="H378" s="83" t="n">
        <v>293846591</v>
      </c>
    </row>
    <row r="379" ht="12.8" customHeight="1" s="82">
      <c r="A379" s="83" t="inlineStr">
        <is>
          <t>00000_722211</t>
        </is>
      </c>
      <c r="B379" s="83" t="n">
        <v>722211</v>
      </c>
      <c r="C379" s="83" t="n">
        <v>4120377</v>
      </c>
      <c r="D379" s="83" t="n">
        <v>138028842</v>
      </c>
      <c r="E379" s="83" t="n">
        <v>130384733</v>
      </c>
      <c r="F379" s="83" t="n">
        <v>38533294</v>
      </c>
      <c r="G379" s="83" t="n">
        <v>23532513</v>
      </c>
      <c r="H379" s="83" t="n">
        <v>192450539</v>
      </c>
    </row>
    <row r="380" ht="12.8" customHeight="1" s="82">
      <c r="A380" s="83" t="inlineStr">
        <is>
          <t>00000_722A00</t>
        </is>
      </c>
      <c r="B380" s="83" t="inlineStr">
        <is>
          <t>722A00</t>
        </is>
      </c>
      <c r="C380" s="83" t="n">
        <v>2318259</v>
      </c>
      <c r="D380" s="83" t="n">
        <v>77659550</v>
      </c>
      <c r="E380" s="83" t="n">
        <v>73358724</v>
      </c>
      <c r="F380" s="83" t="n">
        <v>21680094</v>
      </c>
      <c r="G380" s="83" t="n">
        <v>13240163</v>
      </c>
      <c r="H380" s="83" t="n">
        <v>108278981</v>
      </c>
    </row>
    <row r="381" ht="12.8" customHeight="1" s="82">
      <c r="A381" s="83" t="inlineStr">
        <is>
          <t>00000_811100</t>
        </is>
      </c>
      <c r="B381" s="83" t="n">
        <v>811100</v>
      </c>
      <c r="C381" s="83" t="n">
        <v>1673845</v>
      </c>
      <c r="D381" s="83" t="n">
        <v>92920338</v>
      </c>
      <c r="E381" s="83" t="n">
        <v>60123061</v>
      </c>
      <c r="F381" s="83" t="n">
        <v>18403920</v>
      </c>
      <c r="G381" s="83" t="n">
        <v>4775454</v>
      </c>
      <c r="H381" s="83" t="n">
        <v>83302434</v>
      </c>
    </row>
    <row r="382" ht="12.8" customHeight="1" s="82">
      <c r="A382" s="83" t="inlineStr">
        <is>
          <t>00000_811200</t>
        </is>
      </c>
      <c r="B382" s="83" t="n">
        <v>811200</v>
      </c>
      <c r="C382" s="83" t="n">
        <v>225029</v>
      </c>
      <c r="D382" s="83" t="n">
        <v>12492052</v>
      </c>
      <c r="E382" s="83" t="n">
        <v>8082842</v>
      </c>
      <c r="F382" s="83" t="n">
        <v>2474192</v>
      </c>
      <c r="G382" s="83" t="n">
        <v>642004</v>
      </c>
      <c r="H382" s="83" t="n">
        <v>11199038</v>
      </c>
    </row>
    <row r="383" ht="12.8" customHeight="1" s="82">
      <c r="A383" s="83" t="inlineStr">
        <is>
          <t>00000_811300</t>
        </is>
      </c>
      <c r="B383" s="83" t="n">
        <v>811300</v>
      </c>
      <c r="C383" s="83" t="n">
        <v>559150</v>
      </c>
      <c r="D383" s="83" t="n">
        <v>31040171</v>
      </c>
      <c r="E383" s="83" t="n">
        <v>20084194</v>
      </c>
      <c r="F383" s="83" t="n">
        <v>6147856</v>
      </c>
      <c r="G383" s="83" t="n">
        <v>1595247</v>
      </c>
      <c r="H383" s="83" t="n">
        <v>27827296</v>
      </c>
    </row>
    <row r="384" ht="12.8" customHeight="1" s="82">
      <c r="A384" s="83" t="inlineStr">
        <is>
          <t>00000_811400</t>
        </is>
      </c>
      <c r="B384" s="83" t="n">
        <v>811400</v>
      </c>
      <c r="C384" s="83" t="n">
        <v>130088</v>
      </c>
      <c r="D384" s="83" t="n">
        <v>7221597</v>
      </c>
      <c r="E384" s="83" t="n">
        <v>4672653</v>
      </c>
      <c r="F384" s="83" t="n">
        <v>1430319</v>
      </c>
      <c r="G384" s="83" t="n">
        <v>371139</v>
      </c>
      <c r="H384" s="83" t="n">
        <v>6474111</v>
      </c>
    </row>
    <row r="385" ht="12.8" customHeight="1" s="82">
      <c r="A385" s="83" t="inlineStr">
        <is>
          <t>00000_812100</t>
        </is>
      </c>
      <c r="B385" s="83" t="n">
        <v>812100</v>
      </c>
      <c r="C385" s="83" t="n">
        <v>2036230</v>
      </c>
      <c r="D385" s="83" t="n">
        <v>63128046</v>
      </c>
      <c r="E385" s="83" t="n">
        <v>34194752</v>
      </c>
      <c r="F385" s="83" t="n">
        <v>10467157</v>
      </c>
      <c r="G385" s="83" t="n">
        <v>2716020</v>
      </c>
      <c r="H385" s="83" t="n">
        <v>47377929</v>
      </c>
    </row>
    <row r="386" ht="12.8" customHeight="1" s="82">
      <c r="A386" s="83" t="inlineStr">
        <is>
          <t>00000_812200</t>
        </is>
      </c>
      <c r="B386" s="83" t="n">
        <v>812200</v>
      </c>
      <c r="C386" s="83" t="n">
        <v>604674</v>
      </c>
      <c r="D386" s="83" t="n">
        <v>18746345</v>
      </c>
      <c r="E386" s="83" t="n">
        <v>10154387</v>
      </c>
      <c r="F386" s="83" t="n">
        <v>3108300</v>
      </c>
      <c r="G386" s="83" t="n">
        <v>806542</v>
      </c>
      <c r="H386" s="83" t="n">
        <v>14069230</v>
      </c>
    </row>
    <row r="387" ht="12.8" customHeight="1" s="82">
      <c r="A387" s="83" t="inlineStr">
        <is>
          <t>00000_812300</t>
        </is>
      </c>
      <c r="B387" s="83" t="n">
        <v>812300</v>
      </c>
      <c r="C387" s="83" t="n">
        <v>900503</v>
      </c>
      <c r="D387" s="83" t="n">
        <v>27917753</v>
      </c>
      <c r="E387" s="83" t="n">
        <v>15122291</v>
      </c>
      <c r="F387" s="83" t="n">
        <v>4628996</v>
      </c>
      <c r="G387" s="83" t="n">
        <v>1201133</v>
      </c>
      <c r="H387" s="83" t="n">
        <v>20952420</v>
      </c>
    </row>
    <row r="388" ht="12.8" customHeight="1" s="82">
      <c r="A388" s="83" t="inlineStr">
        <is>
          <t>00000_812900</t>
        </is>
      </c>
      <c r="B388" s="83" t="n">
        <v>812900</v>
      </c>
      <c r="C388" s="83" t="n">
        <v>1204520</v>
      </c>
      <c r="D388" s="83" t="n">
        <v>37343011</v>
      </c>
      <c r="E388" s="83" t="n">
        <v>20227697</v>
      </c>
      <c r="F388" s="83" t="n">
        <v>6191783</v>
      </c>
      <c r="G388" s="83" t="n">
        <v>1606645</v>
      </c>
      <c r="H388" s="83" t="n">
        <v>28026125</v>
      </c>
    </row>
    <row r="389" ht="12.8" customHeight="1" s="82">
      <c r="A389" s="83" t="inlineStr">
        <is>
          <t>00000_813100</t>
        </is>
      </c>
      <c r="B389" s="83" t="n">
        <v>813100</v>
      </c>
      <c r="C389" s="83" t="n">
        <v>601120</v>
      </c>
      <c r="D389" s="83" t="n">
        <v>37796375</v>
      </c>
      <c r="E389" s="83" t="n">
        <v>37221916</v>
      </c>
      <c r="F389" s="83" t="n">
        <v>11393784</v>
      </c>
      <c r="G389" s="83" t="n">
        <v>2956462</v>
      </c>
      <c r="H389" s="83" t="n">
        <v>51572163</v>
      </c>
    </row>
    <row r="390" ht="12.8" customHeight="1" s="82">
      <c r="A390" s="83" t="inlineStr">
        <is>
          <t>00000_813A00</t>
        </is>
      </c>
      <c r="B390" s="83" t="inlineStr">
        <is>
          <t>813A00</t>
        </is>
      </c>
      <c r="C390" s="83" t="n">
        <v>1038269</v>
      </c>
      <c r="D390" s="83" t="n">
        <v>65282846</v>
      </c>
      <c r="E390" s="83" t="n">
        <v>64290627</v>
      </c>
      <c r="F390" s="83" t="n">
        <v>19679630</v>
      </c>
      <c r="G390" s="83" t="n">
        <v>5106475</v>
      </c>
      <c r="H390" s="83" t="n">
        <v>89076732</v>
      </c>
    </row>
    <row r="391" ht="12.8" customHeight="1" s="82">
      <c r="A391" s="83" t="inlineStr">
        <is>
          <t>00000_813B00</t>
        </is>
      </c>
      <c r="B391" s="83" t="inlineStr">
        <is>
          <t>813B00</t>
        </is>
      </c>
      <c r="C391" s="83" t="n">
        <v>1512732</v>
      </c>
      <c r="D391" s="83" t="n">
        <v>95115486</v>
      </c>
      <c r="E391" s="83" t="n">
        <v>93669847</v>
      </c>
      <c r="F391" s="83" t="n">
        <v>28672732</v>
      </c>
      <c r="G391" s="83" t="n">
        <v>7440007</v>
      </c>
      <c r="H391" s="83" t="n">
        <v>129782586</v>
      </c>
    </row>
    <row r="392" ht="12.8" customHeight="1" s="82">
      <c r="A392" s="83" t="inlineStr">
        <is>
          <t>00000_814000</t>
        </is>
      </c>
      <c r="B392" s="83" t="n">
        <v>814000</v>
      </c>
      <c r="C392" s="83" t="n">
        <v>1130006</v>
      </c>
      <c r="D392" s="83" t="n">
        <v>25081488</v>
      </c>
      <c r="E392" s="83" t="n">
        <v>25096939</v>
      </c>
      <c r="F392" s="83" t="n">
        <v>7682278</v>
      </c>
      <c r="G392" s="83" t="n">
        <v>1993399</v>
      </c>
      <c r="H392" s="83" t="n">
        <v>34772617</v>
      </c>
    </row>
    <row r="393" ht="12.8" customHeight="1" s="82">
      <c r="A393" s="83" t="inlineStr">
        <is>
          <t>00000_S00500</t>
        </is>
      </c>
      <c r="B393" s="83" t="inlineStr">
        <is>
          <t>S00500</t>
        </is>
      </c>
      <c r="C393" s="83" t="n">
        <v>1869014</v>
      </c>
      <c r="D393" s="83" t="n">
        <v>158045017</v>
      </c>
      <c r="E393" s="83" t="n">
        <v>157200010</v>
      </c>
      <c r="F393" s="83" t="n">
        <v>82326766</v>
      </c>
      <c r="G393" s="83" t="n">
        <v>609</v>
      </c>
      <c r="H393" s="83" t="n">
        <v>239527385</v>
      </c>
    </row>
    <row r="394" ht="12.8" customHeight="1" s="82">
      <c r="A394" s="83" t="inlineStr">
        <is>
          <t>00000_S00600</t>
        </is>
      </c>
      <c r="B394" s="83" t="inlineStr">
        <is>
          <t>S00600</t>
        </is>
      </c>
      <c r="C394" s="83" t="n">
        <v>2291873</v>
      </c>
      <c r="D394" s="83" t="n">
        <v>312506503</v>
      </c>
      <c r="E394" s="83" t="n">
        <v>312258015</v>
      </c>
      <c r="F394" s="83" t="n">
        <v>131460219</v>
      </c>
      <c r="G394" s="83" t="n">
        <v>-9370652</v>
      </c>
      <c r="H394" s="83" t="n">
        <v>434347582</v>
      </c>
    </row>
    <row r="395" ht="12.8" customHeight="1" s="82">
      <c r="A395" s="83" t="inlineStr">
        <is>
          <t>00000_491000</t>
        </is>
      </c>
      <c r="B395" s="83" t="n">
        <v>491000</v>
      </c>
      <c r="C395" s="83" t="n">
        <v>606005</v>
      </c>
      <c r="D395" s="83" t="n">
        <v>82631314</v>
      </c>
      <c r="E395" s="83" t="n">
        <v>82565610</v>
      </c>
      <c r="F395" s="83" t="n">
        <v>34760015</v>
      </c>
      <c r="G395" s="83" t="n">
        <v>-2477738</v>
      </c>
      <c r="H395" s="83" t="n">
        <v>114847886</v>
      </c>
    </row>
    <row r="396" ht="12.8" customHeight="1" s="82">
      <c r="A396" s="83" t="inlineStr">
        <is>
          <t>00000_S00101</t>
        </is>
      </c>
      <c r="B396" s="83" t="inlineStr">
        <is>
          <t>S00101</t>
        </is>
      </c>
      <c r="C396" s="83" t="n">
        <v>22143</v>
      </c>
      <c r="D396" s="83" t="n">
        <v>3019356</v>
      </c>
      <c r="E396" s="83" t="n">
        <v>3016955</v>
      </c>
      <c r="F396" s="83" t="n">
        <v>1270134</v>
      </c>
      <c r="G396" s="83" t="n">
        <v>-90537</v>
      </c>
      <c r="H396" s="83" t="n">
        <v>4196552</v>
      </c>
    </row>
    <row r="397" ht="12.8" customHeight="1" s="82">
      <c r="A397" s="83" t="inlineStr">
        <is>
          <t>00000_S00102</t>
        </is>
      </c>
      <c r="B397" s="83" t="inlineStr">
        <is>
          <t>S00102</t>
        </is>
      </c>
      <c r="C397" s="83" t="n">
        <v>0</v>
      </c>
      <c r="D397" s="83" t="n">
        <v>0</v>
      </c>
      <c r="E397" s="83" t="n">
        <v>0</v>
      </c>
      <c r="F397" s="83" t="n">
        <v>0</v>
      </c>
      <c r="G397" s="83" t="n">
        <v>0</v>
      </c>
      <c r="H397" s="83" t="n">
        <v>0</v>
      </c>
    </row>
    <row r="398" ht="12.8" customHeight="1" s="82">
      <c r="A398" s="83" t="inlineStr">
        <is>
          <t>00000_GSLGE</t>
        </is>
      </c>
      <c r="B398" s="83" t="inlineStr">
        <is>
          <t>GSLGE</t>
        </is>
      </c>
      <c r="C398" s="83" t="n">
        <v>9835917</v>
      </c>
      <c r="D398" s="83" t="n">
        <v>850765226</v>
      </c>
      <c r="E398" s="83" t="n">
        <v>849716249</v>
      </c>
      <c r="F398" s="83" t="n">
        <v>186657449</v>
      </c>
      <c r="G398" s="83" t="n">
        <v>-24256182</v>
      </c>
      <c r="H398" s="83" t="n">
        <v>1012117515</v>
      </c>
    </row>
    <row r="399" ht="12.8" customHeight="1" s="82">
      <c r="A399" s="83" t="inlineStr">
        <is>
          <t>00000_GSLGH</t>
        </is>
      </c>
      <c r="B399" s="83" t="inlineStr">
        <is>
          <t>GSLGH</t>
        </is>
      </c>
      <c r="C399" s="83" t="n">
        <v>2175709</v>
      </c>
      <c r="D399" s="83" t="n">
        <v>188189621</v>
      </c>
      <c r="E399" s="83" t="n">
        <v>187957586</v>
      </c>
      <c r="F399" s="83" t="n">
        <v>41288705</v>
      </c>
      <c r="G399" s="83" t="n">
        <v>-5365478</v>
      </c>
      <c r="H399" s="83" t="n">
        <v>223880814</v>
      </c>
    </row>
    <row r="400" ht="12.8" customHeight="1" s="82">
      <c r="A400" s="83" t="inlineStr">
        <is>
          <t>00000_GSLGO</t>
        </is>
      </c>
      <c r="B400" s="83" t="inlineStr">
        <is>
          <t>GSLGO</t>
        </is>
      </c>
      <c r="C400" s="83" t="n">
        <v>6936121</v>
      </c>
      <c r="D400" s="83" t="n">
        <v>599945119</v>
      </c>
      <c r="E400" s="83" t="n">
        <v>599205398</v>
      </c>
      <c r="F400" s="83" t="n">
        <v>131627647</v>
      </c>
      <c r="G400" s="83" t="n">
        <v>-17105046</v>
      </c>
      <c r="H400" s="83" t="n">
        <v>713728000</v>
      </c>
    </row>
    <row r="401" ht="12.8" customHeight="1" s="82">
      <c r="A401" s="83" t="inlineStr">
        <is>
          <t>00000_S00201</t>
        </is>
      </c>
      <c r="B401" s="83" t="inlineStr">
        <is>
          <t>S00201</t>
        </is>
      </c>
      <c r="C401" s="83" t="n">
        <v>317939</v>
      </c>
      <c r="D401" s="83" t="n">
        <v>27500393</v>
      </c>
      <c r="E401" s="83" t="n">
        <v>27466486</v>
      </c>
      <c r="F401" s="83" t="n">
        <v>6033572</v>
      </c>
      <c r="G401" s="83" t="n">
        <v>-784064</v>
      </c>
      <c r="H401" s="83" t="n">
        <v>32715994</v>
      </c>
    </row>
    <row r="402" ht="12.8" customHeight="1" s="82">
      <c r="A402" s="83" t="inlineStr">
        <is>
          <t>00000_S00202</t>
        </is>
      </c>
      <c r="B402" s="83" t="inlineStr">
        <is>
          <t>S00202</t>
        </is>
      </c>
      <c r="C402" s="83" t="n">
        <v>143444</v>
      </c>
      <c r="D402" s="83" t="n">
        <v>12407340</v>
      </c>
      <c r="E402" s="83" t="n">
        <v>12392042</v>
      </c>
      <c r="F402" s="83" t="n">
        <v>2722164</v>
      </c>
      <c r="G402" s="83" t="n">
        <v>-353746</v>
      </c>
      <c r="H402" s="83" t="n">
        <v>14760460</v>
      </c>
    </row>
    <row r="403" ht="12.8" customHeight="1" s="82">
      <c r="A403" s="83" t="inlineStr">
        <is>
          <t>00000_S00203</t>
        </is>
      </c>
      <c r="B403" s="83" t="inlineStr">
        <is>
          <t>S00203</t>
        </is>
      </c>
      <c r="C403" s="83" t="n">
        <v>0</v>
      </c>
      <c r="D403" s="83" t="n">
        <v>0</v>
      </c>
      <c r="E403" s="83" t="n">
        <v>0</v>
      </c>
      <c r="F403" s="83" t="n">
        <v>0</v>
      </c>
      <c r="G403" s="83" t="n">
        <v>0</v>
      </c>
      <c r="H403" s="83" t="n">
        <v>0</v>
      </c>
    </row>
    <row r="404" ht="12.8" customHeight="1" s="82">
      <c r="C404" s="83" t="inlineStr">
        <is>
          <t>employment</t>
        </is>
      </c>
      <c r="D404" s="83" t="inlineStr">
        <is>
          <t>earnings</t>
        </is>
      </c>
      <c r="E404" s="83" t="inlineStr">
        <is>
          <t>gdp_wages</t>
        </is>
      </c>
      <c r="F404" s="83" t="inlineStr">
        <is>
          <t>gdp_surplus</t>
        </is>
      </c>
      <c r="G404" s="83" t="inlineStr">
        <is>
          <t>gdp_nettax</t>
        </is>
      </c>
      <c r="H404" s="83" t="inlineStr">
        <is>
          <t>gdp_total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2025-04-03T09:37:04Z</dcterms:created>
  <dcterms:modified xmlns:dcterms="http://purl.org/dc/terms/" xmlns:xsi="http://www.w3.org/2001/XMLSchema-instance" xsi:type="dcterms:W3CDTF">2026-09-20T17:35:14Z</dcterms:modified>
  <cp:revision>20</cp:revision>
</cp:coreProperties>
</file>