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<sst xmlns="http://schemas.openxmlformats.org/spreadsheetml/2006/main" count="540" uniqueCount="442">
  <si>
    <t xml:space="preserve">use_int</t>
  </si>
  <si>
    <t xml:space="preserve">pce</t>
  </si>
  <si>
    <t xml:space="preserve">investment</t>
  </si>
  <si>
    <t xml:space="preserve">exports</t>
  </si>
  <si>
    <t xml:space="preserve">tot</t>
  </si>
  <si>
    <t xml:space="preserve">diff</t>
  </si>
  <si>
    <t xml:space="preserve">sup_int</t>
  </si>
  <si>
    <t xml:space="preserve">sup_tra</t>
  </si>
  <si>
    <t xml:space="preserve">S00300</t>
  </si>
  <si>
    <t xml:space="preserve">S00900</t>
  </si>
  <si>
    <t xml:space="preserve">agg</t>
  </si>
  <si>
    <t xml:space="preserve">initial</t>
  </si>
  <si>
    <t xml:space="preserve">balanced</t>
  </si>
  <si>
    <t xml:space="preserve">fix</t>
  </si>
  <si>
    <t xml:space="preserve">solution</t>
  </si>
  <si>
    <t xml:space="preserve">add difference to pce!</t>
  </si>
  <si>
    <t xml:space="preserve">target</t>
  </si>
  <si>
    <t xml:space="preserve">source</t>
  </si>
  <si>
    <t xml:space="preserve">fraction</t>
  </si>
  <si>
    <t xml:space="preserve">code</t>
  </si>
  <si>
    <t xml:space="preserve">previous</t>
  </si>
  <si>
    <t xml:space="preserve">results</t>
  </si>
  <si>
    <t xml:space="preserve">wages</t>
  </si>
  <si>
    <t xml:space="preserve">title</t>
  </si>
  <si>
    <t xml:space="preserve">333314</t>
  </si>
  <si>
    <t xml:space="preserve">333318</t>
  </si>
  <si>
    <t xml:space="preserve">X</t>
  </si>
  <si>
    <t xml:space="preserve">Optical instrument and lens manufacturing</t>
  </si>
  <si>
    <t xml:space="preserve">333316</t>
  </si>
  <si>
    <t xml:space="preserve">Photographic and photocopying equipment manufacturing</t>
  </si>
  <si>
    <t xml:space="preserve">335912</t>
  </si>
  <si>
    <t xml:space="preserve">335911</t>
  </si>
  <si>
    <t xml:space="preserve">Other commercial and service industry machinery manufacturing</t>
  </si>
  <si>
    <t xml:space="preserve">515200</t>
  </si>
  <si>
    <t xml:space="preserve">515100</t>
  </si>
  <si>
    <t xml:space="preserve">52A000</t>
  </si>
  <si>
    <t xml:space="preserve">522A00</t>
  </si>
  <si>
    <t xml:space="preserve">Storage battery manufacturing</t>
  </si>
  <si>
    <t xml:space="preserve">Primary battery manufacturing</t>
  </si>
  <si>
    <t xml:space="preserve">33329A</t>
  </si>
  <si>
    <t xml:space="preserve">Radio and television broadcasting</t>
  </si>
  <si>
    <t xml:space="preserve">Cable and other subscription programming</t>
  </si>
  <si>
    <t xml:space="preserve">335</t>
  </si>
  <si>
    <t xml:space="preserve">Nondepository credit intermediation and related activities</t>
  </si>
  <si>
    <t xml:space="preserve">Monetary authorities and depository credit intermediation</t>
  </si>
  <si>
    <t xml:space="preserve">wages_2017</t>
  </si>
  <si>
    <t xml:space="preserve">wages_2022</t>
  </si>
  <si>
    <t xml:space="preserve">ratio wages</t>
  </si>
  <si>
    <t xml:space="preserve">1111A0</t>
  </si>
  <si>
    <t xml:space="preserve">1111B0</t>
  </si>
  <si>
    <t xml:space="preserve">111200</t>
  </si>
  <si>
    <t xml:space="preserve">111300</t>
  </si>
  <si>
    <t xml:space="preserve">111400</t>
  </si>
  <si>
    <t xml:space="preserve">111900</t>
  </si>
  <si>
    <t xml:space="preserve">112120</t>
  </si>
  <si>
    <t xml:space="preserve">1121A0</t>
  </si>
  <si>
    <t xml:space="preserve">112300</t>
  </si>
  <si>
    <t xml:space="preserve">112A00</t>
  </si>
  <si>
    <t xml:space="preserve">113000</t>
  </si>
  <si>
    <t xml:space="preserve">114000</t>
  </si>
  <si>
    <t xml:space="preserve">115000</t>
  </si>
  <si>
    <t xml:space="preserve">211000</t>
  </si>
  <si>
    <t xml:space="preserve">212100</t>
  </si>
  <si>
    <t xml:space="preserve">212230</t>
  </si>
  <si>
    <t xml:space="preserve">2122A0</t>
  </si>
  <si>
    <t xml:space="preserve">212310</t>
  </si>
  <si>
    <t xml:space="preserve">2123A0</t>
  </si>
  <si>
    <t xml:space="preserve">213111</t>
  </si>
  <si>
    <t xml:space="preserve">21311A</t>
  </si>
  <si>
    <t xml:space="preserve">221100</t>
  </si>
  <si>
    <t xml:space="preserve">221200</t>
  </si>
  <si>
    <t xml:space="preserve">221300</t>
  </si>
  <si>
    <t xml:space="preserve">233210</t>
  </si>
  <si>
    <t xml:space="preserve">233262</t>
  </si>
  <si>
    <t xml:space="preserve">230301</t>
  </si>
  <si>
    <t xml:space="preserve">230302</t>
  </si>
  <si>
    <t xml:space="preserve">2332A0</t>
  </si>
  <si>
    <t xml:space="preserve">233412</t>
  </si>
  <si>
    <t xml:space="preserve">2334A0</t>
  </si>
  <si>
    <t xml:space="preserve">233230</t>
  </si>
  <si>
    <t xml:space="preserve">2332D0</t>
  </si>
  <si>
    <t xml:space="preserve">233240</t>
  </si>
  <si>
    <t xml:space="preserve">233411</t>
  </si>
  <si>
    <t xml:space="preserve">2332C0</t>
  </si>
  <si>
    <t xml:space="preserve">321100</t>
  </si>
  <si>
    <t xml:space="preserve">321200</t>
  </si>
  <si>
    <t xml:space="preserve">321910</t>
  </si>
  <si>
    <t xml:space="preserve">3219A0</t>
  </si>
  <si>
    <t xml:space="preserve">327100</t>
  </si>
  <si>
    <t xml:space="preserve">327200</t>
  </si>
  <si>
    <t xml:space="preserve">327310</t>
  </si>
  <si>
    <t xml:space="preserve">327320</t>
  </si>
  <si>
    <t xml:space="preserve">327330</t>
  </si>
  <si>
    <t xml:space="preserve">327390</t>
  </si>
  <si>
    <t xml:space="preserve">327400</t>
  </si>
  <si>
    <t xml:space="preserve">327910</t>
  </si>
  <si>
    <t xml:space="preserve">327991</t>
  </si>
  <si>
    <t xml:space="preserve">327992</t>
  </si>
  <si>
    <t xml:space="preserve">327993</t>
  </si>
  <si>
    <t xml:space="preserve">327999</t>
  </si>
  <si>
    <t xml:space="preserve">331110</t>
  </si>
  <si>
    <t xml:space="preserve">331200</t>
  </si>
  <si>
    <t xml:space="preserve">331314</t>
  </si>
  <si>
    <t xml:space="preserve">331313</t>
  </si>
  <si>
    <t xml:space="preserve">33131B</t>
  </si>
  <si>
    <t xml:space="preserve">331410</t>
  </si>
  <si>
    <t xml:space="preserve">331420</t>
  </si>
  <si>
    <t xml:space="preserve">331490</t>
  </si>
  <si>
    <t xml:space="preserve">331510</t>
  </si>
  <si>
    <t xml:space="preserve">331520</t>
  </si>
  <si>
    <t xml:space="preserve">332114</t>
  </si>
  <si>
    <t xml:space="preserve">33211A</t>
  </si>
  <si>
    <t xml:space="preserve">332119</t>
  </si>
  <si>
    <t xml:space="preserve">332200</t>
  </si>
  <si>
    <t xml:space="preserve">332310</t>
  </si>
  <si>
    <t xml:space="preserve">332320</t>
  </si>
  <si>
    <t xml:space="preserve">332410</t>
  </si>
  <si>
    <t xml:space="preserve">332420</t>
  </si>
  <si>
    <t xml:space="preserve">332430</t>
  </si>
  <si>
    <t xml:space="preserve">332500</t>
  </si>
  <si>
    <t xml:space="preserve">332600</t>
  </si>
  <si>
    <t xml:space="preserve">332710</t>
  </si>
  <si>
    <t xml:space="preserve">332720</t>
  </si>
  <si>
    <t xml:space="preserve">332800</t>
  </si>
  <si>
    <t xml:space="preserve">332913</t>
  </si>
  <si>
    <t xml:space="preserve">33291A</t>
  </si>
  <si>
    <t xml:space="preserve">332991</t>
  </si>
  <si>
    <t xml:space="preserve">332996</t>
  </si>
  <si>
    <t xml:space="preserve">33299A</t>
  </si>
  <si>
    <t xml:space="preserve">332999</t>
  </si>
  <si>
    <t xml:space="preserve">333111</t>
  </si>
  <si>
    <t xml:space="preserve">333112</t>
  </si>
  <si>
    <t xml:space="preserve">333120</t>
  </si>
  <si>
    <t xml:space="preserve">333130</t>
  </si>
  <si>
    <t xml:space="preserve">333242</t>
  </si>
  <si>
    <t xml:space="preserve">333414</t>
  </si>
  <si>
    <t xml:space="preserve">333415</t>
  </si>
  <si>
    <t xml:space="preserve">333413</t>
  </si>
  <si>
    <t xml:space="preserve">333511</t>
  </si>
  <si>
    <t xml:space="preserve">333514</t>
  </si>
  <si>
    <t xml:space="preserve">333517</t>
  </si>
  <si>
    <t xml:space="preserve">33351B</t>
  </si>
  <si>
    <t xml:space="preserve">333611</t>
  </si>
  <si>
    <t xml:space="preserve">333612</t>
  </si>
  <si>
    <t xml:space="preserve">333613</t>
  </si>
  <si>
    <t xml:space="preserve">333618</t>
  </si>
  <si>
    <t xml:space="preserve">333912</t>
  </si>
  <si>
    <t xml:space="preserve">333914</t>
  </si>
  <si>
    <t xml:space="preserve">333920</t>
  </si>
  <si>
    <t xml:space="preserve">333991</t>
  </si>
  <si>
    <t xml:space="preserve">333993</t>
  </si>
  <si>
    <t xml:space="preserve">333994</t>
  </si>
  <si>
    <t xml:space="preserve">33399A</t>
  </si>
  <si>
    <t xml:space="preserve">33399B</t>
  </si>
  <si>
    <t xml:space="preserve">334111</t>
  </si>
  <si>
    <t xml:space="preserve">334112</t>
  </si>
  <si>
    <t xml:space="preserve">334118</t>
  </si>
  <si>
    <t xml:space="preserve">334210</t>
  </si>
  <si>
    <t xml:space="preserve">334220</t>
  </si>
  <si>
    <t xml:space="preserve">334290</t>
  </si>
  <si>
    <t xml:space="preserve">334413</t>
  </si>
  <si>
    <t xml:space="preserve">334418</t>
  </si>
  <si>
    <t xml:space="preserve">33441A</t>
  </si>
  <si>
    <t xml:space="preserve">334510</t>
  </si>
  <si>
    <t xml:space="preserve">334511</t>
  </si>
  <si>
    <t xml:space="preserve">334512</t>
  </si>
  <si>
    <t xml:space="preserve">334513</t>
  </si>
  <si>
    <t xml:space="preserve">334514</t>
  </si>
  <si>
    <t xml:space="preserve">334515</t>
  </si>
  <si>
    <t xml:space="preserve">334516</t>
  </si>
  <si>
    <t xml:space="preserve">334517</t>
  </si>
  <si>
    <t xml:space="preserve">33451A</t>
  </si>
  <si>
    <t xml:space="preserve">334300</t>
  </si>
  <si>
    <t xml:space="preserve">334610</t>
  </si>
  <si>
    <t xml:space="preserve">335110</t>
  </si>
  <si>
    <t xml:space="preserve">335120</t>
  </si>
  <si>
    <t xml:space="preserve">335210</t>
  </si>
  <si>
    <t xml:space="preserve">335220</t>
  </si>
  <si>
    <t xml:space="preserve">335311</t>
  </si>
  <si>
    <t xml:space="preserve">335312</t>
  </si>
  <si>
    <t xml:space="preserve">335313</t>
  </si>
  <si>
    <t xml:space="preserve">335314</t>
  </si>
  <si>
    <t xml:space="preserve">335920</t>
  </si>
  <si>
    <t xml:space="preserve">335930</t>
  </si>
  <si>
    <t xml:space="preserve">335991</t>
  </si>
  <si>
    <t xml:space="preserve">335999</t>
  </si>
  <si>
    <t xml:space="preserve">336111</t>
  </si>
  <si>
    <t xml:space="preserve">336112</t>
  </si>
  <si>
    <t xml:space="preserve">336120</t>
  </si>
  <si>
    <t xml:space="preserve">336211</t>
  </si>
  <si>
    <t xml:space="preserve">336212</t>
  </si>
  <si>
    <t xml:space="preserve">336213</t>
  </si>
  <si>
    <t xml:space="preserve">336214</t>
  </si>
  <si>
    <t xml:space="preserve">336310</t>
  </si>
  <si>
    <t xml:space="preserve">336320</t>
  </si>
  <si>
    <t xml:space="preserve">336350</t>
  </si>
  <si>
    <t xml:space="preserve">336360</t>
  </si>
  <si>
    <t xml:space="preserve">336370</t>
  </si>
  <si>
    <t xml:space="preserve">336390</t>
  </si>
  <si>
    <t xml:space="preserve">3363A0</t>
  </si>
  <si>
    <t xml:space="preserve">336411</t>
  </si>
  <si>
    <t xml:space="preserve">336412</t>
  </si>
  <si>
    <t xml:space="preserve">336413</t>
  </si>
  <si>
    <t xml:space="preserve">336414</t>
  </si>
  <si>
    <t xml:space="preserve">33641A</t>
  </si>
  <si>
    <t xml:space="preserve">336500</t>
  </si>
  <si>
    <t xml:space="preserve">336611</t>
  </si>
  <si>
    <t xml:space="preserve">336612</t>
  </si>
  <si>
    <t xml:space="preserve">336991</t>
  </si>
  <si>
    <t xml:space="preserve">336992</t>
  </si>
  <si>
    <t xml:space="preserve">336999</t>
  </si>
  <si>
    <t xml:space="preserve">337110</t>
  </si>
  <si>
    <t xml:space="preserve">337121</t>
  </si>
  <si>
    <t xml:space="preserve">337122</t>
  </si>
  <si>
    <t xml:space="preserve">337127</t>
  </si>
  <si>
    <t xml:space="preserve">33712N</t>
  </si>
  <si>
    <t xml:space="preserve">337215</t>
  </si>
  <si>
    <t xml:space="preserve">33721A</t>
  </si>
  <si>
    <t xml:space="preserve">337900</t>
  </si>
  <si>
    <t xml:space="preserve">339112</t>
  </si>
  <si>
    <t xml:space="preserve">339113</t>
  </si>
  <si>
    <t xml:space="preserve">339114</t>
  </si>
  <si>
    <t xml:space="preserve">339115</t>
  </si>
  <si>
    <t xml:space="preserve">339116</t>
  </si>
  <si>
    <t xml:space="preserve">339910</t>
  </si>
  <si>
    <t xml:space="preserve">339920</t>
  </si>
  <si>
    <t xml:space="preserve">339930</t>
  </si>
  <si>
    <t xml:space="preserve">339940</t>
  </si>
  <si>
    <t xml:space="preserve">339950</t>
  </si>
  <si>
    <t xml:space="preserve">339990</t>
  </si>
  <si>
    <t xml:space="preserve">311111</t>
  </si>
  <si>
    <t xml:space="preserve">311119</t>
  </si>
  <si>
    <t xml:space="preserve">311210</t>
  </si>
  <si>
    <t xml:space="preserve">311221</t>
  </si>
  <si>
    <t xml:space="preserve">311225</t>
  </si>
  <si>
    <t xml:space="preserve">311224</t>
  </si>
  <si>
    <t xml:space="preserve">311230</t>
  </si>
  <si>
    <t xml:space="preserve">311300</t>
  </si>
  <si>
    <t xml:space="preserve">311410</t>
  </si>
  <si>
    <t xml:space="preserve">311420</t>
  </si>
  <si>
    <t xml:space="preserve">311513</t>
  </si>
  <si>
    <t xml:space="preserve">311514</t>
  </si>
  <si>
    <t xml:space="preserve">31151A</t>
  </si>
  <si>
    <t xml:space="preserve">311520</t>
  </si>
  <si>
    <t xml:space="preserve">311615</t>
  </si>
  <si>
    <t xml:space="preserve">31161A</t>
  </si>
  <si>
    <t xml:space="preserve">311700</t>
  </si>
  <si>
    <t xml:space="preserve">311810</t>
  </si>
  <si>
    <t xml:space="preserve">3118A0</t>
  </si>
  <si>
    <t xml:space="preserve">311910</t>
  </si>
  <si>
    <t xml:space="preserve">311920</t>
  </si>
  <si>
    <t xml:space="preserve">311930</t>
  </si>
  <si>
    <t xml:space="preserve">311940</t>
  </si>
  <si>
    <t xml:space="preserve">311990</t>
  </si>
  <si>
    <t xml:space="preserve">312110</t>
  </si>
  <si>
    <t xml:space="preserve">312120</t>
  </si>
  <si>
    <t xml:space="preserve">312130</t>
  </si>
  <si>
    <t xml:space="preserve">312140</t>
  </si>
  <si>
    <t xml:space="preserve">312200</t>
  </si>
  <si>
    <t xml:space="preserve">313100</t>
  </si>
  <si>
    <t xml:space="preserve">313200</t>
  </si>
  <si>
    <t xml:space="preserve">313300</t>
  </si>
  <si>
    <t xml:space="preserve">314110</t>
  </si>
  <si>
    <t xml:space="preserve">314120</t>
  </si>
  <si>
    <t xml:space="preserve">314900</t>
  </si>
  <si>
    <t xml:space="preserve">315000</t>
  </si>
  <si>
    <t xml:space="preserve">316000</t>
  </si>
  <si>
    <t xml:space="preserve">322110</t>
  </si>
  <si>
    <t xml:space="preserve">322120</t>
  </si>
  <si>
    <t xml:space="preserve">322130</t>
  </si>
  <si>
    <t xml:space="preserve">322210</t>
  </si>
  <si>
    <t xml:space="preserve">322220</t>
  </si>
  <si>
    <t xml:space="preserve">322230</t>
  </si>
  <si>
    <t xml:space="preserve">322291</t>
  </si>
  <si>
    <t xml:space="preserve">322299</t>
  </si>
  <si>
    <t xml:space="preserve">323110</t>
  </si>
  <si>
    <t xml:space="preserve">323120</t>
  </si>
  <si>
    <t xml:space="preserve">324110</t>
  </si>
  <si>
    <t xml:space="preserve">324121</t>
  </si>
  <si>
    <t xml:space="preserve">324122</t>
  </si>
  <si>
    <t xml:space="preserve">324190</t>
  </si>
  <si>
    <t xml:space="preserve">325110</t>
  </si>
  <si>
    <t xml:space="preserve">325120</t>
  </si>
  <si>
    <t xml:space="preserve">325130</t>
  </si>
  <si>
    <t xml:space="preserve">325180</t>
  </si>
  <si>
    <t xml:space="preserve">325190</t>
  </si>
  <si>
    <t xml:space="preserve">325211</t>
  </si>
  <si>
    <t xml:space="preserve">3252A0</t>
  </si>
  <si>
    <t xml:space="preserve">325411</t>
  </si>
  <si>
    <t xml:space="preserve">325412</t>
  </si>
  <si>
    <t xml:space="preserve">325413</t>
  </si>
  <si>
    <t xml:space="preserve">325414</t>
  </si>
  <si>
    <t xml:space="preserve">325310</t>
  </si>
  <si>
    <t xml:space="preserve">325320</t>
  </si>
  <si>
    <t xml:space="preserve">325510</t>
  </si>
  <si>
    <t xml:space="preserve">325520</t>
  </si>
  <si>
    <t xml:space="preserve">325610</t>
  </si>
  <si>
    <t xml:space="preserve">325620</t>
  </si>
  <si>
    <t xml:space="preserve">325910</t>
  </si>
  <si>
    <t xml:space="preserve">3259A0</t>
  </si>
  <si>
    <t xml:space="preserve">326110</t>
  </si>
  <si>
    <t xml:space="preserve">326120</t>
  </si>
  <si>
    <t xml:space="preserve">326130</t>
  </si>
  <si>
    <t xml:space="preserve">326140</t>
  </si>
  <si>
    <t xml:space="preserve">326150</t>
  </si>
  <si>
    <t xml:space="preserve">326160</t>
  </si>
  <si>
    <t xml:space="preserve">326190</t>
  </si>
  <si>
    <t xml:space="preserve">326210</t>
  </si>
  <si>
    <t xml:space="preserve">326220</t>
  </si>
  <si>
    <t xml:space="preserve">326290</t>
  </si>
  <si>
    <t xml:space="preserve">423100</t>
  </si>
  <si>
    <t xml:space="preserve">423400</t>
  </si>
  <si>
    <t xml:space="preserve">423600</t>
  </si>
  <si>
    <t xml:space="preserve">423800</t>
  </si>
  <si>
    <t xml:space="preserve">423A00</t>
  </si>
  <si>
    <t xml:space="preserve">424200</t>
  </si>
  <si>
    <t xml:space="preserve">424400</t>
  </si>
  <si>
    <t xml:space="preserve">424700</t>
  </si>
  <si>
    <t xml:space="preserve">424A00</t>
  </si>
  <si>
    <t xml:space="preserve">425000</t>
  </si>
  <si>
    <t xml:space="preserve">4200ID</t>
  </si>
  <si>
    <t xml:space="preserve">441000</t>
  </si>
  <si>
    <t xml:space="preserve">445000</t>
  </si>
  <si>
    <t xml:space="preserve">452000</t>
  </si>
  <si>
    <t xml:space="preserve">444000</t>
  </si>
  <si>
    <t xml:space="preserve">446000</t>
  </si>
  <si>
    <t xml:space="preserve">447000</t>
  </si>
  <si>
    <t xml:space="preserve">448000</t>
  </si>
  <si>
    <t xml:space="preserve">454000</t>
  </si>
  <si>
    <t xml:space="preserve">4B0000</t>
  </si>
  <si>
    <t xml:space="preserve">481000</t>
  </si>
  <si>
    <t xml:space="preserve">482000</t>
  </si>
  <si>
    <t xml:space="preserve">483000</t>
  </si>
  <si>
    <t xml:space="preserve">484000</t>
  </si>
  <si>
    <t xml:space="preserve">485000</t>
  </si>
  <si>
    <t xml:space="preserve">486000</t>
  </si>
  <si>
    <t xml:space="preserve">48A000</t>
  </si>
  <si>
    <t xml:space="preserve">492000</t>
  </si>
  <si>
    <t xml:space="preserve">493000</t>
  </si>
  <si>
    <t xml:space="preserve">511110</t>
  </si>
  <si>
    <t xml:space="preserve">511120</t>
  </si>
  <si>
    <t xml:space="preserve">511130</t>
  </si>
  <si>
    <t xml:space="preserve">5111A0</t>
  </si>
  <si>
    <t xml:space="preserve">511200</t>
  </si>
  <si>
    <t xml:space="preserve">512100</t>
  </si>
  <si>
    <t xml:space="preserve">512200</t>
  </si>
  <si>
    <t xml:space="preserve">517110</t>
  </si>
  <si>
    <t xml:space="preserve">517210</t>
  </si>
  <si>
    <t xml:space="preserve">517A00</t>
  </si>
  <si>
    <t xml:space="preserve">518200</t>
  </si>
  <si>
    <t xml:space="preserve">519130</t>
  </si>
  <si>
    <t xml:space="preserve">5191A0</t>
  </si>
  <si>
    <t xml:space="preserve">523900</t>
  </si>
  <si>
    <t xml:space="preserve">523A00</t>
  </si>
  <si>
    <t xml:space="preserve">524113</t>
  </si>
  <si>
    <t xml:space="preserve">5241XX</t>
  </si>
  <si>
    <t xml:space="preserve">524200</t>
  </si>
  <si>
    <t xml:space="preserve">525000</t>
  </si>
  <si>
    <t xml:space="preserve">531HSO</t>
  </si>
  <si>
    <t xml:space="preserve">531HST</t>
  </si>
  <si>
    <t xml:space="preserve">531ORE</t>
  </si>
  <si>
    <t xml:space="preserve">532100</t>
  </si>
  <si>
    <t xml:space="preserve">532400</t>
  </si>
  <si>
    <t xml:space="preserve">532A00</t>
  </si>
  <si>
    <t xml:space="preserve">533000</t>
  </si>
  <si>
    <t xml:space="preserve">541100</t>
  </si>
  <si>
    <t xml:space="preserve">541511</t>
  </si>
  <si>
    <t xml:space="preserve">541512</t>
  </si>
  <si>
    <t xml:space="preserve">54151A</t>
  </si>
  <si>
    <t xml:space="preserve">541200</t>
  </si>
  <si>
    <t xml:space="preserve">541300</t>
  </si>
  <si>
    <t xml:space="preserve">541610</t>
  </si>
  <si>
    <t xml:space="preserve">5416A0</t>
  </si>
  <si>
    <t xml:space="preserve">541700</t>
  </si>
  <si>
    <t xml:space="preserve">541800</t>
  </si>
  <si>
    <t xml:space="preserve">541400</t>
  </si>
  <si>
    <t xml:space="preserve">541920</t>
  </si>
  <si>
    <t xml:space="preserve">541940</t>
  </si>
  <si>
    <t xml:space="preserve">5419A0</t>
  </si>
  <si>
    <t xml:space="preserve">550000</t>
  </si>
  <si>
    <t xml:space="preserve">561300</t>
  </si>
  <si>
    <t xml:space="preserve">561700</t>
  </si>
  <si>
    <t xml:space="preserve">561100</t>
  </si>
  <si>
    <t xml:space="preserve">561200</t>
  </si>
  <si>
    <t xml:space="preserve">561400</t>
  </si>
  <si>
    <t xml:space="preserve">561500</t>
  </si>
  <si>
    <t xml:space="preserve">561600</t>
  </si>
  <si>
    <t xml:space="preserve">561900</t>
  </si>
  <si>
    <t xml:space="preserve">562000</t>
  </si>
  <si>
    <t xml:space="preserve">611100</t>
  </si>
  <si>
    <t xml:space="preserve">611A00</t>
  </si>
  <si>
    <t xml:space="preserve">611B00</t>
  </si>
  <si>
    <t xml:space="preserve">621100</t>
  </si>
  <si>
    <t xml:space="preserve">621200</t>
  </si>
  <si>
    <t xml:space="preserve">621300</t>
  </si>
  <si>
    <t xml:space="preserve">621400</t>
  </si>
  <si>
    <t xml:space="preserve">621500</t>
  </si>
  <si>
    <t xml:space="preserve">621600</t>
  </si>
  <si>
    <t xml:space="preserve">621900</t>
  </si>
  <si>
    <t xml:space="preserve">622000</t>
  </si>
  <si>
    <t xml:space="preserve">623A00</t>
  </si>
  <si>
    <t xml:space="preserve">623B00</t>
  </si>
  <si>
    <t xml:space="preserve">624100</t>
  </si>
  <si>
    <t xml:space="preserve">624400</t>
  </si>
  <si>
    <t xml:space="preserve">624A00</t>
  </si>
  <si>
    <t xml:space="preserve">711100</t>
  </si>
  <si>
    <t xml:space="preserve">711200</t>
  </si>
  <si>
    <t xml:space="preserve">711500</t>
  </si>
  <si>
    <t xml:space="preserve">711A00</t>
  </si>
  <si>
    <t xml:space="preserve">712000</t>
  </si>
  <si>
    <t xml:space="preserve">713100</t>
  </si>
  <si>
    <t xml:space="preserve">713200</t>
  </si>
  <si>
    <t xml:space="preserve">713900</t>
  </si>
  <si>
    <t xml:space="preserve">721000</t>
  </si>
  <si>
    <t xml:space="preserve">722110</t>
  </si>
  <si>
    <t xml:space="preserve">722211</t>
  </si>
  <si>
    <t xml:space="preserve">722A00</t>
  </si>
  <si>
    <t xml:space="preserve">811100</t>
  </si>
  <si>
    <t xml:space="preserve">811200</t>
  </si>
  <si>
    <t xml:space="preserve">811300</t>
  </si>
  <si>
    <t xml:space="preserve">811400</t>
  </si>
  <si>
    <t xml:space="preserve">812100</t>
  </si>
  <si>
    <t xml:space="preserve">812200</t>
  </si>
  <si>
    <t xml:space="preserve">812300</t>
  </si>
  <si>
    <t xml:space="preserve">812900</t>
  </si>
  <si>
    <t xml:space="preserve">813100</t>
  </si>
  <si>
    <t xml:space="preserve">813A00</t>
  </si>
  <si>
    <t xml:space="preserve">813B00</t>
  </si>
  <si>
    <t xml:space="preserve">814000</t>
  </si>
  <si>
    <t xml:space="preserve">S00500</t>
  </si>
  <si>
    <t xml:space="preserve">S00600</t>
  </si>
  <si>
    <t xml:space="preserve">491000</t>
  </si>
  <si>
    <t xml:space="preserve">S00101</t>
  </si>
  <si>
    <t xml:space="preserve">S00102</t>
  </si>
  <si>
    <t xml:space="preserve">GSLGE</t>
  </si>
  <si>
    <t xml:space="preserve">GSLGH</t>
  </si>
  <si>
    <t xml:space="preserve">GSLGO</t>
  </si>
  <si>
    <t xml:space="preserve">S00201</t>
  </si>
  <si>
    <t xml:space="preserve">S00202</t>
  </si>
  <si>
    <t xml:space="preserve">S00203</t>
  </si>
  <si>
    <t xml:space="preserve">TRADE</t>
  </si>
  <si>
    <t xml:space="preserve">TRANS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</si>
</sst>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999999"/>
      <name val="Calibri"/>
      <family val="2"/>
      <charset val="1"/>
    </font>
    <font>
      <sz val="10"/>
      <color rgb="FF999999"/>
      <name val="Arial"/>
      <family val="2"/>
      <charset val="1"/>
    </font>
    <font>
      <sz val="11"/>
      <color rgb="FF999999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2" customFormat="false" ht="13.8" hidden="false" customHeight="false" outlineLevel="0" collapsed="false">
      <c r="A2" s="1" t="n">
        <v>2017</v>
      </c>
      <c r="C2" s="1" t="s">
        <v>0</v>
      </c>
      <c r="D2" s="2" t="s">
        <v>1</v>
      </c>
      <c r="E2" s="2" t="s">
        <v>2</v>
      </c>
      <c r="F2" s="2" t="s">
        <v>3</v>
      </c>
      <c r="G2" s="3" t="s">
        <v>4</v>
      </c>
      <c r="H2" s="4" t="s">
        <v>5</v>
      </c>
      <c r="I2" s="4" t="s">
        <v>4</v>
      </c>
      <c r="J2" s="1" t="s">
        <v>6</v>
      </c>
      <c r="K2" s="1" t="s">
        <v>7</v>
      </c>
    </row>
    <row r="3" customFormat="false" ht="13.8" hidden="false" customHeight="false" outlineLevel="0" collapsed="false">
      <c r="B3" s="2" t="s">
        <v>8</v>
      </c>
      <c r="C3" s="1" t="n">
        <v>142497</v>
      </c>
      <c r="D3" s="1" t="n">
        <v>110221</v>
      </c>
      <c r="E3" s="1" t="n">
        <v>7711</v>
      </c>
      <c r="F3" s="1" t="n">
        <v>0</v>
      </c>
      <c r="G3" s="4" t="n">
        <f aca="false">SUM(C3:F3)</f>
        <v>260429</v>
      </c>
      <c r="H3" s="5" t="n">
        <f aca="false">G3-I3</f>
        <v>8</v>
      </c>
      <c r="I3" s="4" t="n">
        <f aca="false">SUM(J3:K3)</f>
        <v>260421</v>
      </c>
      <c r="J3" s="1" t="n">
        <v>0</v>
      </c>
      <c r="K3" s="1" t="n">
        <v>260421</v>
      </c>
    </row>
    <row r="4" customFormat="false" ht="13.8" hidden="false" customHeight="false" outlineLevel="0" collapsed="false">
      <c r="B4" s="2" t="s">
        <v>9</v>
      </c>
      <c r="C4" s="1" t="n">
        <v>0</v>
      </c>
      <c r="D4" s="1" t="n">
        <v>-200997</v>
      </c>
      <c r="E4" s="1" t="n">
        <v>0</v>
      </c>
      <c r="F4" s="1" t="n">
        <v>204439</v>
      </c>
      <c r="G4" s="4" t="n">
        <f aca="false">SUM(C4:F4)</f>
        <v>3442</v>
      </c>
      <c r="H4" s="5" t="n">
        <f aca="false">G4-I4</f>
        <v>0</v>
      </c>
      <c r="I4" s="4" t="n">
        <f aca="false">SUM(J4:K4)</f>
        <v>3442</v>
      </c>
      <c r="J4" s="1" t="n">
        <v>3468</v>
      </c>
      <c r="K4" s="1" t="n">
        <v>-26</v>
      </c>
    </row>
    <row r="5" customFormat="false" ht="12.8" hidden="false" customHeight="false" outlineLevel="0" collapsed="false">
      <c r="B5" s="4" t="s">
        <v>4</v>
      </c>
      <c r="C5" s="4" t="n">
        <f aca="false">SUM(C3:C4)</f>
        <v>142497</v>
      </c>
      <c r="D5" s="4" t="n">
        <f aca="false">SUM(D3:D4)</f>
        <v>-90776</v>
      </c>
      <c r="E5" s="4" t="n">
        <f aca="false">SUM(E3:E4)</f>
        <v>7711</v>
      </c>
      <c r="F5" s="4" t="n">
        <f aca="false">SUM(F3:F4)</f>
        <v>204439</v>
      </c>
      <c r="G5" s="4" t="n">
        <f aca="false">SUM(G3:G4)</f>
        <v>263871</v>
      </c>
      <c r="H5" s="4" t="n">
        <f aca="false">SUM(H3:H4)</f>
        <v>8</v>
      </c>
      <c r="I5" s="4" t="n">
        <f aca="false">SUM(I3:I4)</f>
        <v>263863</v>
      </c>
      <c r="J5" s="4" t="n">
        <f aca="false">SUM(J3:J4)</f>
        <v>3468</v>
      </c>
      <c r="K5" s="4" t="n">
        <f aca="false">SUM(K3:K4)</f>
        <v>260395</v>
      </c>
    </row>
    <row r="6" customFormat="false" ht="12.8" hidden="false" customHeight="false" outlineLevel="0" collapsed="false">
      <c r="B6" s="4" t="s">
        <v>5</v>
      </c>
      <c r="C6" s="4" t="n">
        <f aca="false">C5-C7</f>
        <v>-14931</v>
      </c>
      <c r="D6" s="4" t="n">
        <f aca="false">D5-D7</f>
        <v>-71293</v>
      </c>
      <c r="E6" s="4" t="n">
        <f aca="false">E5-E7</f>
        <v>-7304</v>
      </c>
      <c r="F6" s="4" t="n">
        <f aca="false">F5-F7</f>
        <v>58360</v>
      </c>
      <c r="G6" s="4" t="n">
        <f aca="false">G5-G7</f>
        <v>-35168</v>
      </c>
      <c r="H6" s="4" t="n">
        <f aca="false">H5-H7</f>
        <v>5</v>
      </c>
      <c r="I6" s="4" t="n">
        <f aca="false">I5-I7</f>
        <v>-35173</v>
      </c>
      <c r="J6" s="4" t="n">
        <f aca="false">J5-J7</f>
        <v>-2008</v>
      </c>
      <c r="K6" s="4" t="n">
        <f aca="false">K5-K7</f>
        <v>-33165</v>
      </c>
    </row>
    <row r="7" customFormat="false" ht="13.8" hidden="false" customHeight="false" outlineLevel="0" collapsed="false">
      <c r="B7" s="4" t="s">
        <v>10</v>
      </c>
      <c r="C7" s="4" t="n">
        <v>157428</v>
      </c>
      <c r="D7" s="4" t="n">
        <v>-19483</v>
      </c>
      <c r="E7" s="4" t="n">
        <v>15015</v>
      </c>
      <c r="F7" s="4" t="n">
        <v>146079</v>
      </c>
      <c r="G7" s="4" t="n">
        <f aca="false">SUM(C7:F7)</f>
        <v>299039</v>
      </c>
      <c r="H7" s="5" t="n">
        <f aca="false">G7-I7</f>
        <v>3</v>
      </c>
      <c r="I7" s="4" t="n">
        <f aca="false">SUM(J7:K7)</f>
        <v>299036</v>
      </c>
      <c r="J7" s="4" t="n">
        <v>5476</v>
      </c>
      <c r="K7" s="4" t="n">
        <v>293560</v>
      </c>
    </row>
    <row r="10" customFormat="false" ht="13.8" hidden="false" customHeight="false" outlineLevel="0" collapsed="false">
      <c r="A10" s="1" t="s">
        <v>11</v>
      </c>
      <c r="C10" s="1" t="s">
        <v>0</v>
      </c>
      <c r="D10" s="2" t="s">
        <v>1</v>
      </c>
      <c r="E10" s="2" t="s">
        <v>2</v>
      </c>
      <c r="F10" s="2" t="s">
        <v>3</v>
      </c>
      <c r="G10" s="3" t="s">
        <v>4</v>
      </c>
      <c r="H10" s="4" t="s">
        <v>5</v>
      </c>
      <c r="I10" s="4" t="s">
        <v>4</v>
      </c>
      <c r="J10" s="1" t="s">
        <v>6</v>
      </c>
      <c r="K10" s="1" t="s">
        <v>7</v>
      </c>
    </row>
    <row r="11" customFormat="false" ht="13.8" hidden="false" customHeight="false" outlineLevel="0" collapsed="false">
      <c r="B11" s="2" t="s">
        <v>8</v>
      </c>
      <c r="C11" s="1" t="n">
        <v>188173.342590262</v>
      </c>
      <c r="D11" s="1" t="n">
        <v>69860</v>
      </c>
      <c r="E11" s="1" t="n">
        <v>9942.84457202174</v>
      </c>
      <c r="F11" s="1" t="n">
        <v>0</v>
      </c>
      <c r="G11" s="4" t="n">
        <f aca="false">SUM(C11:F11)</f>
        <v>267976.187162284</v>
      </c>
      <c r="H11" s="5" t="n">
        <f aca="false">G11-I11</f>
        <v>-67820.1461654913</v>
      </c>
      <c r="I11" s="4" t="n">
        <f aca="false">SUM(J11:K11)</f>
        <v>335796.333327775</v>
      </c>
      <c r="J11" s="1" t="n">
        <v>0</v>
      </c>
      <c r="K11" s="1" t="n">
        <v>335796.333327775</v>
      </c>
    </row>
    <row r="12" customFormat="false" ht="13.8" hidden="false" customHeight="false" outlineLevel="0" collapsed="false">
      <c r="B12" s="2" t="s">
        <v>9</v>
      </c>
      <c r="C12" s="1" t="n">
        <v>0</v>
      </c>
      <c r="D12" s="1" t="n">
        <v>-89343</v>
      </c>
      <c r="E12" s="1" t="n">
        <v>0</v>
      </c>
      <c r="F12" s="1" t="n">
        <v>263611.101213792</v>
      </c>
      <c r="G12" s="4" t="n">
        <f aca="false">SUM(C12:F12)</f>
        <v>174268.101213792</v>
      </c>
      <c r="H12" s="5" t="n">
        <f aca="false">G12-I12</f>
        <v>170098.893242992</v>
      </c>
      <c r="I12" s="4" t="n">
        <f aca="false">SUM(J12:K12)</f>
        <v>4169.20797080024</v>
      </c>
      <c r="J12" s="1" t="n">
        <v>4202.73331885789</v>
      </c>
      <c r="K12" s="1" t="n">
        <v>-33.5253480576534</v>
      </c>
    </row>
    <row r="13" customFormat="false" ht="12.8" hidden="false" customHeight="false" outlineLevel="0" collapsed="false">
      <c r="B13" s="4" t="s">
        <v>4</v>
      </c>
      <c r="C13" s="4" t="n">
        <f aca="false">SUM(C11:C12)</f>
        <v>188173.342590262</v>
      </c>
      <c r="D13" s="4" t="n">
        <f aca="false">SUM(D11:D12)</f>
        <v>-19483</v>
      </c>
      <c r="E13" s="4" t="n">
        <f aca="false">SUM(E11:E12)</f>
        <v>9942.84457202174</v>
      </c>
      <c r="F13" s="4" t="n">
        <f aca="false">SUM(F11:F12)</f>
        <v>263611.101213792</v>
      </c>
      <c r="G13" s="4" t="n">
        <f aca="false">SUM(G11:G12)</f>
        <v>442244.288376076</v>
      </c>
      <c r="H13" s="4" t="n">
        <f aca="false">SUM(H11:H12)</f>
        <v>102278.747077501</v>
      </c>
      <c r="I13" s="4" t="n">
        <f aca="false">SUM(I11:I12)</f>
        <v>339965.541298575</v>
      </c>
      <c r="J13" s="4" t="n">
        <f aca="false">SUM(J11:J12)</f>
        <v>4202.73331885789</v>
      </c>
      <c r="K13" s="4" t="n">
        <f aca="false">SUM(K11:K12)</f>
        <v>335762.807979717</v>
      </c>
    </row>
    <row r="14" customFormat="false" ht="12.8" hidden="false" customHeight="false" outlineLevel="0" collapsed="false">
      <c r="B14" s="4" t="s">
        <v>5</v>
      </c>
      <c r="C14" s="4" t="n">
        <f aca="false">C13-C15</f>
        <v>30745.342590262</v>
      </c>
      <c r="D14" s="4" t="n">
        <f aca="false">D13-D15</f>
        <v>0</v>
      </c>
      <c r="E14" s="4" t="n">
        <f aca="false">E13-E15</f>
        <v>-5072.15542797826</v>
      </c>
      <c r="F14" s="4" t="n">
        <f aca="false">F13-F15</f>
        <v>117532.101213792</v>
      </c>
      <c r="G14" s="4" t="n">
        <f aca="false">G13-G15</f>
        <v>143205.288376076</v>
      </c>
      <c r="H14" s="4" t="n">
        <f aca="false">H13-H15</f>
        <v>102275.747077501</v>
      </c>
      <c r="I14" s="4" t="n">
        <f aca="false">I13-I15</f>
        <v>40929.5412985752</v>
      </c>
      <c r="J14" s="4" t="n">
        <f aca="false">J13-J15</f>
        <v>-1273.26668114211</v>
      </c>
      <c r="K14" s="4" t="n">
        <f aca="false">K13-K15</f>
        <v>42202.8079797173</v>
      </c>
    </row>
    <row r="15" customFormat="false" ht="13.8" hidden="false" customHeight="false" outlineLevel="0" collapsed="false">
      <c r="B15" s="4" t="s">
        <v>10</v>
      </c>
      <c r="C15" s="4" t="n">
        <v>157428</v>
      </c>
      <c r="D15" s="4" t="n">
        <v>-19483</v>
      </c>
      <c r="E15" s="4" t="n">
        <v>15015</v>
      </c>
      <c r="F15" s="4" t="n">
        <v>146079</v>
      </c>
      <c r="G15" s="4" t="n">
        <f aca="false">SUM(C15:F15)</f>
        <v>299039</v>
      </c>
      <c r="H15" s="5" t="n">
        <f aca="false">G15-I15</f>
        <v>3</v>
      </c>
      <c r="I15" s="4" t="n">
        <f aca="false">SUM(J15:K15)</f>
        <v>299036</v>
      </c>
      <c r="J15" s="4" t="n">
        <v>5476</v>
      </c>
      <c r="K15" s="4" t="n">
        <v>293560</v>
      </c>
    </row>
    <row r="18" customFormat="false" ht="13.8" hidden="false" customHeight="false" outlineLevel="0" collapsed="false">
      <c r="A18" s="1" t="s">
        <v>12</v>
      </c>
      <c r="C18" s="1" t="s">
        <v>0</v>
      </c>
      <c r="D18" s="2" t="s">
        <v>1</v>
      </c>
      <c r="E18" s="2" t="s">
        <v>2</v>
      </c>
      <c r="F18" s="2" t="s">
        <v>3</v>
      </c>
      <c r="G18" s="3" t="s">
        <v>4</v>
      </c>
      <c r="H18" s="4" t="s">
        <v>5</v>
      </c>
      <c r="I18" s="4" t="s">
        <v>4</v>
      </c>
      <c r="J18" s="1" t="s">
        <v>6</v>
      </c>
      <c r="K18" s="1" t="s">
        <v>7</v>
      </c>
    </row>
    <row r="19" customFormat="false" ht="13.8" hidden="false" customHeight="false" outlineLevel="0" collapsed="false">
      <c r="B19" s="2" t="s">
        <v>8</v>
      </c>
      <c r="C19" s="1" t="n">
        <v>173815.924734008</v>
      </c>
      <c r="D19" s="1" t="n">
        <v>81659.8270001485</v>
      </c>
      <c r="E19" s="1" t="n">
        <v>16631.2044732617</v>
      </c>
      <c r="F19" s="1" t="n">
        <v>0</v>
      </c>
      <c r="G19" s="4" t="n">
        <f aca="false">SUM(C19:F19)</f>
        <v>272106.956207418</v>
      </c>
      <c r="H19" s="5" t="n">
        <f aca="false">G19-I19</f>
        <v>-7124.26162770274</v>
      </c>
      <c r="I19" s="4" t="n">
        <f aca="false">SUM(J19:K19)</f>
        <v>279231.217835121</v>
      </c>
      <c r="J19" s="1" t="n">
        <v>0</v>
      </c>
      <c r="K19" s="1" t="n">
        <v>279231.217835121</v>
      </c>
    </row>
    <row r="20" customFormat="false" ht="13.8" hidden="false" customHeight="false" outlineLevel="0" collapsed="false">
      <c r="B20" s="2" t="s">
        <v>9</v>
      </c>
      <c r="C20" s="1" t="n">
        <v>0</v>
      </c>
      <c r="D20" s="1" t="n">
        <v>-102438.563878491</v>
      </c>
      <c r="E20" s="1" t="n">
        <v>0</v>
      </c>
      <c r="F20" s="1" t="n">
        <v>115147.290371441</v>
      </c>
      <c r="G20" s="4" t="n">
        <f aca="false">SUM(C20:F20)</f>
        <v>12708.72649295</v>
      </c>
      <c r="H20" s="5" t="n">
        <f aca="false">G20-I20</f>
        <v>5430.34726908568</v>
      </c>
      <c r="I20" s="4" t="n">
        <f aca="false">SUM(J20:K20)</f>
        <v>7278.37922386433</v>
      </c>
      <c r="J20" s="1" t="n">
        <v>7278.37922386433</v>
      </c>
      <c r="K20" s="1" t="n">
        <v>-1.00518517025736E-130</v>
      </c>
    </row>
    <row r="21" customFormat="false" ht="12.8" hidden="false" customHeight="false" outlineLevel="0" collapsed="false">
      <c r="B21" s="4" t="s">
        <v>4</v>
      </c>
      <c r="C21" s="4" t="n">
        <f aca="false">SUM(C19:C20)</f>
        <v>173815.924734008</v>
      </c>
      <c r="D21" s="4" t="n">
        <f aca="false">SUM(D19:D20)</f>
        <v>-20778.7368783425</v>
      </c>
      <c r="E21" s="4" t="n">
        <f aca="false">SUM(E19:E20)</f>
        <v>16631.2044732617</v>
      </c>
      <c r="F21" s="4" t="n">
        <f aca="false">SUM(F19:F20)</f>
        <v>115147.290371441</v>
      </c>
      <c r="G21" s="4" t="n">
        <f aca="false">SUM(G19:G20)</f>
        <v>284815.682700368</v>
      </c>
      <c r="H21" s="4" t="n">
        <f aca="false">SUM(H19:H20)</f>
        <v>-1693.91435861706</v>
      </c>
      <c r="I21" s="4" t="n">
        <f aca="false">SUM(I19:I20)</f>
        <v>286509.597058985</v>
      </c>
      <c r="J21" s="4" t="n">
        <f aca="false">SUM(J19:J20)</f>
        <v>7278.37922386433</v>
      </c>
      <c r="K21" s="4" t="n">
        <f aca="false">SUM(K19:K20)</f>
        <v>279231.217835121</v>
      </c>
    </row>
    <row r="22" customFormat="false" ht="12.8" hidden="false" customHeight="false" outlineLevel="0" collapsed="false">
      <c r="B22" s="4" t="s">
        <v>5</v>
      </c>
      <c r="C22" s="4" t="n">
        <f aca="false">C21-C23</f>
        <v>16387.924734008</v>
      </c>
      <c r="D22" s="4" t="n">
        <f aca="false">D21-D23</f>
        <v>-1295.73687834249</v>
      </c>
      <c r="E22" s="4" t="n">
        <f aca="false">E21-E23</f>
        <v>1616.2044732617</v>
      </c>
      <c r="F22" s="4" t="n">
        <f aca="false">F21-F23</f>
        <v>-30931.709628559</v>
      </c>
      <c r="G22" s="4" t="n">
        <f aca="false">G21-G23</f>
        <v>-14223.3172996318</v>
      </c>
      <c r="H22" s="4" t="n">
        <f aca="false">H21-H23</f>
        <v>-1696.91435861706</v>
      </c>
      <c r="I22" s="4" t="n">
        <f aca="false">I21-I23</f>
        <v>-12526.4029410147</v>
      </c>
      <c r="J22" s="4" t="n">
        <f aca="false">J21-J23</f>
        <v>1802.37922386433</v>
      </c>
      <c r="K22" s="4" t="n">
        <f aca="false">K21-K23</f>
        <v>-14328.782164879</v>
      </c>
    </row>
    <row r="23" customFormat="false" ht="13.8" hidden="false" customHeight="false" outlineLevel="0" collapsed="false">
      <c r="B23" s="4" t="s">
        <v>10</v>
      </c>
      <c r="C23" s="4" t="n">
        <v>157428</v>
      </c>
      <c r="D23" s="4" t="n">
        <v>-19483</v>
      </c>
      <c r="E23" s="4" t="n">
        <v>15015</v>
      </c>
      <c r="F23" s="4" t="n">
        <v>146079</v>
      </c>
      <c r="G23" s="4" t="n">
        <f aca="false">SUM(C23:F23)</f>
        <v>299039</v>
      </c>
      <c r="H23" s="5" t="n">
        <f aca="false">G23-I23</f>
        <v>3</v>
      </c>
      <c r="I23" s="4" t="n">
        <f aca="false">SUM(J23:K23)</f>
        <v>299036</v>
      </c>
      <c r="J23" s="4" t="n">
        <v>5476</v>
      </c>
      <c r="K23" s="4" t="n">
        <v>293560</v>
      </c>
    </row>
    <row r="26" customFormat="false" ht="13.8" hidden="false" customHeight="false" outlineLevel="0" collapsed="false">
      <c r="A26" s="1" t="s">
        <v>13</v>
      </c>
      <c r="C26" s="1" t="s">
        <v>0</v>
      </c>
      <c r="D26" s="2" t="s">
        <v>1</v>
      </c>
      <c r="E26" s="2" t="s">
        <v>2</v>
      </c>
      <c r="F26" s="2" t="s">
        <v>3</v>
      </c>
      <c r="G26" s="3" t="s">
        <v>4</v>
      </c>
      <c r="H26" s="4" t="s">
        <v>5</v>
      </c>
      <c r="I26" s="4" t="s">
        <v>4</v>
      </c>
      <c r="J26" s="1" t="s">
        <v>6</v>
      </c>
      <c r="K26" s="1" t="s">
        <v>7</v>
      </c>
    </row>
    <row r="27" customFormat="false" ht="13.8" hidden="false" customHeight="false" outlineLevel="0" collapsed="false">
      <c r="B27" s="2" t="s">
        <v>8</v>
      </c>
      <c r="C27" s="1" t="n">
        <v>157428</v>
      </c>
      <c r="D27" s="1" t="n">
        <v>121118</v>
      </c>
      <c r="E27" s="4" t="n">
        <v>15015</v>
      </c>
      <c r="F27" s="4" t="n">
        <v>0</v>
      </c>
      <c r="G27" s="4" t="n">
        <f aca="false">SUM(C27:F27)</f>
        <v>293561</v>
      </c>
      <c r="H27" s="5" t="n">
        <f aca="false">G27-I27</f>
        <v>1</v>
      </c>
      <c r="I27" s="4" t="n">
        <f aca="false">SUM(J27:K27)</f>
        <v>293560</v>
      </c>
      <c r="J27" s="4" t="n">
        <v>0</v>
      </c>
      <c r="K27" s="4" t="n">
        <v>293560</v>
      </c>
      <c r="M27" s="1" t="n">
        <v>-51257</v>
      </c>
    </row>
    <row r="28" customFormat="false" ht="13.8" hidden="false" customHeight="false" outlineLevel="0" collapsed="false">
      <c r="B28" s="2" t="s">
        <v>9</v>
      </c>
      <c r="C28" s="1" t="n">
        <v>0</v>
      </c>
      <c r="D28" s="1" t="n">
        <v>-140601</v>
      </c>
      <c r="E28" s="4" t="n">
        <v>0</v>
      </c>
      <c r="F28" s="4" t="n">
        <v>146079</v>
      </c>
      <c r="G28" s="4" t="n">
        <f aca="false">SUM(C28:F28)</f>
        <v>5478</v>
      </c>
      <c r="H28" s="5" t="n">
        <f aca="false">G28-I28</f>
        <v>2</v>
      </c>
      <c r="I28" s="4" t="n">
        <f aca="false">SUM(J28:K28)</f>
        <v>5476</v>
      </c>
      <c r="J28" s="4" t="n">
        <v>5476</v>
      </c>
      <c r="K28" s="4" t="n">
        <v>0</v>
      </c>
      <c r="M28" s="1" t="n">
        <v>51260</v>
      </c>
    </row>
    <row r="29" customFormat="false" ht="12.8" hidden="false" customHeight="false" outlineLevel="0" collapsed="false">
      <c r="B29" s="4" t="s">
        <v>4</v>
      </c>
      <c r="C29" s="4" t="n">
        <f aca="false">SUM(C27:C28)</f>
        <v>157428</v>
      </c>
      <c r="D29" s="4" t="n">
        <f aca="false">SUM(D27:D28)</f>
        <v>-19483</v>
      </c>
      <c r="E29" s="4" t="n">
        <f aca="false">SUM(E27:E28)</f>
        <v>15015</v>
      </c>
      <c r="F29" s="4" t="n">
        <f aca="false">SUM(F27:F28)</f>
        <v>146079</v>
      </c>
      <c r="G29" s="4" t="n">
        <f aca="false">SUM(G27:G28)</f>
        <v>299039</v>
      </c>
      <c r="H29" s="4" t="n">
        <f aca="false">SUM(H27:H28)</f>
        <v>3</v>
      </c>
      <c r="I29" s="4" t="n">
        <f aca="false">SUM(I27:I28)</f>
        <v>299036</v>
      </c>
      <c r="J29" s="4" t="n">
        <f aca="false">SUM(J27:J28)</f>
        <v>5476</v>
      </c>
      <c r="K29" s="4" t="n">
        <f aca="false">SUM(K27:K28)</f>
        <v>293560</v>
      </c>
    </row>
    <row r="30" customFormat="false" ht="12.8" hidden="false" customHeight="false" outlineLevel="0" collapsed="false">
      <c r="B30" s="4" t="s">
        <v>5</v>
      </c>
      <c r="C30" s="4" t="n">
        <f aca="false">C29-C31</f>
        <v>0</v>
      </c>
      <c r="D30" s="4" t="n">
        <f aca="false">D29-D31</f>
        <v>0</v>
      </c>
      <c r="E30" s="4" t="n">
        <f aca="false">E29-E31</f>
        <v>0</v>
      </c>
      <c r="F30" s="4" t="n">
        <f aca="false">F29-F31</f>
        <v>0</v>
      </c>
      <c r="G30" s="4" t="n">
        <f aca="false">G29-G31</f>
        <v>0</v>
      </c>
      <c r="H30" s="4" t="n">
        <f aca="false">H29-H31</f>
        <v>0</v>
      </c>
      <c r="I30" s="4" t="n">
        <f aca="false">I29-I31</f>
        <v>0</v>
      </c>
      <c r="J30" s="4" t="n">
        <f aca="false">J29-J31</f>
        <v>0</v>
      </c>
      <c r="K30" s="4" t="n">
        <f aca="false">K29-K31</f>
        <v>0</v>
      </c>
    </row>
    <row r="31" customFormat="false" ht="13.8" hidden="false" customHeight="false" outlineLevel="0" collapsed="false">
      <c r="B31" s="4" t="s">
        <v>10</v>
      </c>
      <c r="C31" s="4" t="n">
        <v>157428</v>
      </c>
      <c r="D31" s="4" t="n">
        <v>-19483</v>
      </c>
      <c r="E31" s="4" t="n">
        <v>15015</v>
      </c>
      <c r="F31" s="4" t="n">
        <v>146079</v>
      </c>
      <c r="G31" s="4" t="n">
        <f aca="false">SUM(C31:F31)</f>
        <v>299039</v>
      </c>
      <c r="H31" s="5" t="n">
        <f aca="false">G31-I31</f>
        <v>3</v>
      </c>
      <c r="I31" s="4" t="n">
        <f aca="false">SUM(J31:K31)</f>
        <v>299036</v>
      </c>
      <c r="J31" s="4" t="n">
        <v>5476</v>
      </c>
      <c r="K31" s="4" t="n">
        <v>293560</v>
      </c>
    </row>
    <row r="33" customFormat="false" ht="12.8" hidden="false" customHeight="false" outlineLevel="0" collapsed="false">
      <c r="A33" s="1" t="s">
        <v>14</v>
      </c>
      <c r="B3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B1" s="6" t="s">
        <v>16</v>
      </c>
      <c r="C1" s="6" t="s">
        <v>17</v>
      </c>
      <c r="D1" s="6" t="s">
        <v>18</v>
      </c>
      <c r="H1" s="7" t="s">
        <v>19</v>
      </c>
      <c r="I1" s="7" t="s">
        <v>20</v>
      </c>
      <c r="J1" s="7" t="s">
        <v>17</v>
      </c>
      <c r="K1" s="7" t="s">
        <v>21</v>
      </c>
      <c r="L1" s="7" t="s">
        <v>22</v>
      </c>
      <c r="M1" s="7" t="s">
        <v>23</v>
      </c>
    </row>
    <row r="2" customFormat="false" ht="13.8" hidden="false" customHeight="false" outlineLevel="0" collapsed="false">
      <c r="B2" s="7" t="s">
        <v>24</v>
      </c>
      <c r="C2" s="6" t="s">
        <v>25</v>
      </c>
      <c r="D2" s="6" t="n">
        <v>0.3</v>
      </c>
      <c r="F2" s="8" t="n">
        <f aca="false">L2/(L2+L4)*100</f>
        <v>28.3999472365123</v>
      </c>
      <c r="G2" s="6" t="s">
        <v>26</v>
      </c>
      <c r="H2" s="7" t="s">
        <v>24</v>
      </c>
      <c r="I2" s="6" t="n">
        <v>1723</v>
      </c>
      <c r="J2" s="6" t="n">
        <v>0</v>
      </c>
      <c r="K2" s="6" t="n">
        <v>0</v>
      </c>
      <c r="L2" s="6" t="n">
        <v>2153</v>
      </c>
      <c r="M2" s="6" t="s">
        <v>27</v>
      </c>
    </row>
    <row r="3" customFormat="false" ht="13.8" hidden="false" customHeight="false" outlineLevel="0" collapsed="false">
      <c r="B3" s="7" t="s">
        <v>28</v>
      </c>
      <c r="C3" s="6" t="s">
        <v>25</v>
      </c>
      <c r="D3" s="6" t="n">
        <v>0.1</v>
      </c>
      <c r="F3" s="8" t="n">
        <f aca="false">L3/(L3+L4)*100</f>
        <v>11.4807566862361</v>
      </c>
      <c r="G3" s="6" t="s">
        <v>26</v>
      </c>
      <c r="H3" s="7" t="s">
        <v>28</v>
      </c>
      <c r="I3" s="6" t="n">
        <v>586</v>
      </c>
      <c r="J3" s="6" t="n">
        <v>0</v>
      </c>
      <c r="K3" s="6" t="n">
        <v>0</v>
      </c>
      <c r="L3" s="6" t="n">
        <v>704</v>
      </c>
      <c r="M3" s="6" t="s">
        <v>29</v>
      </c>
    </row>
    <row r="4" customFormat="false" ht="13.8" hidden="false" customHeight="false" outlineLevel="0" collapsed="false">
      <c r="B4" s="7" t="s">
        <v>30</v>
      </c>
      <c r="C4" s="6" t="s">
        <v>31</v>
      </c>
      <c r="D4" s="6" t="n">
        <v>0.4</v>
      </c>
      <c r="G4" s="0" t="s">
        <v>26</v>
      </c>
      <c r="H4" s="7" t="s">
        <v>25</v>
      </c>
      <c r="I4" s="6" t="n">
        <v>4302</v>
      </c>
      <c r="J4" s="6" t="n">
        <v>7774</v>
      </c>
      <c r="K4" s="6" t="n">
        <v>7803</v>
      </c>
      <c r="L4" s="6" t="n">
        <v>5428</v>
      </c>
      <c r="M4" s="6" t="s">
        <v>32</v>
      </c>
    </row>
    <row r="5" customFormat="false" ht="13.8" hidden="false" customHeight="false" outlineLevel="0" collapsed="false">
      <c r="B5" s="7" t="s">
        <v>33</v>
      </c>
      <c r="C5" s="6" t="s">
        <v>34</v>
      </c>
      <c r="D5" s="6" t="n">
        <v>0.4</v>
      </c>
    </row>
    <row r="6" customFormat="false" ht="13.8" hidden="false" customHeight="false" outlineLevel="0" collapsed="false">
      <c r="B6" s="7" t="s">
        <v>35</v>
      </c>
      <c r="C6" s="6" t="s">
        <v>36</v>
      </c>
      <c r="D6" s="9" t="n">
        <v>0.6</v>
      </c>
    </row>
    <row r="7" customFormat="false" ht="13.8" hidden="false" customHeight="false" outlineLevel="0" collapsed="false">
      <c r="H7" s="7" t="s">
        <v>19</v>
      </c>
      <c r="I7" s="7" t="s">
        <v>20</v>
      </c>
      <c r="J7" s="7" t="s">
        <v>17</v>
      </c>
      <c r="K7" s="7" t="s">
        <v>21</v>
      </c>
      <c r="L7" s="7" t="s">
        <v>22</v>
      </c>
      <c r="M7" s="7" t="s">
        <v>23</v>
      </c>
    </row>
    <row r="8" customFormat="false" ht="13.8" hidden="false" customHeight="false" outlineLevel="0" collapsed="false">
      <c r="G8" s="0" t="s">
        <v>26</v>
      </c>
      <c r="H8" s="7" t="s">
        <v>31</v>
      </c>
      <c r="I8" s="6" t="n">
        <v>1215</v>
      </c>
      <c r="J8" s="6" t="n">
        <v>3604</v>
      </c>
      <c r="K8" s="6" t="n">
        <v>3613</v>
      </c>
      <c r="L8" s="6" t="n">
        <v>1839</v>
      </c>
      <c r="M8" s="6" t="s">
        <v>37</v>
      </c>
    </row>
    <row r="9" customFormat="false" ht="13.8" hidden="false" customHeight="false" outlineLevel="0" collapsed="false">
      <c r="F9" s="8" t="n">
        <f aca="false">L9/(L9+L8)*100</f>
        <v>37.1282051282051</v>
      </c>
      <c r="G9" s="6" t="s">
        <v>26</v>
      </c>
      <c r="H9" s="7" t="s">
        <v>30</v>
      </c>
      <c r="I9" s="6" t="n">
        <v>797</v>
      </c>
      <c r="J9" s="6" t="n">
        <v>0</v>
      </c>
      <c r="K9" s="6" t="n">
        <v>0</v>
      </c>
      <c r="L9" s="6" t="n">
        <v>1086</v>
      </c>
      <c r="M9" s="6" t="s">
        <v>38</v>
      </c>
    </row>
    <row r="12" customFormat="false" ht="13.8" hidden="false" customHeight="false" outlineLevel="0" collapsed="false">
      <c r="B12" s="6" t="s">
        <v>39</v>
      </c>
      <c r="H12" s="7" t="s">
        <v>19</v>
      </c>
      <c r="I12" s="7" t="s">
        <v>20</v>
      </c>
      <c r="J12" s="7" t="s">
        <v>17</v>
      </c>
      <c r="K12" s="7" t="s">
        <v>21</v>
      </c>
      <c r="L12" s="7" t="s">
        <v>22</v>
      </c>
      <c r="M12" s="7" t="s">
        <v>23</v>
      </c>
    </row>
    <row r="13" customFormat="false" ht="13.8" hidden="false" customHeight="false" outlineLevel="0" collapsed="false">
      <c r="B13" s="6" t="s">
        <v>24</v>
      </c>
      <c r="G13" s="10" t="s">
        <v>26</v>
      </c>
      <c r="H13" s="7" t="s">
        <v>34</v>
      </c>
      <c r="I13" s="6" t="n">
        <v>17703</v>
      </c>
      <c r="J13" s="6" t="n">
        <v>11291</v>
      </c>
      <c r="K13" s="6" t="n">
        <v>11319</v>
      </c>
      <c r="L13" s="6" t="n">
        <v>17950</v>
      </c>
      <c r="M13" s="6" t="s">
        <v>40</v>
      </c>
    </row>
    <row r="14" customFormat="false" ht="13.8" hidden="false" customHeight="false" outlineLevel="0" collapsed="false">
      <c r="B14" s="6" t="s">
        <v>28</v>
      </c>
      <c r="F14" s="8" t="n">
        <f aca="false">L14/(L14+L13)*100</f>
        <v>36.7423174513674</v>
      </c>
      <c r="G14" s="6" t="s">
        <v>26</v>
      </c>
      <c r="H14" s="7" t="s">
        <v>33</v>
      </c>
      <c r="I14" s="6" t="n">
        <v>6161</v>
      </c>
      <c r="J14" s="6" t="n">
        <v>49641</v>
      </c>
      <c r="K14" s="6" t="n">
        <v>49249</v>
      </c>
      <c r="L14" s="6" t="n">
        <v>10426</v>
      </c>
      <c r="M14" s="6" t="s">
        <v>41</v>
      </c>
    </row>
    <row r="16" customFormat="false" ht="12.8" hidden="false" customHeight="false" outlineLevel="0" collapsed="false">
      <c r="B16" s="6" t="s">
        <v>31</v>
      </c>
      <c r="C16" s="6" t="s">
        <v>42</v>
      </c>
    </row>
    <row r="17" customFormat="false" ht="13.8" hidden="false" customHeight="false" outlineLevel="0" collapsed="false">
      <c r="B17" s="6" t="s">
        <v>30</v>
      </c>
      <c r="C17" s="6" t="s">
        <v>42</v>
      </c>
      <c r="H17" s="7" t="s">
        <v>19</v>
      </c>
      <c r="I17" s="7" t="s">
        <v>20</v>
      </c>
      <c r="J17" s="7" t="s">
        <v>17</v>
      </c>
      <c r="K17" s="7" t="s">
        <v>21</v>
      </c>
      <c r="L17" s="7" t="s">
        <v>22</v>
      </c>
      <c r="M17" s="7" t="s">
        <v>23</v>
      </c>
    </row>
    <row r="18" customFormat="false" ht="13.8" hidden="false" customHeight="false" outlineLevel="0" collapsed="false">
      <c r="G18" s="9" t="s">
        <v>26</v>
      </c>
      <c r="H18" s="7" t="s">
        <v>36</v>
      </c>
      <c r="I18" s="6" t="n">
        <v>87539</v>
      </c>
      <c r="J18" s="6" t="n">
        <v>109127</v>
      </c>
      <c r="K18" s="6" t="n">
        <v>109223</v>
      </c>
      <c r="L18" s="6" t="n">
        <v>97437</v>
      </c>
      <c r="M18" s="6" t="s">
        <v>43</v>
      </c>
    </row>
    <row r="19" customFormat="false" ht="13.8" hidden="false" customHeight="false" outlineLevel="0" collapsed="false">
      <c r="F19" s="8" t="n">
        <f aca="false">L19/(L19+L18)*100</f>
        <v>63.001370783701</v>
      </c>
      <c r="G19" s="9" t="s">
        <v>26</v>
      </c>
      <c r="H19" s="7" t="s">
        <v>35</v>
      </c>
      <c r="I19" s="6" t="n">
        <v>131953</v>
      </c>
      <c r="J19" s="6" t="n">
        <v>182622</v>
      </c>
      <c r="K19" s="6" t="n">
        <v>182430</v>
      </c>
      <c r="L19" s="6" t="n">
        <v>165916</v>
      </c>
      <c r="M19" s="6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6"/>
  <sheetViews>
    <sheetView showFormulas="false" showGridLines="true" showRowColHeaders="true" showZeros="true" rightToLeft="false" tabSelected="false" showOutlineSymbols="true" defaultGridColor="true" view="normal" topLeftCell="A37" colorId="64" zoomScale="120" zoomScaleNormal="120" zoomScalePageLayoutView="100" workbookViewId="0">
      <selection pane="topLeft" activeCell="D39" activeCellId="0" sqref="D39"/>
    </sheetView>
  </sheetViews>
  <sheetFormatPr defaultColWidth="11.53515625" defaultRowHeight="12.8" zeroHeight="false" outlineLevelRow="0" outlineLevelCol="0"/>
  <cols>
    <col collapsed="false" customWidth="false" hidden="false" outlineLevel="0" max="12" min="12" style="11" width="11.53"/>
  </cols>
  <sheetData>
    <row r="1" customFormat="false" ht="12.8" hidden="false" customHeight="false" outlineLevel="0" collapsed="false">
      <c r="A1" s="6" t="s">
        <v>19</v>
      </c>
      <c r="B1" s="6" t="s">
        <v>45</v>
      </c>
      <c r="C1" s="6" t="s">
        <v>46</v>
      </c>
      <c r="D1" s="6" t="s">
        <v>47</v>
      </c>
      <c r="L1" s="0"/>
    </row>
    <row r="2" customFormat="false" ht="12.8" hidden="false" customHeight="false" outlineLevel="0" collapsed="false">
      <c r="A2" s="6" t="s">
        <v>48</v>
      </c>
      <c r="B2" s="6" t="n">
        <v>1062</v>
      </c>
      <c r="C2" s="6" t="n">
        <v>227</v>
      </c>
      <c r="D2" s="11" t="n">
        <f aca="false">C2/B2</f>
        <v>0.213747645951036</v>
      </c>
      <c r="L2" s="0"/>
    </row>
    <row r="3" customFormat="false" ht="12.8" hidden="false" customHeight="false" outlineLevel="0" collapsed="false">
      <c r="A3" s="6" t="s">
        <v>49</v>
      </c>
      <c r="B3" s="6" t="n">
        <v>3149</v>
      </c>
      <c r="C3" s="6" t="n">
        <v>2159</v>
      </c>
      <c r="D3" s="11" t="n">
        <f aca="false">C3/B3</f>
        <v>0.685614480787552</v>
      </c>
      <c r="L3" s="0"/>
    </row>
    <row r="4" customFormat="false" ht="12.8" hidden="false" customHeight="false" outlineLevel="0" collapsed="false">
      <c r="A4" s="6" t="s">
        <v>50</v>
      </c>
      <c r="B4" s="6" t="n">
        <v>2497</v>
      </c>
      <c r="C4" s="6" t="n">
        <v>3410</v>
      </c>
      <c r="D4" s="11" t="n">
        <f aca="false">C4/B4</f>
        <v>1.36563876651982</v>
      </c>
      <c r="L4" s="0"/>
    </row>
    <row r="5" customFormat="false" ht="12.8" hidden="false" customHeight="false" outlineLevel="0" collapsed="false">
      <c r="A5" s="6" t="s">
        <v>51</v>
      </c>
      <c r="B5" s="6" t="n">
        <v>5182</v>
      </c>
      <c r="C5" s="6" t="n">
        <v>5548</v>
      </c>
      <c r="D5" s="11" t="n">
        <f aca="false">C5/B5</f>
        <v>1.07062910073331</v>
      </c>
      <c r="L5" s="0"/>
    </row>
    <row r="6" customFormat="false" ht="12.8" hidden="false" customHeight="false" outlineLevel="0" collapsed="false">
      <c r="A6" s="6" t="s">
        <v>52</v>
      </c>
      <c r="B6" s="6" t="n">
        <v>5456</v>
      </c>
      <c r="C6" s="6" t="n">
        <v>7058</v>
      </c>
      <c r="D6" s="11" t="n">
        <f aca="false">C6/B6</f>
        <v>1.29362170087977</v>
      </c>
      <c r="L6" s="0"/>
    </row>
    <row r="7" customFormat="false" ht="12.8" hidden="false" customHeight="false" outlineLevel="0" collapsed="false">
      <c r="A7" s="6" t="s">
        <v>53</v>
      </c>
      <c r="B7" s="6" t="n">
        <v>4823</v>
      </c>
      <c r="C7" s="6" t="n">
        <v>2878</v>
      </c>
      <c r="D7" s="11" t="n">
        <f aca="false">C7/B7</f>
        <v>0.596724030686295</v>
      </c>
      <c r="L7" s="0"/>
    </row>
    <row r="8" customFormat="false" ht="12.8" hidden="false" customHeight="false" outlineLevel="0" collapsed="false">
      <c r="A8" s="6" t="s">
        <v>54</v>
      </c>
      <c r="B8" s="6" t="n">
        <v>2179</v>
      </c>
      <c r="C8" s="6" t="n">
        <v>4329</v>
      </c>
      <c r="D8" s="11" t="n">
        <f aca="false">C8/B8</f>
        <v>1.98669114272602</v>
      </c>
      <c r="L8" s="0"/>
    </row>
    <row r="9" customFormat="false" ht="12.8" hidden="false" customHeight="false" outlineLevel="0" collapsed="false">
      <c r="A9" s="6" t="s">
        <v>55</v>
      </c>
      <c r="B9" s="6" t="n">
        <v>1231</v>
      </c>
      <c r="C9" s="6" t="n">
        <v>2318</v>
      </c>
      <c r="D9" s="11" t="n">
        <f aca="false">C9/B9</f>
        <v>1.88302193338749</v>
      </c>
      <c r="L9" s="0"/>
    </row>
    <row r="10" customFormat="false" ht="12.8" hidden="false" customHeight="false" outlineLevel="0" collapsed="false">
      <c r="A10" s="6" t="s">
        <v>56</v>
      </c>
      <c r="B10" s="6" t="n">
        <v>2521</v>
      </c>
      <c r="C10" s="6" t="n">
        <v>2157</v>
      </c>
      <c r="D10" s="11" t="n">
        <f aca="false">C10/B10</f>
        <v>0.85561285204284</v>
      </c>
      <c r="L10" s="0"/>
    </row>
    <row r="11" customFormat="false" ht="12.8" hidden="false" customHeight="false" outlineLevel="0" collapsed="false">
      <c r="A11" s="6" t="s">
        <v>57</v>
      </c>
      <c r="B11" s="6" t="n">
        <v>2761</v>
      </c>
      <c r="C11" s="6" t="n">
        <v>2748</v>
      </c>
      <c r="D11" s="11" t="n">
        <f aca="false">C11/B11</f>
        <v>0.995291561028613</v>
      </c>
      <c r="L11" s="0"/>
    </row>
    <row r="12" customFormat="false" ht="12.8" hidden="false" customHeight="false" outlineLevel="0" collapsed="false">
      <c r="A12" s="6" t="s">
        <v>58</v>
      </c>
      <c r="B12" s="6" t="n">
        <v>8288</v>
      </c>
      <c r="C12" s="6" t="n">
        <v>3837</v>
      </c>
      <c r="D12" s="11" t="n">
        <f aca="false">C12/B12</f>
        <v>0.462958494208494</v>
      </c>
      <c r="L12" s="0"/>
    </row>
    <row r="13" customFormat="false" ht="12.8" hidden="false" customHeight="false" outlineLevel="0" collapsed="false">
      <c r="A13" s="6" t="s">
        <v>59</v>
      </c>
      <c r="B13" s="6" t="n">
        <v>895</v>
      </c>
      <c r="C13" s="6" t="n">
        <v>1003</v>
      </c>
      <c r="D13" s="11" t="n">
        <f aca="false">C13/B13</f>
        <v>1.12067039106145</v>
      </c>
      <c r="L13" s="0"/>
    </row>
    <row r="14" customFormat="false" ht="12.8" hidden="false" customHeight="false" outlineLevel="0" collapsed="false">
      <c r="A14" s="6" t="s">
        <v>60</v>
      </c>
      <c r="B14" s="6" t="n">
        <v>16148</v>
      </c>
      <c r="C14" s="6" t="n">
        <v>26495</v>
      </c>
      <c r="D14" s="11" t="n">
        <f aca="false">C14/B14</f>
        <v>1.64076046569235</v>
      </c>
      <c r="L14" s="0"/>
    </row>
    <row r="15" customFormat="false" ht="12.8" hidden="false" customHeight="false" outlineLevel="0" collapsed="false">
      <c r="A15" s="6" t="s">
        <v>61</v>
      </c>
      <c r="B15" s="6" t="n">
        <v>29293</v>
      </c>
      <c r="C15" s="6" t="n">
        <v>26384</v>
      </c>
      <c r="D15" s="11" t="n">
        <f aca="false">C15/B15</f>
        <v>0.900692998327245</v>
      </c>
      <c r="L15" s="0"/>
    </row>
    <row r="16" customFormat="false" ht="12.8" hidden="false" customHeight="false" outlineLevel="0" collapsed="false">
      <c r="A16" s="6" t="s">
        <v>62</v>
      </c>
      <c r="B16" s="6" t="n">
        <v>5561</v>
      </c>
      <c r="C16" s="6" t="n">
        <v>5172</v>
      </c>
      <c r="D16" s="11" t="n">
        <f aca="false">C16/B16</f>
        <v>0.93004855241863</v>
      </c>
      <c r="L16" s="0"/>
    </row>
    <row r="17" customFormat="false" ht="12.8" hidden="false" customHeight="false" outlineLevel="0" collapsed="false">
      <c r="A17" s="6" t="s">
        <v>63</v>
      </c>
      <c r="B17" s="6" t="n">
        <v>1562</v>
      </c>
      <c r="C17" s="6" t="n">
        <v>2219</v>
      </c>
      <c r="D17" s="11" t="n">
        <f aca="false">C17/B17</f>
        <v>1.42061459667093</v>
      </c>
      <c r="L17" s="0"/>
    </row>
    <row r="18" customFormat="false" ht="12.8" hidden="false" customHeight="false" outlineLevel="0" collapsed="false">
      <c r="A18" s="6" t="s">
        <v>64</v>
      </c>
      <c r="B18" s="6" t="n">
        <v>2866</v>
      </c>
      <c r="C18" s="6" t="n">
        <v>3480</v>
      </c>
      <c r="D18" s="11" t="n">
        <f aca="false">C18/B18</f>
        <v>1.2142358688067</v>
      </c>
      <c r="L18" s="0"/>
    </row>
    <row r="19" customFormat="false" ht="12.8" hidden="false" customHeight="false" outlineLevel="0" collapsed="false">
      <c r="A19" s="6" t="s">
        <v>65</v>
      </c>
      <c r="B19" s="6" t="n">
        <v>3221</v>
      </c>
      <c r="C19" s="6" t="n">
        <v>4019</v>
      </c>
      <c r="D19" s="11" t="n">
        <f aca="false">C19/B19</f>
        <v>1.24774914622788</v>
      </c>
      <c r="L19" s="0"/>
    </row>
    <row r="20" customFormat="false" ht="12.8" hidden="false" customHeight="false" outlineLevel="0" collapsed="false">
      <c r="A20" s="6" t="s">
        <v>66</v>
      </c>
      <c r="B20" s="6" t="n">
        <v>4414</v>
      </c>
      <c r="C20" s="6" t="n">
        <v>5660</v>
      </c>
      <c r="D20" s="11" t="n">
        <f aca="false">C20/B20</f>
        <v>1.28228364295424</v>
      </c>
      <c r="L20" s="0"/>
    </row>
    <row r="21" customFormat="false" ht="12.8" hidden="false" customHeight="false" outlineLevel="0" collapsed="false">
      <c r="A21" s="6" t="s">
        <v>67</v>
      </c>
      <c r="B21" s="6" t="n">
        <v>6659</v>
      </c>
      <c r="C21" s="6" t="n">
        <v>5214</v>
      </c>
      <c r="D21" s="11" t="n">
        <f aca="false">C21/B21</f>
        <v>0.783000450518096</v>
      </c>
      <c r="L21" s="0"/>
    </row>
    <row r="22" customFormat="false" ht="12.8" hidden="false" customHeight="false" outlineLevel="0" collapsed="false">
      <c r="A22" s="6" t="s">
        <v>68</v>
      </c>
      <c r="B22" s="6" t="n">
        <v>23306</v>
      </c>
      <c r="C22" s="6" t="n">
        <v>25763</v>
      </c>
      <c r="D22" s="11" t="n">
        <f aca="false">C22/B22</f>
        <v>1.10542349609543</v>
      </c>
      <c r="L22" s="0"/>
    </row>
    <row r="23" customFormat="false" ht="12.8" hidden="false" customHeight="false" outlineLevel="0" collapsed="false">
      <c r="A23" s="6" t="s">
        <v>69</v>
      </c>
      <c r="B23" s="6" t="n">
        <v>60608</v>
      </c>
      <c r="C23" s="6" t="n">
        <v>58816</v>
      </c>
      <c r="D23" s="11" t="n">
        <f aca="false">C23/B23</f>
        <v>0.970432946145723</v>
      </c>
      <c r="L23" s="0"/>
    </row>
    <row r="24" customFormat="false" ht="12.8" hidden="false" customHeight="false" outlineLevel="0" collapsed="false">
      <c r="A24" s="6" t="s">
        <v>70</v>
      </c>
      <c r="B24" s="6" t="n">
        <v>16820</v>
      </c>
      <c r="C24" s="6" t="n">
        <v>17564</v>
      </c>
      <c r="D24" s="11" t="n">
        <f aca="false">C24/B24</f>
        <v>1.04423305588585</v>
      </c>
      <c r="L24" s="0"/>
    </row>
    <row r="25" customFormat="false" ht="12.8" hidden="false" customHeight="false" outlineLevel="0" collapsed="false">
      <c r="A25" s="6" t="s">
        <v>71</v>
      </c>
      <c r="B25" s="6" t="n">
        <v>4150</v>
      </c>
      <c r="C25" s="6" t="n">
        <v>19371</v>
      </c>
      <c r="D25" s="11" t="n">
        <f aca="false">C25/B25</f>
        <v>4.66771084337349</v>
      </c>
      <c r="L25" s="0"/>
    </row>
    <row r="26" customFormat="false" ht="12.8" hidden="false" customHeight="false" outlineLevel="0" collapsed="false">
      <c r="A26" s="6" t="s">
        <v>72</v>
      </c>
      <c r="B26" s="6" t="n">
        <v>20279</v>
      </c>
      <c r="C26" s="6" t="n">
        <v>39292</v>
      </c>
      <c r="D26" s="11" t="n">
        <f aca="false">C26/B26</f>
        <v>1.93757088613837</v>
      </c>
      <c r="L26" s="0"/>
    </row>
    <row r="27" customFormat="false" ht="12.8" hidden="false" customHeight="false" outlineLevel="0" collapsed="false">
      <c r="A27" s="6" t="s">
        <v>73</v>
      </c>
      <c r="B27" s="6" t="n">
        <v>34543</v>
      </c>
      <c r="C27" s="6" t="n">
        <v>70957</v>
      </c>
      <c r="D27" s="11" t="n">
        <f aca="false">C27/B27</f>
        <v>2.05416437483716</v>
      </c>
      <c r="L27" s="0"/>
    </row>
    <row r="28" customFormat="false" ht="12.8" hidden="false" customHeight="false" outlineLevel="0" collapsed="false">
      <c r="A28" s="6" t="s">
        <v>74</v>
      </c>
      <c r="B28" s="6" t="n">
        <v>61068</v>
      </c>
      <c r="C28" s="6" t="n">
        <v>72117</v>
      </c>
      <c r="D28" s="11" t="n">
        <f aca="false">C28/B28</f>
        <v>1.18092945568874</v>
      </c>
      <c r="L28" s="0"/>
    </row>
    <row r="29" customFormat="false" ht="12.8" hidden="false" customHeight="false" outlineLevel="0" collapsed="false">
      <c r="A29" s="6" t="s">
        <v>75</v>
      </c>
      <c r="B29" s="6" t="n">
        <v>27928</v>
      </c>
      <c r="C29" s="6" t="n">
        <v>40598</v>
      </c>
      <c r="D29" s="11" t="n">
        <f aca="false">C29/B29</f>
        <v>1.45366657118304</v>
      </c>
      <c r="L29" s="0"/>
    </row>
    <row r="30" customFormat="false" ht="12.8" hidden="false" customHeight="false" outlineLevel="0" collapsed="false">
      <c r="A30" s="6" t="s">
        <v>76</v>
      </c>
      <c r="B30" s="6" t="n">
        <v>54088</v>
      </c>
      <c r="C30" s="6" t="n">
        <v>110250</v>
      </c>
      <c r="D30" s="11" t="n">
        <f aca="false">C30/B30</f>
        <v>2.03834491939062</v>
      </c>
      <c r="L30" s="0"/>
    </row>
    <row r="31" customFormat="false" ht="12.8" hidden="false" customHeight="false" outlineLevel="0" collapsed="false">
      <c r="A31" s="6" t="s">
        <v>77</v>
      </c>
      <c r="B31" s="6" t="n">
        <v>25691</v>
      </c>
      <c r="C31" s="6" t="n">
        <v>25326</v>
      </c>
      <c r="D31" s="11" t="n">
        <f aca="false">C31/B31</f>
        <v>0.985792690047098</v>
      </c>
      <c r="L31" s="0"/>
    </row>
    <row r="32" customFormat="false" ht="12.8" hidden="false" customHeight="false" outlineLevel="0" collapsed="false">
      <c r="A32" s="6" t="s">
        <v>78</v>
      </c>
      <c r="B32" s="6" t="n">
        <v>52475</v>
      </c>
      <c r="C32" s="6" t="n">
        <v>60896</v>
      </c>
      <c r="D32" s="11" t="n">
        <f aca="false">C32/B32</f>
        <v>1.16047641734159</v>
      </c>
      <c r="L32" s="0"/>
    </row>
    <row r="33" customFormat="false" ht="12.8" hidden="false" customHeight="false" outlineLevel="0" collapsed="false">
      <c r="A33" s="6" t="s">
        <v>79</v>
      </c>
      <c r="B33" s="6" t="n">
        <v>23542</v>
      </c>
      <c r="C33" s="6" t="n">
        <v>39902</v>
      </c>
      <c r="D33" s="11" t="n">
        <f aca="false">C33/B33</f>
        <v>1.69492821340583</v>
      </c>
      <c r="L33" s="0"/>
    </row>
    <row r="34" customFormat="false" ht="12.8" hidden="false" customHeight="false" outlineLevel="0" collapsed="false">
      <c r="A34" s="6" t="s">
        <v>80</v>
      </c>
      <c r="B34" s="6" t="n">
        <v>42882</v>
      </c>
      <c r="C34" s="6" t="n">
        <v>50500</v>
      </c>
      <c r="D34" s="11" t="n">
        <f aca="false">C34/B34</f>
        <v>1.17765029616156</v>
      </c>
      <c r="L34" s="0"/>
    </row>
    <row r="35" customFormat="false" ht="12.8" hidden="false" customHeight="false" outlineLevel="0" collapsed="false">
      <c r="A35" s="6" t="s">
        <v>81</v>
      </c>
      <c r="B35" s="6" t="n">
        <v>38811</v>
      </c>
      <c r="C35" s="6" t="n">
        <v>23928</v>
      </c>
      <c r="D35" s="11" t="n">
        <f aca="false">C35/B35</f>
        <v>0.616526242560099</v>
      </c>
      <c r="L35" s="0"/>
    </row>
    <row r="36" customFormat="false" ht="12.8" hidden="false" customHeight="false" outlineLevel="0" collapsed="false">
      <c r="A36" s="6" t="s">
        <v>82</v>
      </c>
      <c r="B36" s="6" t="n">
        <v>94603</v>
      </c>
      <c r="C36" s="6" t="n">
        <v>116499</v>
      </c>
      <c r="D36" s="11" t="n">
        <f aca="false">C36/B36</f>
        <v>1.23145143388687</v>
      </c>
      <c r="L36" s="0"/>
    </row>
    <row r="37" customFormat="false" ht="12.8" hidden="false" customHeight="false" outlineLevel="0" collapsed="false">
      <c r="A37" s="6" t="s">
        <v>83</v>
      </c>
      <c r="B37" s="6" t="n">
        <v>44513</v>
      </c>
      <c r="C37" s="6" t="n">
        <v>47872</v>
      </c>
      <c r="D37" s="11" t="n">
        <f aca="false">C37/B37</f>
        <v>1.07546110125132</v>
      </c>
      <c r="L37" s="0"/>
    </row>
    <row r="38" customFormat="false" ht="12.8" hidden="false" customHeight="false" outlineLevel="0" collapsed="false">
      <c r="A38" s="6" t="s">
        <v>84</v>
      </c>
      <c r="B38" s="6" t="n">
        <v>5479</v>
      </c>
      <c r="C38" s="6" t="n">
        <v>7036</v>
      </c>
      <c r="D38" s="11" t="n">
        <f aca="false">C38/B38</f>
        <v>1.28417594451542</v>
      </c>
      <c r="L38" s="0"/>
    </row>
    <row r="39" customFormat="false" ht="12.8" hidden="false" customHeight="false" outlineLevel="0" collapsed="false">
      <c r="A39" s="6" t="s">
        <v>85</v>
      </c>
      <c r="B39" s="6" t="n">
        <v>4885</v>
      </c>
      <c r="C39" s="6" t="n">
        <v>6865</v>
      </c>
      <c r="D39" s="11" t="n">
        <f aca="false">C39/B39</f>
        <v>1.40532241555783</v>
      </c>
      <c r="L39" s="0"/>
    </row>
    <row r="40" customFormat="false" ht="12.8" hidden="false" customHeight="false" outlineLevel="0" collapsed="false">
      <c r="A40" s="6" t="s">
        <v>86</v>
      </c>
      <c r="B40" s="6" t="n">
        <v>5811</v>
      </c>
      <c r="C40" s="6" t="n">
        <v>7721</v>
      </c>
      <c r="D40" s="11" t="n">
        <f aca="false">C40/B40</f>
        <v>1.32868697298228</v>
      </c>
      <c r="L40" s="0"/>
    </row>
    <row r="41" customFormat="false" ht="12.8" hidden="false" customHeight="false" outlineLevel="0" collapsed="false">
      <c r="A41" s="6" t="s">
        <v>87</v>
      </c>
      <c r="B41" s="6" t="n">
        <v>6087</v>
      </c>
      <c r="C41" s="6" t="n">
        <v>9736</v>
      </c>
      <c r="D41" s="11" t="n">
        <f aca="false">C41/B41</f>
        <v>1.59947428946936</v>
      </c>
      <c r="L41" s="0"/>
    </row>
    <row r="42" customFormat="false" ht="12.8" hidden="false" customHeight="false" outlineLevel="0" collapsed="false">
      <c r="A42" s="6" t="s">
        <v>88</v>
      </c>
      <c r="B42" s="6" t="n">
        <v>2719</v>
      </c>
      <c r="C42" s="6" t="n">
        <v>2855</v>
      </c>
      <c r="D42" s="11" t="n">
        <f aca="false">C42/B42</f>
        <v>1.05001838911364</v>
      </c>
      <c r="L42" s="0"/>
    </row>
    <row r="43" customFormat="false" ht="12.8" hidden="false" customHeight="false" outlineLevel="0" collapsed="false">
      <c r="A43" s="6" t="s">
        <v>89</v>
      </c>
      <c r="B43" s="6" t="n">
        <v>6235</v>
      </c>
      <c r="C43" s="6" t="n">
        <v>6855</v>
      </c>
      <c r="D43" s="11" t="n">
        <f aca="false">C43/B43</f>
        <v>1.09943865276664</v>
      </c>
      <c r="L43" s="0"/>
    </row>
    <row r="44" customFormat="false" ht="12.8" hidden="false" customHeight="false" outlineLevel="0" collapsed="false">
      <c r="A44" s="6" t="s">
        <v>90</v>
      </c>
      <c r="B44" s="6" t="n">
        <v>1426</v>
      </c>
      <c r="C44" s="6" t="n">
        <v>1560</v>
      </c>
      <c r="D44" s="11" t="n">
        <f aca="false">C44/B44</f>
        <v>1.09396914446003</v>
      </c>
      <c r="L44" s="0"/>
    </row>
    <row r="45" customFormat="false" ht="12.8" hidden="false" customHeight="false" outlineLevel="0" collapsed="false">
      <c r="A45" s="6" t="s">
        <v>91</v>
      </c>
      <c r="B45" s="6" t="n">
        <v>7003</v>
      </c>
      <c r="C45" s="6" t="n">
        <v>9077</v>
      </c>
      <c r="D45" s="11" t="n">
        <f aca="false">C45/B45</f>
        <v>1.29615878909039</v>
      </c>
      <c r="L45" s="0"/>
    </row>
    <row r="46" customFormat="false" ht="12.8" hidden="false" customHeight="false" outlineLevel="0" collapsed="false">
      <c r="A46" s="6" t="s">
        <v>92</v>
      </c>
      <c r="B46" s="6" t="n">
        <v>1876</v>
      </c>
      <c r="C46" s="6" t="n">
        <v>2488</v>
      </c>
      <c r="D46" s="11" t="n">
        <f aca="false">C46/B46</f>
        <v>1.32622601279318</v>
      </c>
      <c r="L46" s="0"/>
    </row>
    <row r="47" customFormat="false" ht="12.8" hidden="false" customHeight="false" outlineLevel="0" collapsed="false">
      <c r="A47" s="6" t="s">
        <v>93</v>
      </c>
      <c r="B47" s="6" t="n">
        <v>3575</v>
      </c>
      <c r="C47" s="6" t="n">
        <v>4600</v>
      </c>
      <c r="D47" s="11" t="n">
        <f aca="false">C47/B47</f>
        <v>1.28671328671329</v>
      </c>
      <c r="L47" s="0"/>
    </row>
    <row r="48" customFormat="false" ht="12.8" hidden="false" customHeight="false" outlineLevel="0" collapsed="false">
      <c r="A48" s="6" t="s">
        <v>94</v>
      </c>
      <c r="B48" s="6" t="n">
        <v>1290</v>
      </c>
      <c r="C48" s="6" t="n">
        <v>1564</v>
      </c>
      <c r="D48" s="11" t="n">
        <f aca="false">C48/B48</f>
        <v>1.21240310077519</v>
      </c>
      <c r="L48" s="0"/>
    </row>
    <row r="49" customFormat="false" ht="12.8" hidden="false" customHeight="false" outlineLevel="0" collapsed="false">
      <c r="A49" s="6" t="s">
        <v>95</v>
      </c>
      <c r="B49" s="6" t="n">
        <v>776</v>
      </c>
      <c r="C49" s="6" t="n">
        <v>837</v>
      </c>
      <c r="D49" s="11" t="n">
        <f aca="false">C49/B49</f>
        <v>1.07860824742268</v>
      </c>
      <c r="L49" s="0"/>
    </row>
    <row r="50" customFormat="false" ht="12.8" hidden="false" customHeight="false" outlineLevel="0" collapsed="false">
      <c r="A50" s="6" t="s">
        <v>96</v>
      </c>
      <c r="B50" s="6" t="n">
        <v>1699</v>
      </c>
      <c r="C50" s="6" t="n">
        <v>2471</v>
      </c>
      <c r="D50" s="11" t="n">
        <f aca="false">C50/B50</f>
        <v>1.45438493231313</v>
      </c>
      <c r="L50" s="0"/>
    </row>
    <row r="51" customFormat="false" ht="12.8" hidden="false" customHeight="false" outlineLevel="0" collapsed="false">
      <c r="A51" s="6" t="s">
        <v>97</v>
      </c>
      <c r="B51" s="6" t="n">
        <v>571</v>
      </c>
      <c r="C51" s="6" t="n">
        <v>605</v>
      </c>
      <c r="D51" s="11" t="n">
        <f aca="false">C51/B51</f>
        <v>1.05954465849387</v>
      </c>
      <c r="L51" s="0"/>
    </row>
    <row r="52" customFormat="false" ht="12.8" hidden="false" customHeight="false" outlineLevel="0" collapsed="false">
      <c r="A52" s="6" t="s">
        <v>98</v>
      </c>
      <c r="B52" s="6" t="n">
        <v>1435</v>
      </c>
      <c r="C52" s="6" t="n">
        <v>1629</v>
      </c>
      <c r="D52" s="11" t="n">
        <f aca="false">C52/B52</f>
        <v>1.13519163763066</v>
      </c>
      <c r="L52" s="0"/>
    </row>
    <row r="53" customFormat="false" ht="12.8" hidden="false" customHeight="false" outlineLevel="0" collapsed="false">
      <c r="A53" s="6" t="s">
        <v>99</v>
      </c>
      <c r="B53" s="6" t="n">
        <v>864</v>
      </c>
      <c r="C53" s="6" t="n">
        <v>1043</v>
      </c>
      <c r="D53" s="11" t="n">
        <f aca="false">C53/B53</f>
        <v>1.20717592592593</v>
      </c>
      <c r="L53" s="0"/>
    </row>
    <row r="54" customFormat="false" ht="12.8" hidden="false" customHeight="false" outlineLevel="0" collapsed="false">
      <c r="A54" s="6" t="s">
        <v>100</v>
      </c>
      <c r="B54" s="6" t="n">
        <v>9112</v>
      </c>
      <c r="C54" s="6" t="n">
        <v>11242</v>
      </c>
      <c r="D54" s="11" t="n">
        <f aca="false">C54/B54</f>
        <v>1.23375768217735</v>
      </c>
      <c r="L54" s="0"/>
    </row>
    <row r="55" customFormat="false" ht="12.8" hidden="false" customHeight="false" outlineLevel="0" collapsed="false">
      <c r="A55" s="6" t="s">
        <v>101</v>
      </c>
      <c r="B55" s="6" t="n">
        <v>4560</v>
      </c>
      <c r="C55" s="6" t="n">
        <v>5469</v>
      </c>
      <c r="D55" s="11" t="n">
        <f aca="false">C55/B55</f>
        <v>1.19934210526316</v>
      </c>
      <c r="L55" s="0"/>
    </row>
    <row r="56" customFormat="false" ht="12.8" hidden="false" customHeight="false" outlineLevel="0" collapsed="false">
      <c r="A56" s="6" t="s">
        <v>102</v>
      </c>
      <c r="B56" s="6" t="n">
        <v>378</v>
      </c>
      <c r="C56" s="6" t="n">
        <v>519</v>
      </c>
      <c r="D56" s="11" t="n">
        <f aca="false">C56/B56</f>
        <v>1.37301587301587</v>
      </c>
      <c r="L56" s="0"/>
    </row>
    <row r="57" customFormat="false" ht="12.8" hidden="false" customHeight="false" outlineLevel="0" collapsed="false">
      <c r="A57" s="6" t="s">
        <v>103</v>
      </c>
      <c r="B57" s="6" t="n">
        <v>489</v>
      </c>
      <c r="C57" s="6" t="n">
        <v>876</v>
      </c>
      <c r="D57" s="11" t="n">
        <f aca="false">C57/B57</f>
        <v>1.79141104294479</v>
      </c>
      <c r="L57" s="0"/>
    </row>
    <row r="58" customFormat="false" ht="12.8" hidden="false" customHeight="false" outlineLevel="0" collapsed="false">
      <c r="A58" s="6" t="s">
        <v>104</v>
      </c>
      <c r="B58" s="6" t="n">
        <v>3665</v>
      </c>
      <c r="C58" s="6" t="n">
        <v>4337</v>
      </c>
      <c r="D58" s="11" t="n">
        <f aca="false">C58/B58</f>
        <v>1.18335607094134</v>
      </c>
      <c r="L58" s="0"/>
    </row>
    <row r="59" customFormat="false" ht="12.8" hidden="false" customHeight="false" outlineLevel="0" collapsed="false">
      <c r="A59" s="6" t="s">
        <v>105</v>
      </c>
      <c r="B59" s="6" t="n">
        <v>798</v>
      </c>
      <c r="C59" s="6" t="n">
        <v>834</v>
      </c>
      <c r="D59" s="11" t="n">
        <f aca="false">C59/B59</f>
        <v>1.04511278195489</v>
      </c>
      <c r="L59" s="0"/>
    </row>
    <row r="60" customFormat="false" ht="12.8" hidden="false" customHeight="false" outlineLevel="0" collapsed="false">
      <c r="A60" s="6" t="s">
        <v>106</v>
      </c>
      <c r="B60" s="6" t="n">
        <v>2489</v>
      </c>
      <c r="C60" s="6" t="n">
        <v>2627</v>
      </c>
      <c r="D60" s="11" t="n">
        <f aca="false">C60/B60</f>
        <v>1.05544395339494</v>
      </c>
      <c r="L60" s="0"/>
    </row>
    <row r="61" customFormat="false" ht="12.8" hidden="false" customHeight="false" outlineLevel="0" collapsed="false">
      <c r="A61" s="6" t="s">
        <v>107</v>
      </c>
      <c r="B61" s="6" t="n">
        <v>2057</v>
      </c>
      <c r="C61" s="6" t="n">
        <v>2330</v>
      </c>
      <c r="D61" s="11" t="n">
        <f aca="false">C61/B61</f>
        <v>1.13271754982985</v>
      </c>
      <c r="L61" s="0"/>
    </row>
    <row r="62" customFormat="false" ht="12.8" hidden="false" customHeight="false" outlineLevel="0" collapsed="false">
      <c r="A62" s="6" t="s">
        <v>108</v>
      </c>
      <c r="B62" s="6" t="n">
        <v>4608</v>
      </c>
      <c r="C62" s="6" t="n">
        <v>4922</v>
      </c>
      <c r="D62" s="11" t="n">
        <f aca="false">C62/B62</f>
        <v>1.06814236111111</v>
      </c>
      <c r="L62" s="0"/>
    </row>
    <row r="63" customFormat="false" ht="12.8" hidden="false" customHeight="false" outlineLevel="0" collapsed="false">
      <c r="A63" s="6" t="s">
        <v>109</v>
      </c>
      <c r="B63" s="6" t="n">
        <v>3607</v>
      </c>
      <c r="C63" s="6" t="n">
        <v>3957</v>
      </c>
      <c r="D63" s="11" t="n">
        <f aca="false">C63/B63</f>
        <v>1.09703354588301</v>
      </c>
      <c r="L63" s="0"/>
    </row>
    <row r="64" customFormat="false" ht="12.8" hidden="false" customHeight="false" outlineLevel="0" collapsed="false">
      <c r="A64" s="6" t="s">
        <v>110</v>
      </c>
      <c r="B64" s="6" t="n">
        <v>675</v>
      </c>
      <c r="C64" s="6" t="n">
        <v>561</v>
      </c>
      <c r="D64" s="11" t="n">
        <f aca="false">C64/B64</f>
        <v>0.831111111111111</v>
      </c>
      <c r="L64" s="0"/>
    </row>
    <row r="65" customFormat="false" ht="12.8" hidden="false" customHeight="false" outlineLevel="0" collapsed="false">
      <c r="A65" s="6" t="s">
        <v>111</v>
      </c>
      <c r="B65" s="6" t="n">
        <v>3145</v>
      </c>
      <c r="C65" s="6" t="n">
        <v>2996</v>
      </c>
      <c r="D65" s="11" t="n">
        <f aca="false">C65/B65</f>
        <v>0.952623211446741</v>
      </c>
      <c r="L65" s="0"/>
    </row>
    <row r="66" customFormat="false" ht="12.8" hidden="false" customHeight="false" outlineLevel="0" collapsed="false">
      <c r="A66" s="6" t="s">
        <v>112</v>
      </c>
      <c r="B66" s="6" t="n">
        <v>3491</v>
      </c>
      <c r="C66" s="6" t="n">
        <v>3926</v>
      </c>
      <c r="D66" s="11" t="n">
        <f aca="false">C66/B66</f>
        <v>1.1246061300487</v>
      </c>
      <c r="L66" s="0"/>
    </row>
    <row r="67" customFormat="false" ht="12.8" hidden="false" customHeight="false" outlineLevel="0" collapsed="false">
      <c r="A67" s="6" t="s">
        <v>113</v>
      </c>
      <c r="B67" s="6" t="n">
        <v>2858</v>
      </c>
      <c r="C67" s="6" t="n">
        <v>3132</v>
      </c>
      <c r="D67" s="11" t="n">
        <f aca="false">C67/B67</f>
        <v>1.09587123862841</v>
      </c>
      <c r="L67" s="0"/>
    </row>
    <row r="68" customFormat="false" ht="12.8" hidden="false" customHeight="false" outlineLevel="0" collapsed="false">
      <c r="A68" s="6" t="s">
        <v>114</v>
      </c>
      <c r="B68" s="6" t="n">
        <v>11440</v>
      </c>
      <c r="C68" s="6" t="n">
        <v>14651</v>
      </c>
      <c r="D68" s="11" t="n">
        <f aca="false">C68/B68</f>
        <v>1.28068181818182</v>
      </c>
      <c r="L68" s="0"/>
    </row>
    <row r="69" customFormat="false" ht="12.8" hidden="false" customHeight="false" outlineLevel="0" collapsed="false">
      <c r="A69" s="6" t="s">
        <v>115</v>
      </c>
      <c r="B69" s="6" t="n">
        <v>13208</v>
      </c>
      <c r="C69" s="6" t="n">
        <v>17136</v>
      </c>
      <c r="D69" s="11" t="n">
        <f aca="false">C69/B69</f>
        <v>1.29739551786796</v>
      </c>
      <c r="L69" s="0"/>
    </row>
    <row r="70" customFormat="false" ht="12.8" hidden="false" customHeight="false" outlineLevel="0" collapsed="false">
      <c r="A70" s="6" t="s">
        <v>116</v>
      </c>
      <c r="B70" s="6" t="n">
        <v>1850</v>
      </c>
      <c r="C70" s="6" t="n">
        <v>1780</v>
      </c>
      <c r="D70" s="11" t="n">
        <f aca="false">C70/B70</f>
        <v>0.962162162162162</v>
      </c>
      <c r="L70" s="0"/>
    </row>
    <row r="71" customFormat="false" ht="12.8" hidden="false" customHeight="false" outlineLevel="0" collapsed="false">
      <c r="A71" s="6" t="s">
        <v>117</v>
      </c>
      <c r="B71" s="6" t="n">
        <v>2549</v>
      </c>
      <c r="C71" s="6" t="n">
        <v>3115</v>
      </c>
      <c r="D71" s="11" t="n">
        <f aca="false">C71/B71</f>
        <v>1.22204786190663</v>
      </c>
      <c r="L71" s="0"/>
    </row>
    <row r="72" customFormat="false" ht="12.8" hidden="false" customHeight="false" outlineLevel="0" collapsed="false">
      <c r="A72" s="6" t="s">
        <v>118</v>
      </c>
      <c r="B72" s="6" t="n">
        <v>3908</v>
      </c>
      <c r="C72" s="6" t="n">
        <v>3351</v>
      </c>
      <c r="D72" s="11" t="n">
        <f aca="false">C72/B72</f>
        <v>0.857471852610031</v>
      </c>
      <c r="L72" s="0"/>
    </row>
    <row r="73" customFormat="false" ht="12.8" hidden="false" customHeight="false" outlineLevel="0" collapsed="false">
      <c r="A73" s="6" t="s">
        <v>119</v>
      </c>
      <c r="B73" s="6" t="n">
        <v>1987</v>
      </c>
      <c r="C73" s="6" t="n">
        <v>2097</v>
      </c>
      <c r="D73" s="11" t="n">
        <f aca="false">C73/B73</f>
        <v>1.0553598389532</v>
      </c>
      <c r="L73" s="0"/>
    </row>
    <row r="74" customFormat="false" ht="12.8" hidden="false" customHeight="false" outlineLevel="0" collapsed="false">
      <c r="A74" s="6" t="s">
        <v>120</v>
      </c>
      <c r="B74" s="6" t="n">
        <v>2849</v>
      </c>
      <c r="C74" s="6" t="n">
        <v>3099</v>
      </c>
      <c r="D74" s="11" t="n">
        <f aca="false">C74/B74</f>
        <v>1.08775008775009</v>
      </c>
      <c r="L74" s="0"/>
    </row>
    <row r="75" customFormat="false" ht="12.8" hidden="false" customHeight="false" outlineLevel="0" collapsed="false">
      <c r="A75" s="6" t="s">
        <v>121</v>
      </c>
      <c r="B75" s="6" t="n">
        <v>16680</v>
      </c>
      <c r="C75" s="6" t="n">
        <v>20210</v>
      </c>
      <c r="D75" s="11" t="n">
        <f aca="false">C75/B75</f>
        <v>1.21163069544365</v>
      </c>
      <c r="L75" s="0"/>
    </row>
    <row r="76" customFormat="false" ht="12.8" hidden="false" customHeight="false" outlineLevel="0" collapsed="false">
      <c r="A76" s="6" t="s">
        <v>122</v>
      </c>
      <c r="B76" s="6" t="n">
        <v>5736</v>
      </c>
      <c r="C76" s="6" t="n">
        <v>6093</v>
      </c>
      <c r="D76" s="11" t="n">
        <f aca="false">C76/B76</f>
        <v>1.06223849372385</v>
      </c>
      <c r="L76" s="0"/>
    </row>
    <row r="77" customFormat="false" ht="12.8" hidden="false" customHeight="false" outlineLevel="0" collapsed="false">
      <c r="A77" s="6" t="s">
        <v>123</v>
      </c>
      <c r="B77" s="6" t="n">
        <v>8249</v>
      </c>
      <c r="C77" s="6" t="n">
        <v>9266</v>
      </c>
      <c r="D77" s="11" t="n">
        <f aca="false">C77/B77</f>
        <v>1.12328767123288</v>
      </c>
      <c r="L77" s="0"/>
    </row>
    <row r="78" customFormat="false" ht="12.8" hidden="false" customHeight="false" outlineLevel="0" collapsed="false">
      <c r="A78" s="6" t="s">
        <v>124</v>
      </c>
      <c r="B78" s="6" t="n">
        <v>836</v>
      </c>
      <c r="C78" s="6" t="n">
        <v>932</v>
      </c>
      <c r="D78" s="11" t="n">
        <f aca="false">C78/B78</f>
        <v>1.11483253588517</v>
      </c>
      <c r="L78" s="0"/>
    </row>
    <row r="79" customFormat="false" ht="12.8" hidden="false" customHeight="false" outlineLevel="0" collapsed="false">
      <c r="A79" s="6" t="s">
        <v>125</v>
      </c>
      <c r="B79" s="6" t="n">
        <v>7179</v>
      </c>
      <c r="C79" s="6" t="n">
        <v>7329</v>
      </c>
      <c r="D79" s="11" t="n">
        <f aca="false">C79/B79</f>
        <v>1.02089427496866</v>
      </c>
      <c r="L79" s="0"/>
    </row>
    <row r="80" customFormat="false" ht="12.8" hidden="false" customHeight="false" outlineLevel="0" collapsed="false">
      <c r="A80" s="6" t="s">
        <v>126</v>
      </c>
      <c r="B80" s="6" t="n">
        <v>2122</v>
      </c>
      <c r="C80" s="6" t="n">
        <v>1654</v>
      </c>
      <c r="D80" s="11" t="n">
        <f aca="false">C80/B80</f>
        <v>0.779453345900094</v>
      </c>
      <c r="L80" s="0"/>
    </row>
    <row r="81" customFormat="false" ht="12.8" hidden="false" customHeight="false" outlineLevel="0" collapsed="false">
      <c r="A81" s="6" t="s">
        <v>127</v>
      </c>
      <c r="B81" s="6" t="n">
        <v>2316</v>
      </c>
      <c r="C81" s="6" t="n">
        <v>2579</v>
      </c>
      <c r="D81" s="11" t="n">
        <f aca="false">C81/B81</f>
        <v>1.11355785837651</v>
      </c>
      <c r="L81" s="0"/>
    </row>
    <row r="82" customFormat="false" ht="12.8" hidden="false" customHeight="false" outlineLevel="0" collapsed="false">
      <c r="A82" s="6" t="s">
        <v>128</v>
      </c>
      <c r="B82" s="6" t="n">
        <v>3885</v>
      </c>
      <c r="C82" s="6" t="n">
        <v>5564</v>
      </c>
      <c r="D82" s="11" t="n">
        <f aca="false">C82/B82</f>
        <v>1.43217503217503</v>
      </c>
      <c r="L82" s="0"/>
    </row>
    <row r="83" customFormat="false" ht="12.8" hidden="false" customHeight="false" outlineLevel="0" collapsed="false">
      <c r="A83" s="6" t="s">
        <v>129</v>
      </c>
      <c r="B83" s="6" t="n">
        <v>4378</v>
      </c>
      <c r="C83" s="6" t="n">
        <v>6540</v>
      </c>
      <c r="D83" s="11" t="n">
        <f aca="false">C83/B83</f>
        <v>1.49383280036546</v>
      </c>
      <c r="L83" s="0"/>
    </row>
    <row r="84" customFormat="false" ht="12.8" hidden="false" customHeight="false" outlineLevel="0" collapsed="false">
      <c r="A84" s="6" t="s">
        <v>130</v>
      </c>
      <c r="B84" s="6" t="n">
        <v>5737</v>
      </c>
      <c r="C84" s="6" t="n">
        <v>6038</v>
      </c>
      <c r="D84" s="11" t="n">
        <f aca="false">C84/B84</f>
        <v>1.05246644587764</v>
      </c>
      <c r="L84" s="0"/>
    </row>
    <row r="85" customFormat="false" ht="12.8" hidden="false" customHeight="false" outlineLevel="0" collapsed="false">
      <c r="A85" s="6" t="s">
        <v>131</v>
      </c>
      <c r="B85" s="6" t="n">
        <v>2002</v>
      </c>
      <c r="C85" s="6" t="n">
        <v>1320</v>
      </c>
      <c r="D85" s="11" t="n">
        <f aca="false">C85/B85</f>
        <v>0.659340659340659</v>
      </c>
      <c r="L85" s="0"/>
    </row>
    <row r="86" customFormat="false" ht="12.8" hidden="false" customHeight="false" outlineLevel="0" collapsed="false">
      <c r="A86" s="6" t="s">
        <v>132</v>
      </c>
      <c r="B86" s="6" t="n">
        <v>6412</v>
      </c>
      <c r="C86" s="6" t="n">
        <v>7353</v>
      </c>
      <c r="D86" s="11" t="n">
        <f aca="false">C86/B86</f>
        <v>1.1467560823456</v>
      </c>
      <c r="L86" s="0"/>
    </row>
    <row r="87" customFormat="false" ht="12.8" hidden="false" customHeight="false" outlineLevel="0" collapsed="false">
      <c r="A87" s="6" t="s">
        <v>133</v>
      </c>
      <c r="B87" s="6" t="n">
        <v>5349</v>
      </c>
      <c r="C87" s="6" t="n">
        <v>6783</v>
      </c>
      <c r="D87" s="11" t="n">
        <f aca="false">C87/B87</f>
        <v>1.26808749298934</v>
      </c>
      <c r="L87" s="0"/>
    </row>
    <row r="88" customFormat="false" ht="12.8" hidden="false" customHeight="false" outlineLevel="0" collapsed="false">
      <c r="A88" s="6" t="s">
        <v>134</v>
      </c>
      <c r="B88" s="6" t="n">
        <v>4183</v>
      </c>
      <c r="C88" s="6" t="n">
        <v>6561</v>
      </c>
      <c r="D88" s="11" t="n">
        <f aca="false">C88/B88</f>
        <v>1.56849151326799</v>
      </c>
      <c r="L88" s="0"/>
    </row>
    <row r="89" customFormat="false" ht="12.8" hidden="false" customHeight="false" outlineLevel="0" collapsed="false">
      <c r="A89" s="6" t="s">
        <v>39</v>
      </c>
      <c r="B89" s="6" t="n">
        <v>7868</v>
      </c>
      <c r="C89" s="6" t="n">
        <v>9732</v>
      </c>
      <c r="D89" s="11" t="n">
        <f aca="false">C89/B89</f>
        <v>1.23690899847483</v>
      </c>
      <c r="L89" s="0"/>
    </row>
    <row r="90" customFormat="false" ht="12.8" hidden="false" customHeight="false" outlineLevel="0" collapsed="false">
      <c r="A90" s="6" t="s">
        <v>24</v>
      </c>
      <c r="B90" s="6" t="n">
        <v>2153</v>
      </c>
      <c r="C90" s="6" t="n">
        <v>2871</v>
      </c>
      <c r="D90" s="11" t="n">
        <f aca="false">C90/B90</f>
        <v>1.33348815606131</v>
      </c>
      <c r="L90" s="0"/>
    </row>
    <row r="91" customFormat="false" ht="12.8" hidden="false" customHeight="false" outlineLevel="0" collapsed="false">
      <c r="A91" s="6" t="s">
        <v>28</v>
      </c>
      <c r="B91" s="6" t="n">
        <v>704</v>
      </c>
      <c r="C91" s="6" t="n">
        <v>957</v>
      </c>
      <c r="D91" s="11" t="n">
        <f aca="false">C91/B91</f>
        <v>1.359375</v>
      </c>
      <c r="L91" s="0"/>
    </row>
    <row r="92" customFormat="false" ht="12.8" hidden="false" customHeight="false" outlineLevel="0" collapsed="false">
      <c r="A92" s="6" t="s">
        <v>25</v>
      </c>
      <c r="B92" s="6" t="n">
        <v>5428</v>
      </c>
      <c r="C92" s="6" t="n">
        <v>5741</v>
      </c>
      <c r="D92" s="11" t="n">
        <f aca="false">C92/B92</f>
        <v>1.05766396462786</v>
      </c>
      <c r="L92" s="0"/>
    </row>
    <row r="93" customFormat="false" ht="12.8" hidden="false" customHeight="false" outlineLevel="0" collapsed="false">
      <c r="A93" s="6" t="s">
        <v>135</v>
      </c>
      <c r="B93" s="6" t="n">
        <v>1003</v>
      </c>
      <c r="C93" s="6" t="n">
        <v>1253</v>
      </c>
      <c r="D93" s="11" t="n">
        <f aca="false">C93/B93</f>
        <v>1.24925224327019</v>
      </c>
      <c r="L93" s="0"/>
    </row>
    <row r="94" customFormat="false" ht="12.8" hidden="false" customHeight="false" outlineLevel="0" collapsed="false">
      <c r="A94" s="6" t="s">
        <v>136</v>
      </c>
      <c r="B94" s="6" t="n">
        <v>6400</v>
      </c>
      <c r="C94" s="6" t="n">
        <v>7751</v>
      </c>
      <c r="D94" s="11" t="n">
        <f aca="false">C94/B94</f>
        <v>1.21109375</v>
      </c>
      <c r="L94" s="0"/>
    </row>
    <row r="95" customFormat="false" ht="12.8" hidden="false" customHeight="false" outlineLevel="0" collapsed="false">
      <c r="A95" s="6" t="s">
        <v>137</v>
      </c>
      <c r="B95" s="6" t="n">
        <v>2057</v>
      </c>
      <c r="C95" s="6" t="n">
        <v>2597</v>
      </c>
      <c r="D95" s="11" t="n">
        <f aca="false">C95/B95</f>
        <v>1.26251823043267</v>
      </c>
      <c r="L95" s="0"/>
    </row>
    <row r="96" customFormat="false" ht="12.8" hidden="false" customHeight="false" outlineLevel="0" collapsed="false">
      <c r="A96" s="6" t="s">
        <v>138</v>
      </c>
      <c r="B96" s="6" t="n">
        <v>2714</v>
      </c>
      <c r="C96" s="6" t="n">
        <v>2790</v>
      </c>
      <c r="D96" s="11" t="n">
        <f aca="false">C96/B96</f>
        <v>1.0280029476787</v>
      </c>
      <c r="L96" s="0"/>
    </row>
    <row r="97" customFormat="false" ht="12.8" hidden="false" customHeight="false" outlineLevel="0" collapsed="false">
      <c r="A97" s="6" t="s">
        <v>139</v>
      </c>
      <c r="B97" s="6" t="n">
        <v>4659</v>
      </c>
      <c r="C97" s="6" t="n">
        <v>4668</v>
      </c>
      <c r="D97" s="11" t="n">
        <f aca="false">C97/B97</f>
        <v>1.00193174500966</v>
      </c>
      <c r="L97" s="0"/>
    </row>
    <row r="98" customFormat="false" ht="12.8" hidden="false" customHeight="false" outlineLevel="0" collapsed="false">
      <c r="A98" s="6" t="s">
        <v>140</v>
      </c>
      <c r="B98" s="6" t="n">
        <v>3127</v>
      </c>
      <c r="C98" s="6" t="n">
        <v>3795</v>
      </c>
      <c r="D98" s="11" t="n">
        <f aca="false">C98/B98</f>
        <v>1.2136232811001</v>
      </c>
      <c r="L98" s="0"/>
    </row>
    <row r="99" customFormat="false" ht="12.8" hidden="false" customHeight="false" outlineLevel="0" collapsed="false">
      <c r="A99" s="6" t="s">
        <v>141</v>
      </c>
      <c r="B99" s="6" t="n">
        <v>2869</v>
      </c>
      <c r="C99" s="6" t="n">
        <v>2914</v>
      </c>
      <c r="D99" s="11" t="n">
        <f aca="false">C99/B99</f>
        <v>1.01568490763332</v>
      </c>
      <c r="L99" s="0"/>
    </row>
    <row r="100" customFormat="false" ht="12.8" hidden="false" customHeight="false" outlineLevel="0" collapsed="false">
      <c r="A100" s="6" t="s">
        <v>142</v>
      </c>
      <c r="B100" s="6" t="n">
        <v>2892</v>
      </c>
      <c r="C100" s="6" t="n">
        <v>2282</v>
      </c>
      <c r="D100" s="11" t="n">
        <f aca="false">C100/B100</f>
        <v>0.789073305670816</v>
      </c>
      <c r="L100" s="0"/>
    </row>
    <row r="101" customFormat="false" ht="12.8" hidden="false" customHeight="false" outlineLevel="0" collapsed="false">
      <c r="A101" s="6" t="s">
        <v>143</v>
      </c>
      <c r="B101" s="6" t="n">
        <v>940</v>
      </c>
      <c r="C101" s="6" t="n">
        <v>964</v>
      </c>
      <c r="D101" s="11" t="n">
        <f aca="false">C101/B101</f>
        <v>1.02553191489362</v>
      </c>
      <c r="L101" s="0"/>
    </row>
    <row r="102" customFormat="false" ht="12.8" hidden="false" customHeight="false" outlineLevel="0" collapsed="false">
      <c r="A102" s="6" t="s">
        <v>144</v>
      </c>
      <c r="B102" s="6" t="n">
        <v>1025</v>
      </c>
      <c r="C102" s="6" t="n">
        <v>1186</v>
      </c>
      <c r="D102" s="11" t="n">
        <f aca="false">C102/B102</f>
        <v>1.15707317073171</v>
      </c>
      <c r="L102" s="0"/>
    </row>
    <row r="103" customFormat="false" ht="12.8" hidden="false" customHeight="false" outlineLevel="0" collapsed="false">
      <c r="A103" s="6" t="s">
        <v>145</v>
      </c>
      <c r="B103" s="6" t="n">
        <v>4853</v>
      </c>
      <c r="C103" s="6" t="n">
        <v>5518</v>
      </c>
      <c r="D103" s="11" t="n">
        <f aca="false">C103/B103</f>
        <v>1.13702864207707</v>
      </c>
      <c r="L103" s="0"/>
    </row>
    <row r="104" customFormat="false" ht="12.8" hidden="false" customHeight="false" outlineLevel="0" collapsed="false">
      <c r="A104" s="6" t="s">
        <v>146</v>
      </c>
      <c r="B104" s="6" t="n">
        <v>1972</v>
      </c>
      <c r="C104" s="6" t="n">
        <v>2135</v>
      </c>
      <c r="D104" s="11" t="n">
        <f aca="false">C104/B104</f>
        <v>1.08265720081136</v>
      </c>
      <c r="L104" s="0"/>
    </row>
    <row r="105" customFormat="false" ht="12.8" hidden="false" customHeight="false" outlineLevel="0" collapsed="false">
      <c r="A105" s="6" t="s">
        <v>147</v>
      </c>
      <c r="B105" s="6" t="n">
        <v>2679</v>
      </c>
      <c r="C105" s="6" t="n">
        <v>2689</v>
      </c>
      <c r="D105" s="11" t="n">
        <f aca="false">C105/B105</f>
        <v>1.00373273609556</v>
      </c>
      <c r="L105" s="0"/>
    </row>
    <row r="106" customFormat="false" ht="12.8" hidden="false" customHeight="false" outlineLevel="0" collapsed="false">
      <c r="A106" s="6" t="s">
        <v>148</v>
      </c>
      <c r="B106" s="6" t="n">
        <v>6402</v>
      </c>
      <c r="C106" s="6" t="n">
        <v>8393</v>
      </c>
      <c r="D106" s="11" t="n">
        <f aca="false">C106/B106</f>
        <v>1.31099656357388</v>
      </c>
      <c r="L106" s="0"/>
    </row>
    <row r="107" customFormat="false" ht="12.8" hidden="false" customHeight="false" outlineLevel="0" collapsed="false">
      <c r="A107" s="6" t="s">
        <v>149</v>
      </c>
      <c r="B107" s="6" t="n">
        <v>769</v>
      </c>
      <c r="C107" s="6" t="n">
        <v>1237</v>
      </c>
      <c r="D107" s="11" t="n">
        <f aca="false">C107/B107</f>
        <v>1.60858257477243</v>
      </c>
      <c r="L107" s="0"/>
    </row>
    <row r="108" customFormat="false" ht="12.8" hidden="false" customHeight="false" outlineLevel="0" collapsed="false">
      <c r="A108" s="6" t="s">
        <v>150</v>
      </c>
      <c r="B108" s="6" t="n">
        <v>1783</v>
      </c>
      <c r="C108" s="6" t="n">
        <v>2341</v>
      </c>
      <c r="D108" s="11" t="n">
        <f aca="false">C108/B108</f>
        <v>1.31295569265283</v>
      </c>
      <c r="L108" s="0"/>
    </row>
    <row r="109" customFormat="false" ht="12.8" hidden="false" customHeight="false" outlineLevel="0" collapsed="false">
      <c r="A109" s="6" t="s">
        <v>151</v>
      </c>
      <c r="B109" s="6" t="n">
        <v>793</v>
      </c>
      <c r="C109" s="6" t="n">
        <v>928</v>
      </c>
      <c r="D109" s="11" t="n">
        <f aca="false">C109/B109</f>
        <v>1.1702395964691</v>
      </c>
      <c r="L109" s="0"/>
    </row>
    <row r="110" customFormat="false" ht="12.8" hidden="false" customHeight="false" outlineLevel="0" collapsed="false">
      <c r="A110" s="6" t="s">
        <v>152</v>
      </c>
      <c r="B110" s="6" t="n">
        <v>4891</v>
      </c>
      <c r="C110" s="6" t="n">
        <v>5824</v>
      </c>
      <c r="D110" s="11" t="n">
        <f aca="false">C110/B110</f>
        <v>1.19075853608669</v>
      </c>
      <c r="L110" s="0"/>
    </row>
    <row r="111" customFormat="false" ht="12.8" hidden="false" customHeight="false" outlineLevel="0" collapsed="false">
      <c r="A111" s="6" t="s">
        <v>153</v>
      </c>
      <c r="B111" s="6" t="n">
        <v>3117</v>
      </c>
      <c r="C111" s="6" t="n">
        <v>3412</v>
      </c>
      <c r="D111" s="11" t="n">
        <f aca="false">C111/B111</f>
        <v>1.09464228424767</v>
      </c>
      <c r="L111" s="0"/>
    </row>
    <row r="112" customFormat="false" ht="12.8" hidden="false" customHeight="false" outlineLevel="0" collapsed="false">
      <c r="A112" s="6" t="s">
        <v>154</v>
      </c>
      <c r="B112" s="6" t="n">
        <v>7655</v>
      </c>
      <c r="C112" s="6" t="n">
        <v>40256</v>
      </c>
      <c r="D112" s="11" t="n">
        <f aca="false">C112/B112</f>
        <v>5.2587851077727</v>
      </c>
      <c r="L112" s="0"/>
    </row>
    <row r="113" customFormat="false" ht="12.8" hidden="false" customHeight="false" outlineLevel="0" collapsed="false">
      <c r="A113" s="6" t="s">
        <v>155</v>
      </c>
      <c r="B113" s="6" t="n">
        <v>2274</v>
      </c>
      <c r="C113" s="6" t="n">
        <v>3116</v>
      </c>
      <c r="D113" s="11" t="n">
        <f aca="false">C113/B113</f>
        <v>1.3702726473175</v>
      </c>
      <c r="L113" s="0"/>
    </row>
    <row r="114" customFormat="false" ht="12.8" hidden="false" customHeight="false" outlineLevel="0" collapsed="false">
      <c r="A114" s="6" t="s">
        <v>156</v>
      </c>
      <c r="B114" s="6" t="n">
        <v>3272</v>
      </c>
      <c r="C114" s="6" t="n">
        <v>5633</v>
      </c>
      <c r="D114" s="11" t="n">
        <f aca="false">C114/B114</f>
        <v>1.72157701711491</v>
      </c>
      <c r="L114" s="0"/>
    </row>
    <row r="115" customFormat="false" ht="12.8" hidden="false" customHeight="false" outlineLevel="0" collapsed="false">
      <c r="A115" s="6" t="s">
        <v>157</v>
      </c>
      <c r="B115" s="6" t="n">
        <v>2971</v>
      </c>
      <c r="C115" s="6" t="n">
        <v>2660</v>
      </c>
      <c r="D115" s="11" t="n">
        <f aca="false">C115/B115</f>
        <v>0.895321440592393</v>
      </c>
      <c r="L115" s="0"/>
    </row>
    <row r="116" customFormat="false" ht="12.8" hidden="false" customHeight="false" outlineLevel="0" collapsed="false">
      <c r="A116" s="6" t="s">
        <v>158</v>
      </c>
      <c r="B116" s="6" t="n">
        <v>12673</v>
      </c>
      <c r="C116" s="6" t="n">
        <v>7271</v>
      </c>
      <c r="D116" s="11" t="n">
        <f aca="false">C116/B116</f>
        <v>0.573739446066441</v>
      </c>
      <c r="L116" s="0"/>
    </row>
    <row r="117" customFormat="false" ht="12.8" hidden="false" customHeight="false" outlineLevel="0" collapsed="false">
      <c r="A117" s="6" t="s">
        <v>159</v>
      </c>
      <c r="B117" s="6" t="n">
        <v>2233</v>
      </c>
      <c r="C117" s="6" t="n">
        <v>2120</v>
      </c>
      <c r="D117" s="11" t="n">
        <f aca="false">C117/B117</f>
        <v>0.949395432154053</v>
      </c>
      <c r="L117" s="0"/>
    </row>
    <row r="118" customFormat="false" ht="12.8" hidden="false" customHeight="false" outlineLevel="0" collapsed="false">
      <c r="A118" s="6" t="s">
        <v>160</v>
      </c>
      <c r="B118" s="6" t="n">
        <v>26798</v>
      </c>
      <c r="C118" s="6" t="n">
        <v>45541</v>
      </c>
      <c r="D118" s="11" t="n">
        <f aca="false">C118/B118</f>
        <v>1.699417867005</v>
      </c>
      <c r="L118" s="0"/>
    </row>
    <row r="119" customFormat="false" ht="12.8" hidden="false" customHeight="false" outlineLevel="0" collapsed="false">
      <c r="A119" s="6" t="s">
        <v>161</v>
      </c>
      <c r="B119" s="6" t="n">
        <v>8431</v>
      </c>
      <c r="C119" s="6" t="n">
        <v>4785</v>
      </c>
      <c r="D119" s="11" t="n">
        <f aca="false">C119/B119</f>
        <v>0.567548333531017</v>
      </c>
      <c r="L119" s="0"/>
    </row>
    <row r="120" customFormat="false" ht="12.8" hidden="false" customHeight="false" outlineLevel="0" collapsed="false">
      <c r="A120" s="6" t="s">
        <v>162</v>
      </c>
      <c r="B120" s="6" t="n">
        <v>16720</v>
      </c>
      <c r="C120" s="6" t="n">
        <v>12520</v>
      </c>
      <c r="D120" s="11" t="n">
        <f aca="false">C120/B120</f>
        <v>0.748803827751196</v>
      </c>
      <c r="L120" s="0"/>
    </row>
    <row r="121" customFormat="false" ht="12.8" hidden="false" customHeight="false" outlineLevel="0" collapsed="false">
      <c r="A121" s="6" t="s">
        <v>163</v>
      </c>
      <c r="B121" s="6" t="n">
        <v>11072</v>
      </c>
      <c r="C121" s="6" t="n">
        <v>10998</v>
      </c>
      <c r="D121" s="11" t="n">
        <f aca="false">C121/B121</f>
        <v>0.993316473988439</v>
      </c>
      <c r="L121" s="0"/>
    </row>
    <row r="122" customFormat="false" ht="12.8" hidden="false" customHeight="false" outlineLevel="0" collapsed="false">
      <c r="A122" s="6" t="s">
        <v>164</v>
      </c>
      <c r="B122" s="6" t="n">
        <v>23071</v>
      </c>
      <c r="C122" s="6" t="n">
        <v>19289</v>
      </c>
      <c r="D122" s="11" t="n">
        <f aca="false">C122/B122</f>
        <v>0.836071258289628</v>
      </c>
      <c r="L122" s="0"/>
    </row>
    <row r="123" customFormat="false" ht="12.8" hidden="false" customHeight="false" outlineLevel="0" collapsed="false">
      <c r="A123" s="6" t="s">
        <v>165</v>
      </c>
      <c r="B123" s="6" t="n">
        <v>1467</v>
      </c>
      <c r="C123" s="6" t="n">
        <v>1341</v>
      </c>
      <c r="D123" s="11" t="n">
        <f aca="false">C123/B123</f>
        <v>0.914110429447853</v>
      </c>
      <c r="L123" s="0"/>
    </row>
    <row r="124" customFormat="false" ht="12.8" hidden="false" customHeight="false" outlineLevel="0" collapsed="false">
      <c r="A124" s="6" t="s">
        <v>166</v>
      </c>
      <c r="B124" s="6" t="n">
        <v>8013</v>
      </c>
      <c r="C124" s="6" t="n">
        <v>5691</v>
      </c>
      <c r="D124" s="11" t="n">
        <f aca="false">C124/B124</f>
        <v>0.71022089105204</v>
      </c>
      <c r="L124" s="0"/>
    </row>
    <row r="125" customFormat="false" ht="12.8" hidden="false" customHeight="false" outlineLevel="0" collapsed="false">
      <c r="A125" s="6" t="s">
        <v>167</v>
      </c>
      <c r="B125" s="6" t="n">
        <v>1559</v>
      </c>
      <c r="C125" s="6" t="n">
        <v>822</v>
      </c>
      <c r="D125" s="11" t="n">
        <f aca="false">C125/B125</f>
        <v>0.527261064785119</v>
      </c>
      <c r="L125" s="0"/>
    </row>
    <row r="126" customFormat="false" ht="12.8" hidden="false" customHeight="false" outlineLevel="0" collapsed="false">
      <c r="A126" s="6" t="s">
        <v>168</v>
      </c>
      <c r="B126" s="6" t="n">
        <v>4816</v>
      </c>
      <c r="C126" s="6" t="n">
        <v>5932</v>
      </c>
      <c r="D126" s="11" t="n">
        <f aca="false">C126/B126</f>
        <v>1.23172757475083</v>
      </c>
      <c r="L126" s="0"/>
    </row>
    <row r="127" customFormat="false" ht="12.8" hidden="false" customHeight="false" outlineLevel="0" collapsed="false">
      <c r="A127" s="6" t="s">
        <v>169</v>
      </c>
      <c r="B127" s="6" t="n">
        <v>6764</v>
      </c>
      <c r="C127" s="6" t="n">
        <v>6560</v>
      </c>
      <c r="D127" s="11" t="n">
        <f aca="false">C127/B127</f>
        <v>0.969840331164991</v>
      </c>
      <c r="L127" s="0"/>
    </row>
    <row r="128" customFormat="false" ht="12.8" hidden="false" customHeight="false" outlineLevel="0" collapsed="false">
      <c r="A128" s="6" t="s">
        <v>170</v>
      </c>
      <c r="B128" s="6" t="n">
        <v>3723</v>
      </c>
      <c r="C128" s="6" t="n">
        <v>1984</v>
      </c>
      <c r="D128" s="11" t="n">
        <f aca="false">C128/B128</f>
        <v>0.532903572387859</v>
      </c>
      <c r="L128" s="0"/>
    </row>
    <row r="129" customFormat="false" ht="12.8" hidden="false" customHeight="false" outlineLevel="0" collapsed="false">
      <c r="A129" s="6" t="s">
        <v>171</v>
      </c>
      <c r="B129" s="6" t="n">
        <v>5166</v>
      </c>
      <c r="C129" s="6" t="n">
        <v>5486</v>
      </c>
      <c r="D129" s="11" t="n">
        <f aca="false">C129/B129</f>
        <v>1.06194347657762</v>
      </c>
      <c r="L129" s="0"/>
    </row>
    <row r="130" customFormat="false" ht="12.8" hidden="false" customHeight="false" outlineLevel="0" collapsed="false">
      <c r="A130" s="6" t="s">
        <v>172</v>
      </c>
      <c r="B130" s="6" t="n">
        <v>1159</v>
      </c>
      <c r="C130" s="6" t="n">
        <v>3134</v>
      </c>
      <c r="D130" s="11" t="n">
        <f aca="false">C130/B130</f>
        <v>2.70405522001726</v>
      </c>
      <c r="L130" s="0"/>
    </row>
    <row r="131" customFormat="false" ht="12.8" hidden="false" customHeight="false" outlineLevel="0" collapsed="false">
      <c r="A131" s="6" t="s">
        <v>173</v>
      </c>
      <c r="B131" s="6" t="n">
        <v>869</v>
      </c>
      <c r="C131" s="6" t="n">
        <v>2006</v>
      </c>
      <c r="D131" s="11" t="n">
        <f aca="false">C131/B131</f>
        <v>2.30840046029919</v>
      </c>
      <c r="L131" s="0"/>
    </row>
    <row r="132" customFormat="false" ht="12.8" hidden="false" customHeight="false" outlineLevel="0" collapsed="false">
      <c r="A132" s="6" t="s">
        <v>174</v>
      </c>
      <c r="B132" s="6" t="n">
        <v>803</v>
      </c>
      <c r="C132" s="6" t="n">
        <v>1250</v>
      </c>
      <c r="D132" s="11" t="n">
        <f aca="false">C132/B132</f>
        <v>1.55666251556663</v>
      </c>
      <c r="L132" s="0"/>
    </row>
    <row r="133" customFormat="false" ht="12.8" hidden="false" customHeight="false" outlineLevel="0" collapsed="false">
      <c r="A133" s="6" t="s">
        <v>175</v>
      </c>
      <c r="B133" s="6" t="n">
        <v>3406</v>
      </c>
      <c r="C133" s="6" t="n">
        <v>2692</v>
      </c>
      <c r="D133" s="11" t="n">
        <f aca="false">C133/B133</f>
        <v>0.790369935408103</v>
      </c>
      <c r="L133" s="0"/>
    </row>
    <row r="134" customFormat="false" ht="12.8" hidden="false" customHeight="false" outlineLevel="0" collapsed="false">
      <c r="A134" s="6" t="s">
        <v>176</v>
      </c>
      <c r="B134" s="6" t="n">
        <v>1002</v>
      </c>
      <c r="C134" s="6" t="n">
        <v>1207</v>
      </c>
      <c r="D134" s="11" t="n">
        <f aca="false">C134/B134</f>
        <v>1.20459081836327</v>
      </c>
      <c r="L134" s="0"/>
    </row>
    <row r="135" customFormat="false" ht="12.8" hidden="false" customHeight="false" outlineLevel="0" collapsed="false">
      <c r="A135" s="6" t="s">
        <v>177</v>
      </c>
      <c r="B135" s="6" t="n">
        <v>4761</v>
      </c>
      <c r="C135" s="6" t="n">
        <v>5076</v>
      </c>
      <c r="D135" s="11" t="n">
        <f aca="false">C135/B135</f>
        <v>1.06616257088847</v>
      </c>
      <c r="L135" s="0"/>
    </row>
    <row r="136" customFormat="false" ht="12.8" hidden="false" customHeight="false" outlineLevel="0" collapsed="false">
      <c r="A136" s="6" t="s">
        <v>178</v>
      </c>
      <c r="B136" s="6" t="n">
        <v>2472</v>
      </c>
      <c r="C136" s="6" t="n">
        <v>2696</v>
      </c>
      <c r="D136" s="11" t="n">
        <f aca="false">C136/B136</f>
        <v>1.09061488673139</v>
      </c>
      <c r="L136" s="0"/>
    </row>
    <row r="137" customFormat="false" ht="12.8" hidden="false" customHeight="false" outlineLevel="0" collapsed="false">
      <c r="A137" s="6" t="s">
        <v>179</v>
      </c>
      <c r="B137" s="6" t="n">
        <v>3097</v>
      </c>
      <c r="C137" s="6" t="n">
        <v>3824</v>
      </c>
      <c r="D137" s="11" t="n">
        <f aca="false">C137/B137</f>
        <v>1.23474329996771</v>
      </c>
      <c r="L137" s="0"/>
    </row>
    <row r="138" customFormat="false" ht="12.8" hidden="false" customHeight="false" outlineLevel="0" collapsed="false">
      <c r="A138" s="6" t="s">
        <v>180</v>
      </c>
      <c r="B138" s="6" t="n">
        <v>3309</v>
      </c>
      <c r="C138" s="6" t="n">
        <v>3823</v>
      </c>
      <c r="D138" s="11" t="n">
        <f aca="false">C138/B138</f>
        <v>1.15533393774554</v>
      </c>
      <c r="L138" s="0"/>
    </row>
    <row r="139" customFormat="false" ht="12.8" hidden="false" customHeight="false" outlineLevel="0" collapsed="false">
      <c r="A139" s="6" t="s">
        <v>181</v>
      </c>
      <c r="B139" s="6" t="n">
        <v>4911</v>
      </c>
      <c r="C139" s="6" t="n">
        <v>5127</v>
      </c>
      <c r="D139" s="11" t="n">
        <f aca="false">C139/B139</f>
        <v>1.04398289554062</v>
      </c>
      <c r="L139" s="0"/>
    </row>
    <row r="140" customFormat="false" ht="12.8" hidden="false" customHeight="false" outlineLevel="0" collapsed="false">
      <c r="A140" s="6" t="s">
        <v>31</v>
      </c>
      <c r="B140" s="6" t="n">
        <v>1839</v>
      </c>
      <c r="C140" s="6" t="n">
        <v>3426</v>
      </c>
      <c r="D140" s="11" t="n">
        <f aca="false">C140/B140</f>
        <v>1.86296900489396</v>
      </c>
      <c r="L140" s="0"/>
    </row>
    <row r="141" customFormat="false" ht="12.8" hidden="false" customHeight="false" outlineLevel="0" collapsed="false">
      <c r="A141" s="6" t="s">
        <v>30</v>
      </c>
      <c r="B141" s="6" t="n">
        <v>1086</v>
      </c>
      <c r="C141" s="6" t="n">
        <v>1468</v>
      </c>
      <c r="D141" s="11" t="n">
        <f aca="false">C141/B141</f>
        <v>1.35174953959484</v>
      </c>
      <c r="L141" s="0"/>
    </row>
    <row r="142" customFormat="false" ht="12.8" hidden="false" customHeight="false" outlineLevel="0" collapsed="false">
      <c r="A142" s="6" t="s">
        <v>182</v>
      </c>
      <c r="B142" s="6" t="n">
        <v>2330</v>
      </c>
      <c r="C142" s="6" t="n">
        <v>2632</v>
      </c>
      <c r="D142" s="11" t="n">
        <f aca="false">C142/B142</f>
        <v>1.12961373390558</v>
      </c>
      <c r="L142" s="0"/>
    </row>
    <row r="143" customFormat="false" ht="12.8" hidden="false" customHeight="false" outlineLevel="0" collapsed="false">
      <c r="A143" s="6" t="s">
        <v>183</v>
      </c>
      <c r="B143" s="6" t="n">
        <v>3960</v>
      </c>
      <c r="C143" s="6" t="n">
        <v>4137</v>
      </c>
      <c r="D143" s="11" t="n">
        <f aca="false">C143/B143</f>
        <v>1.04469696969697</v>
      </c>
      <c r="L143" s="0"/>
    </row>
    <row r="144" customFormat="false" ht="12.8" hidden="false" customHeight="false" outlineLevel="0" collapsed="false">
      <c r="A144" s="6" t="s">
        <v>184</v>
      </c>
      <c r="B144" s="6" t="n">
        <v>715</v>
      </c>
      <c r="C144" s="6" t="n">
        <v>956</v>
      </c>
      <c r="D144" s="11" t="n">
        <f aca="false">C144/B144</f>
        <v>1.33706293706294</v>
      </c>
      <c r="L144" s="0"/>
    </row>
    <row r="145" customFormat="false" ht="12.8" hidden="false" customHeight="false" outlineLevel="0" collapsed="false">
      <c r="A145" s="6" t="s">
        <v>185</v>
      </c>
      <c r="B145" s="6" t="n">
        <v>2767</v>
      </c>
      <c r="C145" s="6" t="n">
        <v>4039</v>
      </c>
      <c r="D145" s="11" t="n">
        <f aca="false">C145/B145</f>
        <v>1.45970365016263</v>
      </c>
      <c r="L145" s="0"/>
    </row>
    <row r="146" customFormat="false" ht="12.8" hidden="false" customHeight="false" outlineLevel="0" collapsed="false">
      <c r="A146" s="6" t="s">
        <v>186</v>
      </c>
      <c r="B146" s="6" t="n">
        <v>6382</v>
      </c>
      <c r="C146" s="6" t="n">
        <v>7955</v>
      </c>
      <c r="D146" s="11" t="n">
        <f aca="false">C146/B146</f>
        <v>1.24647445941711</v>
      </c>
      <c r="L146" s="0"/>
    </row>
    <row r="147" customFormat="false" ht="12.8" hidden="false" customHeight="false" outlineLevel="0" collapsed="false">
      <c r="A147" s="6" t="s">
        <v>187</v>
      </c>
      <c r="B147" s="6" t="n">
        <v>14210</v>
      </c>
      <c r="C147" s="6" t="n">
        <v>18562</v>
      </c>
      <c r="D147" s="11" t="n">
        <f aca="false">C147/B147</f>
        <v>1.30626319493315</v>
      </c>
      <c r="L147" s="0"/>
    </row>
    <row r="148" customFormat="false" ht="12.8" hidden="false" customHeight="false" outlineLevel="0" collapsed="false">
      <c r="A148" s="6" t="s">
        <v>188</v>
      </c>
      <c r="B148" s="6" t="n">
        <v>2619</v>
      </c>
      <c r="C148" s="6" t="n">
        <v>3309</v>
      </c>
      <c r="D148" s="11" t="n">
        <f aca="false">C148/B148</f>
        <v>1.26345933562428</v>
      </c>
      <c r="L148" s="0"/>
    </row>
    <row r="149" customFormat="false" ht="12.8" hidden="false" customHeight="false" outlineLevel="0" collapsed="false">
      <c r="A149" s="6" t="s">
        <v>189</v>
      </c>
      <c r="B149" s="6" t="n">
        <v>3658</v>
      </c>
      <c r="C149" s="6" t="n">
        <v>4178</v>
      </c>
      <c r="D149" s="11" t="n">
        <f aca="false">C149/B149</f>
        <v>1.14215418261345</v>
      </c>
      <c r="L149" s="0"/>
    </row>
    <row r="150" customFormat="false" ht="12.8" hidden="false" customHeight="false" outlineLevel="0" collapsed="false">
      <c r="A150" s="6" t="s">
        <v>190</v>
      </c>
      <c r="B150" s="6" t="n">
        <v>2103</v>
      </c>
      <c r="C150" s="6" t="n">
        <v>2860</v>
      </c>
      <c r="D150" s="11" t="n">
        <f aca="false">C150/B150</f>
        <v>1.35996195910604</v>
      </c>
      <c r="L150" s="0"/>
    </row>
    <row r="151" customFormat="false" ht="12.8" hidden="false" customHeight="false" outlineLevel="0" collapsed="false">
      <c r="A151" s="6" t="s">
        <v>191</v>
      </c>
      <c r="B151" s="6" t="n">
        <v>1318</v>
      </c>
      <c r="C151" s="6" t="n">
        <v>1697</v>
      </c>
      <c r="D151" s="11" t="n">
        <f aca="false">C151/B151</f>
        <v>1.28755690440061</v>
      </c>
      <c r="L151" s="0"/>
    </row>
    <row r="152" customFormat="false" ht="12.8" hidden="false" customHeight="false" outlineLevel="0" collapsed="false">
      <c r="A152" s="6" t="s">
        <v>192</v>
      </c>
      <c r="B152" s="6" t="n">
        <v>2885</v>
      </c>
      <c r="C152" s="6" t="n">
        <v>4275</v>
      </c>
      <c r="D152" s="11" t="n">
        <f aca="false">C152/B152</f>
        <v>1.48180242634315</v>
      </c>
      <c r="L152" s="0"/>
    </row>
    <row r="153" customFormat="false" ht="12.8" hidden="false" customHeight="false" outlineLevel="0" collapsed="false">
      <c r="A153" s="6" t="s">
        <v>193</v>
      </c>
      <c r="B153" s="6" t="n">
        <v>5110</v>
      </c>
      <c r="C153" s="6" t="n">
        <v>4904</v>
      </c>
      <c r="D153" s="11" t="n">
        <f aca="false">C153/B153</f>
        <v>0.959686888454012</v>
      </c>
      <c r="L153" s="0"/>
    </row>
    <row r="154" customFormat="false" ht="12.8" hidden="false" customHeight="false" outlineLevel="0" collapsed="false">
      <c r="A154" s="6" t="s">
        <v>194</v>
      </c>
      <c r="B154" s="6" t="n">
        <v>4364</v>
      </c>
      <c r="C154" s="6" t="n">
        <v>4981</v>
      </c>
      <c r="D154" s="11" t="n">
        <f aca="false">C154/B154</f>
        <v>1.14138405132906</v>
      </c>
      <c r="L154" s="0"/>
    </row>
    <row r="155" customFormat="false" ht="12.8" hidden="false" customHeight="false" outlineLevel="0" collapsed="false">
      <c r="A155" s="6" t="s">
        <v>195</v>
      </c>
      <c r="B155" s="6" t="n">
        <v>7132</v>
      </c>
      <c r="C155" s="6" t="n">
        <v>7169</v>
      </c>
      <c r="D155" s="11" t="n">
        <f aca="false">C155/B155</f>
        <v>1.00518788558609</v>
      </c>
      <c r="L155" s="0"/>
    </row>
    <row r="156" customFormat="false" ht="12.8" hidden="false" customHeight="false" outlineLevel="0" collapsed="false">
      <c r="A156" s="6" t="s">
        <v>196</v>
      </c>
      <c r="B156" s="6" t="n">
        <v>4702</v>
      </c>
      <c r="C156" s="6" t="n">
        <v>5384</v>
      </c>
      <c r="D156" s="11" t="n">
        <f aca="false">C156/B156</f>
        <v>1.14504466184602</v>
      </c>
      <c r="L156" s="0"/>
    </row>
    <row r="157" customFormat="false" ht="12.8" hidden="false" customHeight="false" outlineLevel="0" collapsed="false">
      <c r="A157" s="6" t="s">
        <v>197</v>
      </c>
      <c r="B157" s="6" t="n">
        <v>6486</v>
      </c>
      <c r="C157" s="6" t="n">
        <v>6650</v>
      </c>
      <c r="D157" s="11" t="n">
        <f aca="false">C157/B157</f>
        <v>1.02528522972556</v>
      </c>
      <c r="L157" s="0"/>
    </row>
    <row r="158" customFormat="false" ht="12.8" hidden="false" customHeight="false" outlineLevel="0" collapsed="false">
      <c r="A158" s="6" t="s">
        <v>198</v>
      </c>
      <c r="B158" s="6" t="n">
        <v>9975</v>
      </c>
      <c r="C158" s="6" t="n">
        <v>11587</v>
      </c>
      <c r="D158" s="11" t="n">
        <f aca="false">C158/B158</f>
        <v>1.16160401002506</v>
      </c>
      <c r="L158" s="0"/>
    </row>
    <row r="159" customFormat="false" ht="12.8" hidden="false" customHeight="false" outlineLevel="0" collapsed="false">
      <c r="A159" s="6" t="s">
        <v>199</v>
      </c>
      <c r="B159" s="6" t="n">
        <v>4394</v>
      </c>
      <c r="C159" s="6" t="n">
        <v>4524</v>
      </c>
      <c r="D159" s="11" t="n">
        <f aca="false">C159/B159</f>
        <v>1.02958579881657</v>
      </c>
      <c r="L159" s="0"/>
    </row>
    <row r="160" customFormat="false" ht="12.8" hidden="false" customHeight="false" outlineLevel="0" collapsed="false">
      <c r="A160" s="6" t="s">
        <v>200</v>
      </c>
      <c r="B160" s="6" t="n">
        <v>29130</v>
      </c>
      <c r="C160" s="6" t="n">
        <v>31676</v>
      </c>
      <c r="D160" s="11" t="n">
        <f aca="false">C160/B160</f>
        <v>1.08740130449708</v>
      </c>
      <c r="L160" s="0"/>
    </row>
    <row r="161" customFormat="false" ht="12.8" hidden="false" customHeight="false" outlineLevel="0" collapsed="false">
      <c r="A161" s="6" t="s">
        <v>201</v>
      </c>
      <c r="B161" s="6" t="n">
        <v>9060</v>
      </c>
      <c r="C161" s="6" t="n">
        <v>10113</v>
      </c>
      <c r="D161" s="11" t="n">
        <f aca="false">C161/B161</f>
        <v>1.11622516556291</v>
      </c>
      <c r="L161" s="0"/>
    </row>
    <row r="162" customFormat="false" ht="12.8" hidden="false" customHeight="false" outlineLevel="0" collapsed="false">
      <c r="A162" s="6" t="s">
        <v>202</v>
      </c>
      <c r="B162" s="6" t="n">
        <v>9554</v>
      </c>
      <c r="C162" s="6" t="n">
        <v>10335</v>
      </c>
      <c r="D162" s="11" t="n">
        <f aca="false">C162/B162</f>
        <v>1.08174586560603</v>
      </c>
      <c r="L162" s="0"/>
    </row>
    <row r="163" customFormat="false" ht="12.8" hidden="false" customHeight="false" outlineLevel="0" collapsed="false">
      <c r="A163" s="6" t="s">
        <v>203</v>
      </c>
      <c r="B163" s="6" t="n">
        <v>9833</v>
      </c>
      <c r="C163" s="6" t="n">
        <v>13246</v>
      </c>
      <c r="D163" s="11" t="n">
        <f aca="false">C163/B163</f>
        <v>1.34709651174616</v>
      </c>
      <c r="L163" s="0"/>
    </row>
    <row r="164" customFormat="false" ht="12.8" hidden="false" customHeight="false" outlineLevel="0" collapsed="false">
      <c r="A164" s="6" t="s">
        <v>204</v>
      </c>
      <c r="B164" s="6" t="n">
        <v>1973</v>
      </c>
      <c r="C164" s="6" t="n">
        <v>3042</v>
      </c>
      <c r="D164" s="11" t="n">
        <f aca="false">C164/B164</f>
        <v>1.54181449569184</v>
      </c>
      <c r="L164" s="0"/>
    </row>
    <row r="165" customFormat="false" ht="12.8" hidden="false" customHeight="false" outlineLevel="0" collapsed="false">
      <c r="A165" s="6" t="s">
        <v>205</v>
      </c>
      <c r="B165" s="6" t="n">
        <v>1480</v>
      </c>
      <c r="C165" s="6" t="n">
        <v>1983</v>
      </c>
      <c r="D165" s="11" t="n">
        <f aca="false">C165/B165</f>
        <v>1.33986486486486</v>
      </c>
      <c r="L165" s="0"/>
    </row>
    <row r="166" customFormat="false" ht="12.8" hidden="false" customHeight="false" outlineLevel="0" collapsed="false">
      <c r="A166" s="6" t="s">
        <v>206</v>
      </c>
      <c r="B166" s="6" t="n">
        <v>10395</v>
      </c>
      <c r="C166" s="6" t="n">
        <v>13591</v>
      </c>
      <c r="D166" s="11" t="n">
        <f aca="false">C166/B166</f>
        <v>1.30745550745551</v>
      </c>
      <c r="L166" s="0"/>
    </row>
    <row r="167" customFormat="false" ht="12.8" hidden="false" customHeight="false" outlineLevel="0" collapsed="false">
      <c r="A167" s="6" t="s">
        <v>207</v>
      </c>
      <c r="B167" s="6" t="n">
        <v>2055</v>
      </c>
      <c r="C167" s="6" t="n">
        <v>3458</v>
      </c>
      <c r="D167" s="11" t="n">
        <f aca="false">C167/B167</f>
        <v>1.68272506082725</v>
      </c>
      <c r="L167" s="0"/>
    </row>
    <row r="168" customFormat="false" ht="12.8" hidden="false" customHeight="false" outlineLevel="0" collapsed="false">
      <c r="A168" s="6" t="s">
        <v>208</v>
      </c>
      <c r="B168" s="6" t="n">
        <v>2188</v>
      </c>
      <c r="C168" s="6" t="n">
        <v>936</v>
      </c>
      <c r="D168" s="11" t="n">
        <f aca="false">C168/B168</f>
        <v>0.427787934186472</v>
      </c>
      <c r="L168" s="0"/>
    </row>
    <row r="169" customFormat="false" ht="12.8" hidden="false" customHeight="false" outlineLevel="0" collapsed="false">
      <c r="A169" s="6" t="s">
        <v>209</v>
      </c>
      <c r="B169" s="6" t="n">
        <v>1840</v>
      </c>
      <c r="C169" s="6" t="n">
        <v>850</v>
      </c>
      <c r="D169" s="11" t="n">
        <f aca="false">C169/B169</f>
        <v>0.46195652173913</v>
      </c>
      <c r="L169" s="0"/>
    </row>
    <row r="170" customFormat="false" ht="12.8" hidden="false" customHeight="false" outlineLevel="0" collapsed="false">
      <c r="A170" s="6" t="s">
        <v>210</v>
      </c>
      <c r="B170" s="6" t="n">
        <v>1457</v>
      </c>
      <c r="C170" s="6" t="n">
        <v>1570</v>
      </c>
      <c r="D170" s="11" t="n">
        <f aca="false">C170/B170</f>
        <v>1.07755662319835</v>
      </c>
      <c r="L170" s="0"/>
    </row>
    <row r="171" customFormat="false" ht="12.8" hidden="false" customHeight="false" outlineLevel="0" collapsed="false">
      <c r="A171" s="6" t="s">
        <v>211</v>
      </c>
      <c r="B171" s="6" t="n">
        <v>6033</v>
      </c>
      <c r="C171" s="6" t="n">
        <v>7704</v>
      </c>
      <c r="D171" s="11" t="n">
        <f aca="false">C171/B171</f>
        <v>1.27697662854301</v>
      </c>
      <c r="L171" s="0"/>
    </row>
    <row r="172" customFormat="false" ht="12.8" hidden="false" customHeight="false" outlineLevel="0" collapsed="false">
      <c r="A172" s="6" t="s">
        <v>212</v>
      </c>
      <c r="B172" s="6" t="n">
        <v>2962</v>
      </c>
      <c r="C172" s="6" t="n">
        <v>3107</v>
      </c>
      <c r="D172" s="11" t="n">
        <f aca="false">C172/B172</f>
        <v>1.0489534098582</v>
      </c>
      <c r="L172" s="0"/>
    </row>
    <row r="173" customFormat="false" ht="12.8" hidden="false" customHeight="false" outlineLevel="0" collapsed="false">
      <c r="A173" s="6" t="s">
        <v>213</v>
      </c>
      <c r="B173" s="6" t="n">
        <v>1502</v>
      </c>
      <c r="C173" s="6" t="n">
        <v>1770</v>
      </c>
      <c r="D173" s="11" t="n">
        <f aca="false">C173/B173</f>
        <v>1.17842876165113</v>
      </c>
      <c r="L173" s="0"/>
    </row>
    <row r="174" customFormat="false" ht="12.8" hidden="false" customHeight="false" outlineLevel="0" collapsed="false">
      <c r="A174" s="6" t="s">
        <v>214</v>
      </c>
      <c r="B174" s="6" t="n">
        <v>1514</v>
      </c>
      <c r="C174" s="6" t="n">
        <v>1651</v>
      </c>
      <c r="D174" s="11" t="n">
        <f aca="false">C174/B174</f>
        <v>1.09048877146631</v>
      </c>
      <c r="L174" s="0"/>
    </row>
    <row r="175" customFormat="false" ht="12.8" hidden="false" customHeight="false" outlineLevel="0" collapsed="false">
      <c r="A175" s="6" t="s">
        <v>215</v>
      </c>
      <c r="B175" s="6" t="n">
        <v>638</v>
      </c>
      <c r="C175" s="6" t="n">
        <v>761</v>
      </c>
      <c r="D175" s="11" t="n">
        <f aca="false">C175/B175</f>
        <v>1.19278996865204</v>
      </c>
      <c r="L175" s="0"/>
    </row>
    <row r="176" customFormat="false" ht="12.8" hidden="false" customHeight="false" outlineLevel="0" collapsed="false">
      <c r="A176" s="6" t="s">
        <v>216</v>
      </c>
      <c r="B176" s="6" t="n">
        <v>2698</v>
      </c>
      <c r="C176" s="6" t="n">
        <v>2743</v>
      </c>
      <c r="D176" s="11" t="n">
        <f aca="false">C176/B176</f>
        <v>1.01667902149741</v>
      </c>
      <c r="L176" s="0"/>
    </row>
    <row r="177" customFormat="false" ht="12.8" hidden="false" customHeight="false" outlineLevel="0" collapsed="false">
      <c r="A177" s="6" t="s">
        <v>217</v>
      </c>
      <c r="B177" s="6" t="n">
        <v>4556</v>
      </c>
      <c r="C177" s="6" t="n">
        <v>4838</v>
      </c>
      <c r="D177" s="11" t="n">
        <f aca="false">C177/B177</f>
        <v>1.06189640035119</v>
      </c>
      <c r="L177" s="0"/>
    </row>
    <row r="178" customFormat="false" ht="12.8" hidden="false" customHeight="false" outlineLevel="0" collapsed="false">
      <c r="A178" s="6" t="s">
        <v>218</v>
      </c>
      <c r="B178" s="6" t="n">
        <v>2055</v>
      </c>
      <c r="C178" s="6" t="n">
        <v>2296</v>
      </c>
      <c r="D178" s="11" t="n">
        <f aca="false">C178/B178</f>
        <v>1.11727493917275</v>
      </c>
      <c r="L178" s="0"/>
    </row>
    <row r="179" customFormat="false" ht="12.8" hidden="false" customHeight="false" outlineLevel="0" collapsed="false">
      <c r="A179" s="6" t="s">
        <v>219</v>
      </c>
      <c r="B179" s="6" t="n">
        <v>15116</v>
      </c>
      <c r="C179" s="6" t="n">
        <v>18737</v>
      </c>
      <c r="D179" s="11" t="n">
        <f aca="false">C179/B179</f>
        <v>1.23954749933845</v>
      </c>
      <c r="L179" s="0"/>
    </row>
    <row r="180" customFormat="false" ht="12.8" hidden="false" customHeight="false" outlineLevel="0" collapsed="false">
      <c r="A180" s="6" t="s">
        <v>220</v>
      </c>
      <c r="B180" s="6" t="n">
        <v>11166</v>
      </c>
      <c r="C180" s="6" t="n">
        <v>12476</v>
      </c>
      <c r="D180" s="11" t="n">
        <f aca="false">C180/B180</f>
        <v>1.11732043704102</v>
      </c>
      <c r="L180" s="0"/>
    </row>
    <row r="181" customFormat="false" ht="12.8" hidden="false" customHeight="false" outlineLevel="0" collapsed="false">
      <c r="A181" s="6" t="s">
        <v>221</v>
      </c>
      <c r="B181" s="6" t="n">
        <v>1477</v>
      </c>
      <c r="C181" s="6" t="n">
        <v>1705</v>
      </c>
      <c r="D181" s="11" t="n">
        <f aca="false">C181/B181</f>
        <v>1.15436696005416</v>
      </c>
      <c r="L181" s="0"/>
    </row>
    <row r="182" customFormat="false" ht="12.8" hidden="false" customHeight="false" outlineLevel="0" collapsed="false">
      <c r="A182" s="6" t="s">
        <v>222</v>
      </c>
      <c r="B182" s="6" t="n">
        <v>2289</v>
      </c>
      <c r="C182" s="6" t="n">
        <v>2572</v>
      </c>
      <c r="D182" s="11" t="n">
        <f aca="false">C182/B182</f>
        <v>1.12363477501092</v>
      </c>
      <c r="L182" s="0"/>
    </row>
    <row r="183" customFormat="false" ht="12.8" hidden="false" customHeight="false" outlineLevel="0" collapsed="false">
      <c r="A183" s="6" t="s">
        <v>223</v>
      </c>
      <c r="B183" s="6" t="n">
        <v>2680</v>
      </c>
      <c r="C183" s="6" t="n">
        <v>3460</v>
      </c>
      <c r="D183" s="11" t="n">
        <f aca="false">C183/B183</f>
        <v>1.2910447761194</v>
      </c>
      <c r="L183" s="0"/>
    </row>
    <row r="184" customFormat="false" ht="12.8" hidden="false" customHeight="false" outlineLevel="0" collapsed="false">
      <c r="A184" s="6" t="s">
        <v>224</v>
      </c>
      <c r="B184" s="6" t="n">
        <v>1723</v>
      </c>
      <c r="C184" s="6" t="n">
        <v>1980</v>
      </c>
      <c r="D184" s="11" t="n">
        <f aca="false">C184/B184</f>
        <v>1.14915844457342</v>
      </c>
      <c r="L184" s="0"/>
    </row>
    <row r="185" customFormat="false" ht="12.8" hidden="false" customHeight="false" outlineLevel="0" collapsed="false">
      <c r="A185" s="6" t="s">
        <v>225</v>
      </c>
      <c r="B185" s="6" t="n">
        <v>3403</v>
      </c>
      <c r="C185" s="6" t="n">
        <v>4375</v>
      </c>
      <c r="D185" s="11" t="n">
        <f aca="false">C185/B185</f>
        <v>1.28563032618278</v>
      </c>
      <c r="L185" s="0"/>
    </row>
    <row r="186" customFormat="false" ht="12.8" hidden="false" customHeight="false" outlineLevel="0" collapsed="false">
      <c r="A186" s="6" t="s">
        <v>226</v>
      </c>
      <c r="B186" s="6" t="n">
        <v>1139</v>
      </c>
      <c r="C186" s="6" t="n">
        <v>1642</v>
      </c>
      <c r="D186" s="11" t="n">
        <f aca="false">C186/B186</f>
        <v>1.44161545215101</v>
      </c>
      <c r="L186" s="0"/>
    </row>
    <row r="187" customFormat="false" ht="12.8" hidden="false" customHeight="false" outlineLevel="0" collapsed="false">
      <c r="A187" s="6" t="s">
        <v>227</v>
      </c>
      <c r="B187" s="6" t="n">
        <v>791</v>
      </c>
      <c r="C187" s="6" t="n">
        <v>899</v>
      </c>
      <c r="D187" s="11" t="n">
        <f aca="false">C187/B187</f>
        <v>1.13653603034134</v>
      </c>
      <c r="L187" s="0"/>
    </row>
    <row r="188" customFormat="false" ht="12.8" hidden="false" customHeight="false" outlineLevel="0" collapsed="false">
      <c r="A188" s="6" t="s">
        <v>228</v>
      </c>
      <c r="B188" s="6" t="n">
        <v>5201</v>
      </c>
      <c r="C188" s="6" t="n">
        <v>6076</v>
      </c>
      <c r="D188" s="11" t="n">
        <f aca="false">C188/B188</f>
        <v>1.16823687752355</v>
      </c>
      <c r="L188" s="0"/>
    </row>
    <row r="189" customFormat="false" ht="12.8" hidden="false" customHeight="false" outlineLevel="0" collapsed="false">
      <c r="A189" s="6" t="s">
        <v>229</v>
      </c>
      <c r="B189" s="6" t="n">
        <v>8819</v>
      </c>
      <c r="C189" s="6" t="n">
        <v>11218</v>
      </c>
      <c r="D189" s="11" t="n">
        <f aca="false">C189/B189</f>
        <v>1.27202630683751</v>
      </c>
      <c r="L189" s="0"/>
    </row>
    <row r="190" customFormat="false" ht="12.8" hidden="false" customHeight="false" outlineLevel="0" collapsed="false">
      <c r="A190" s="6" t="s">
        <v>230</v>
      </c>
      <c r="B190" s="6" t="n">
        <v>2252</v>
      </c>
      <c r="C190" s="6" t="n">
        <v>3192</v>
      </c>
      <c r="D190" s="11" t="n">
        <f aca="false">C190/B190</f>
        <v>1.41740674955595</v>
      </c>
      <c r="L190" s="0"/>
    </row>
    <row r="191" customFormat="false" ht="12.8" hidden="false" customHeight="false" outlineLevel="0" collapsed="false">
      <c r="A191" s="6" t="s">
        <v>231</v>
      </c>
      <c r="B191" s="6" t="n">
        <v>2497</v>
      </c>
      <c r="C191" s="6" t="n">
        <v>3211</v>
      </c>
      <c r="D191" s="11" t="n">
        <f aca="false">C191/B191</f>
        <v>1.28594313175811</v>
      </c>
      <c r="L191" s="0"/>
    </row>
    <row r="192" customFormat="false" ht="12.8" hidden="false" customHeight="false" outlineLevel="0" collapsed="false">
      <c r="A192" s="6" t="s">
        <v>232</v>
      </c>
      <c r="B192" s="6" t="n">
        <v>1576</v>
      </c>
      <c r="C192" s="6" t="n">
        <v>1955</v>
      </c>
      <c r="D192" s="11" t="n">
        <f aca="false">C192/B192</f>
        <v>1.24048223350254</v>
      </c>
      <c r="L192" s="0"/>
    </row>
    <row r="193" customFormat="false" ht="12.8" hidden="false" customHeight="false" outlineLevel="0" collapsed="false">
      <c r="A193" s="6" t="s">
        <v>233</v>
      </c>
      <c r="B193" s="6" t="n">
        <v>1565</v>
      </c>
      <c r="C193" s="6" t="n">
        <v>2001</v>
      </c>
      <c r="D193" s="11" t="n">
        <f aca="false">C193/B193</f>
        <v>1.27859424920128</v>
      </c>
      <c r="L193" s="0"/>
    </row>
    <row r="194" customFormat="false" ht="12.8" hidden="false" customHeight="false" outlineLevel="0" collapsed="false">
      <c r="A194" s="6" t="s">
        <v>234</v>
      </c>
      <c r="B194" s="6" t="n">
        <v>538</v>
      </c>
      <c r="C194" s="6" t="n">
        <v>685</v>
      </c>
      <c r="D194" s="11" t="n">
        <f aca="false">C194/B194</f>
        <v>1.27323420074349</v>
      </c>
      <c r="L194" s="0"/>
    </row>
    <row r="195" customFormat="false" ht="12.8" hidden="false" customHeight="false" outlineLevel="0" collapsed="false">
      <c r="A195" s="6" t="s">
        <v>235</v>
      </c>
      <c r="B195" s="6" t="n">
        <v>716</v>
      </c>
      <c r="C195" s="6" t="n">
        <v>939</v>
      </c>
      <c r="D195" s="11" t="n">
        <f aca="false">C195/B195</f>
        <v>1.31145251396648</v>
      </c>
      <c r="L195" s="0"/>
    </row>
    <row r="196" customFormat="false" ht="12.8" hidden="false" customHeight="false" outlineLevel="0" collapsed="false">
      <c r="A196" s="6" t="s">
        <v>236</v>
      </c>
      <c r="B196" s="6" t="n">
        <v>1262</v>
      </c>
      <c r="C196" s="6" t="n">
        <v>1310</v>
      </c>
      <c r="D196" s="11" t="n">
        <f aca="false">C196/B196</f>
        <v>1.03803486529319</v>
      </c>
      <c r="L196" s="0"/>
    </row>
    <row r="197" customFormat="false" ht="12.8" hidden="false" customHeight="false" outlineLevel="0" collapsed="false">
      <c r="A197" s="6" t="s">
        <v>237</v>
      </c>
      <c r="B197" s="6" t="n">
        <v>4924</v>
      </c>
      <c r="C197" s="6" t="n">
        <v>6023</v>
      </c>
      <c r="D197" s="11" t="n">
        <f aca="false">C197/B197</f>
        <v>1.2231925264013</v>
      </c>
      <c r="L197" s="0"/>
    </row>
    <row r="198" customFormat="false" ht="12.8" hidden="false" customHeight="false" outlineLevel="0" collapsed="false">
      <c r="A198" s="6" t="s">
        <v>238</v>
      </c>
      <c r="B198" s="6" t="n">
        <v>5260</v>
      </c>
      <c r="C198" s="6" t="n">
        <v>6875</v>
      </c>
      <c r="D198" s="11" t="n">
        <f aca="false">C198/B198</f>
        <v>1.30703422053232</v>
      </c>
      <c r="L198" s="0"/>
    </row>
    <row r="199" customFormat="false" ht="12.8" hidden="false" customHeight="false" outlineLevel="0" collapsed="false">
      <c r="A199" s="6" t="s">
        <v>239</v>
      </c>
      <c r="B199" s="6" t="n">
        <v>4977</v>
      </c>
      <c r="C199" s="6" t="n">
        <v>6714</v>
      </c>
      <c r="D199" s="11" t="n">
        <f aca="false">C199/B199</f>
        <v>1.34900542495479</v>
      </c>
      <c r="L199" s="0"/>
    </row>
    <row r="200" customFormat="false" ht="12.8" hidden="false" customHeight="false" outlineLevel="0" collapsed="false">
      <c r="A200" s="6" t="s">
        <v>240</v>
      </c>
      <c r="B200" s="6" t="n">
        <v>3433</v>
      </c>
      <c r="C200" s="6" t="n">
        <v>4858</v>
      </c>
      <c r="D200" s="11" t="n">
        <f aca="false">C200/B200</f>
        <v>1.41508884357705</v>
      </c>
      <c r="L200" s="0"/>
    </row>
    <row r="201" customFormat="false" ht="12.8" hidden="false" customHeight="false" outlineLevel="0" collapsed="false">
      <c r="A201" s="6" t="s">
        <v>241</v>
      </c>
      <c r="B201" s="6" t="n">
        <v>2428</v>
      </c>
      <c r="C201" s="6" t="n">
        <v>1961</v>
      </c>
      <c r="D201" s="11" t="n">
        <f aca="false">C201/B201</f>
        <v>0.807660626029654</v>
      </c>
      <c r="L201" s="0"/>
    </row>
    <row r="202" customFormat="false" ht="12.8" hidden="false" customHeight="false" outlineLevel="0" collapsed="false">
      <c r="A202" s="6" t="s">
        <v>242</v>
      </c>
      <c r="B202" s="6" t="n">
        <v>4483</v>
      </c>
      <c r="C202" s="6" t="n">
        <v>5080</v>
      </c>
      <c r="D202" s="11" t="n">
        <f aca="false">C202/B202</f>
        <v>1.13316975239795</v>
      </c>
      <c r="L202" s="0"/>
    </row>
    <row r="203" customFormat="false" ht="12.8" hidden="false" customHeight="false" outlineLevel="0" collapsed="false">
      <c r="A203" s="6" t="s">
        <v>243</v>
      </c>
      <c r="B203" s="6" t="n">
        <v>1312</v>
      </c>
      <c r="C203" s="6" t="n">
        <v>1722</v>
      </c>
      <c r="D203" s="11" t="n">
        <f aca="false">C203/B203</f>
        <v>1.3125</v>
      </c>
      <c r="L203" s="0"/>
    </row>
    <row r="204" customFormat="false" ht="12.8" hidden="false" customHeight="false" outlineLevel="0" collapsed="false">
      <c r="A204" s="6" t="s">
        <v>244</v>
      </c>
      <c r="B204" s="6" t="n">
        <v>9788</v>
      </c>
      <c r="C204" s="6" t="n">
        <v>13643</v>
      </c>
      <c r="D204" s="11" t="n">
        <f aca="false">C204/B204</f>
        <v>1.39384961176951</v>
      </c>
      <c r="L204" s="0"/>
    </row>
    <row r="205" customFormat="false" ht="12.8" hidden="false" customHeight="false" outlineLevel="0" collapsed="false">
      <c r="A205" s="6" t="s">
        <v>245</v>
      </c>
      <c r="B205" s="6" t="n">
        <v>15290</v>
      </c>
      <c r="C205" s="6" t="n">
        <v>22571</v>
      </c>
      <c r="D205" s="11" t="n">
        <f aca="false">C205/B205</f>
        <v>1.47619359058208</v>
      </c>
      <c r="L205" s="0"/>
    </row>
    <row r="206" customFormat="false" ht="12.8" hidden="false" customHeight="false" outlineLevel="0" collapsed="false">
      <c r="A206" s="6" t="s">
        <v>246</v>
      </c>
      <c r="B206" s="6" t="n">
        <v>2049</v>
      </c>
      <c r="C206" s="6" t="n">
        <v>2550</v>
      </c>
      <c r="D206" s="11" t="n">
        <f aca="false">C206/B206</f>
        <v>1.24450951683748</v>
      </c>
      <c r="L206" s="0"/>
    </row>
    <row r="207" customFormat="false" ht="12.8" hidden="false" customHeight="false" outlineLevel="0" collapsed="false">
      <c r="A207" s="6" t="s">
        <v>247</v>
      </c>
      <c r="B207" s="6" t="n">
        <v>10867</v>
      </c>
      <c r="C207" s="6" t="n">
        <v>13834</v>
      </c>
      <c r="D207" s="11" t="n">
        <f aca="false">C207/B207</f>
        <v>1.27302843471059</v>
      </c>
      <c r="L207" s="0"/>
    </row>
    <row r="208" customFormat="false" ht="12.8" hidden="false" customHeight="false" outlineLevel="0" collapsed="false">
      <c r="A208" s="6" t="s">
        <v>248</v>
      </c>
      <c r="B208" s="6" t="n">
        <v>4624</v>
      </c>
      <c r="C208" s="6" t="n">
        <v>5472</v>
      </c>
      <c r="D208" s="11" t="n">
        <f aca="false">C208/B208</f>
        <v>1.18339100346021</v>
      </c>
      <c r="L208" s="0"/>
    </row>
    <row r="209" customFormat="false" ht="12.8" hidden="false" customHeight="false" outlineLevel="0" collapsed="false">
      <c r="A209" s="6" t="s">
        <v>249</v>
      </c>
      <c r="B209" s="6" t="n">
        <v>3548</v>
      </c>
      <c r="C209" s="6" t="n">
        <v>4629</v>
      </c>
      <c r="D209" s="11" t="n">
        <f aca="false">C209/B209</f>
        <v>1.30467869222097</v>
      </c>
      <c r="L209" s="0"/>
    </row>
    <row r="210" customFormat="false" ht="12.8" hidden="false" customHeight="false" outlineLevel="0" collapsed="false">
      <c r="A210" s="6" t="s">
        <v>250</v>
      </c>
      <c r="B210" s="6" t="n">
        <v>1465</v>
      </c>
      <c r="C210" s="6" t="n">
        <v>1999</v>
      </c>
      <c r="D210" s="11" t="n">
        <f aca="false">C210/B210</f>
        <v>1.36450511945392</v>
      </c>
      <c r="L210" s="0"/>
    </row>
    <row r="211" customFormat="false" ht="12.8" hidden="false" customHeight="false" outlineLevel="0" collapsed="false">
      <c r="A211" s="6" t="s">
        <v>251</v>
      </c>
      <c r="B211" s="6" t="n">
        <v>2398</v>
      </c>
      <c r="C211" s="6" t="n">
        <v>1011</v>
      </c>
      <c r="D211" s="11" t="n">
        <f aca="false">C211/B211</f>
        <v>0.421601334445371</v>
      </c>
      <c r="L211" s="0"/>
    </row>
    <row r="212" customFormat="false" ht="12.8" hidden="false" customHeight="false" outlineLevel="0" collapsed="false">
      <c r="A212" s="6" t="s">
        <v>252</v>
      </c>
      <c r="B212" s="6" t="n">
        <v>3198</v>
      </c>
      <c r="C212" s="6" t="n">
        <v>4386</v>
      </c>
      <c r="D212" s="11" t="n">
        <f aca="false">C212/B212</f>
        <v>1.37148217636023</v>
      </c>
      <c r="L212" s="0"/>
    </row>
    <row r="213" customFormat="false" ht="12.8" hidden="false" customHeight="false" outlineLevel="0" collapsed="false">
      <c r="A213" s="6" t="s">
        <v>253</v>
      </c>
      <c r="B213" s="6" t="n">
        <v>4562</v>
      </c>
      <c r="C213" s="6" t="n">
        <v>7148</v>
      </c>
      <c r="D213" s="11" t="n">
        <f aca="false">C213/B213</f>
        <v>1.56685664182376</v>
      </c>
      <c r="L213" s="0"/>
    </row>
    <row r="214" customFormat="false" ht="12.8" hidden="false" customHeight="false" outlineLevel="0" collapsed="false">
      <c r="A214" s="6" t="s">
        <v>254</v>
      </c>
      <c r="B214" s="6" t="n">
        <v>7570</v>
      </c>
      <c r="C214" s="6" t="n">
        <v>9175</v>
      </c>
      <c r="D214" s="11" t="n">
        <f aca="false">C214/B214</f>
        <v>1.21202113606341</v>
      </c>
      <c r="L214" s="0"/>
    </row>
    <row r="215" customFormat="false" ht="12.8" hidden="false" customHeight="false" outlineLevel="0" collapsed="false">
      <c r="A215" s="6" t="s">
        <v>255</v>
      </c>
      <c r="B215" s="6" t="n">
        <v>4290</v>
      </c>
      <c r="C215" s="6" t="n">
        <v>6583</v>
      </c>
      <c r="D215" s="11" t="n">
        <f aca="false">C215/B215</f>
        <v>1.53449883449883</v>
      </c>
      <c r="L215" s="0"/>
    </row>
    <row r="216" customFormat="false" ht="12.8" hidden="false" customHeight="false" outlineLevel="0" collapsed="false">
      <c r="A216" s="6" t="s">
        <v>256</v>
      </c>
      <c r="B216" s="6" t="n">
        <v>3727</v>
      </c>
      <c r="C216" s="6" t="n">
        <v>5366</v>
      </c>
      <c r="D216" s="11" t="n">
        <f aca="false">C216/B216</f>
        <v>1.43976388516233</v>
      </c>
      <c r="L216" s="0"/>
    </row>
    <row r="217" customFormat="false" ht="12.8" hidden="false" customHeight="false" outlineLevel="0" collapsed="false">
      <c r="A217" s="6" t="s">
        <v>257</v>
      </c>
      <c r="B217" s="6" t="n">
        <v>1208</v>
      </c>
      <c r="C217" s="6" t="n">
        <v>2191</v>
      </c>
      <c r="D217" s="11" t="n">
        <f aca="false">C217/B217</f>
        <v>1.8137417218543</v>
      </c>
      <c r="L217" s="0"/>
    </row>
    <row r="218" customFormat="false" ht="12.8" hidden="false" customHeight="false" outlineLevel="0" collapsed="false">
      <c r="A218" s="6" t="s">
        <v>258</v>
      </c>
      <c r="B218" s="6" t="n">
        <v>1673</v>
      </c>
      <c r="C218" s="6" t="n">
        <v>1301</v>
      </c>
      <c r="D218" s="11" t="n">
        <f aca="false">C218/B218</f>
        <v>0.777644949193066</v>
      </c>
      <c r="L218" s="0"/>
    </row>
    <row r="219" customFormat="false" ht="12.8" hidden="false" customHeight="false" outlineLevel="0" collapsed="false">
      <c r="A219" s="6" t="s">
        <v>259</v>
      </c>
      <c r="B219" s="6" t="n">
        <v>1394</v>
      </c>
      <c r="C219" s="6" t="n">
        <v>1393</v>
      </c>
      <c r="D219" s="11" t="n">
        <f aca="false">C219/B219</f>
        <v>0.999282639885222</v>
      </c>
      <c r="L219" s="0"/>
    </row>
    <row r="220" customFormat="false" ht="12.8" hidden="false" customHeight="false" outlineLevel="0" collapsed="false">
      <c r="A220" s="6" t="s">
        <v>260</v>
      </c>
      <c r="B220" s="6" t="n">
        <v>3137</v>
      </c>
      <c r="C220" s="6" t="n">
        <v>3173</v>
      </c>
      <c r="D220" s="11" t="n">
        <f aca="false">C220/B220</f>
        <v>1.01147593241951</v>
      </c>
      <c r="L220" s="0"/>
    </row>
    <row r="221" customFormat="false" ht="12.8" hidden="false" customHeight="false" outlineLevel="0" collapsed="false">
      <c r="A221" s="6" t="s">
        <v>261</v>
      </c>
      <c r="B221" s="6" t="n">
        <v>1823</v>
      </c>
      <c r="C221" s="6" t="n">
        <v>1909</v>
      </c>
      <c r="D221" s="11" t="n">
        <f aca="false">C221/B221</f>
        <v>1.04717498628634</v>
      </c>
      <c r="L221" s="0"/>
    </row>
    <row r="222" customFormat="false" ht="12.8" hidden="false" customHeight="false" outlineLevel="0" collapsed="false">
      <c r="A222" s="6" t="s">
        <v>262</v>
      </c>
      <c r="B222" s="6" t="n">
        <v>1884</v>
      </c>
      <c r="C222" s="6" t="n">
        <v>1935</v>
      </c>
      <c r="D222" s="11" t="n">
        <f aca="false">C222/B222</f>
        <v>1.02707006369427</v>
      </c>
      <c r="L222" s="0"/>
    </row>
    <row r="223" customFormat="false" ht="12.8" hidden="false" customHeight="false" outlineLevel="0" collapsed="false">
      <c r="A223" s="6" t="s">
        <v>263</v>
      </c>
      <c r="B223" s="6" t="n">
        <v>941</v>
      </c>
      <c r="C223" s="6" t="n">
        <v>905</v>
      </c>
      <c r="D223" s="11" t="n">
        <f aca="false">C223/B223</f>
        <v>0.961742826780021</v>
      </c>
      <c r="L223" s="0"/>
    </row>
    <row r="224" customFormat="false" ht="12.8" hidden="false" customHeight="false" outlineLevel="0" collapsed="false">
      <c r="A224" s="6" t="s">
        <v>264</v>
      </c>
      <c r="B224" s="6" t="n">
        <v>3122</v>
      </c>
      <c r="C224" s="6" t="n">
        <v>3721</v>
      </c>
      <c r="D224" s="11" t="n">
        <f aca="false">C224/B224</f>
        <v>1.19186418962204</v>
      </c>
      <c r="L224" s="0"/>
    </row>
    <row r="225" customFormat="false" ht="12.8" hidden="false" customHeight="false" outlineLevel="0" collapsed="false">
      <c r="A225" s="6" t="s">
        <v>265</v>
      </c>
      <c r="B225" s="6" t="n">
        <v>6329</v>
      </c>
      <c r="C225" s="6" t="n">
        <v>6275</v>
      </c>
      <c r="D225" s="11" t="n">
        <f aca="false">C225/B225</f>
        <v>0.991467846421236</v>
      </c>
      <c r="L225" s="0"/>
    </row>
    <row r="226" customFormat="false" ht="12.8" hidden="false" customHeight="false" outlineLevel="0" collapsed="false">
      <c r="A226" s="6" t="s">
        <v>266</v>
      </c>
      <c r="B226" s="6" t="n">
        <v>1556</v>
      </c>
      <c r="C226" s="6" t="n">
        <v>1812</v>
      </c>
      <c r="D226" s="11" t="n">
        <f aca="false">C226/B226</f>
        <v>1.16452442159383</v>
      </c>
      <c r="L226" s="0"/>
    </row>
    <row r="227" customFormat="false" ht="12.8" hidden="false" customHeight="false" outlineLevel="0" collapsed="false">
      <c r="A227" s="6" t="s">
        <v>267</v>
      </c>
      <c r="B227" s="6" t="n">
        <v>546</v>
      </c>
      <c r="C227" s="6" t="n">
        <v>601</v>
      </c>
      <c r="D227" s="11" t="n">
        <f aca="false">C227/B227</f>
        <v>1.1007326007326</v>
      </c>
      <c r="L227" s="0"/>
    </row>
    <row r="228" customFormat="false" ht="12.8" hidden="false" customHeight="false" outlineLevel="0" collapsed="false">
      <c r="A228" s="6" t="s">
        <v>268</v>
      </c>
      <c r="B228" s="6" t="n">
        <v>6588</v>
      </c>
      <c r="C228" s="6" t="n">
        <v>5689</v>
      </c>
      <c r="D228" s="11" t="n">
        <f aca="false">C228/B228</f>
        <v>0.863539769277474</v>
      </c>
      <c r="L228" s="0"/>
    </row>
    <row r="229" customFormat="false" ht="12.8" hidden="false" customHeight="false" outlineLevel="0" collapsed="false">
      <c r="A229" s="6" t="s">
        <v>269</v>
      </c>
      <c r="B229" s="6" t="n">
        <v>3313</v>
      </c>
      <c r="C229" s="6" t="n">
        <v>3898</v>
      </c>
      <c r="D229" s="11" t="n">
        <f aca="false">C229/B229</f>
        <v>1.17657712043465</v>
      </c>
      <c r="L229" s="0"/>
    </row>
    <row r="230" customFormat="false" ht="12.8" hidden="false" customHeight="false" outlineLevel="0" collapsed="false">
      <c r="A230" s="6" t="s">
        <v>270</v>
      </c>
      <c r="B230" s="6" t="n">
        <v>11028</v>
      </c>
      <c r="C230" s="6" t="n">
        <v>14359</v>
      </c>
      <c r="D230" s="11" t="n">
        <f aca="false">C230/B230</f>
        <v>1.30204932898078</v>
      </c>
      <c r="L230" s="0"/>
    </row>
    <row r="231" customFormat="false" ht="12.8" hidden="false" customHeight="false" outlineLevel="0" collapsed="false">
      <c r="A231" s="6" t="s">
        <v>271</v>
      </c>
      <c r="B231" s="6" t="n">
        <v>4281</v>
      </c>
      <c r="C231" s="6" t="n">
        <v>4884</v>
      </c>
      <c r="D231" s="11" t="n">
        <f aca="false">C231/B231</f>
        <v>1.14085494043448</v>
      </c>
      <c r="L231" s="0"/>
    </row>
    <row r="232" customFormat="false" ht="12.8" hidden="false" customHeight="false" outlineLevel="0" collapsed="false">
      <c r="A232" s="6" t="s">
        <v>272</v>
      </c>
      <c r="B232" s="6" t="n">
        <v>1063</v>
      </c>
      <c r="C232" s="6" t="n">
        <v>1153</v>
      </c>
      <c r="D232" s="11" t="n">
        <f aca="false">C232/B232</f>
        <v>1.08466603951082</v>
      </c>
      <c r="L232" s="0"/>
    </row>
    <row r="233" customFormat="false" ht="12.8" hidden="false" customHeight="false" outlineLevel="0" collapsed="false">
      <c r="A233" s="6" t="s">
        <v>273</v>
      </c>
      <c r="B233" s="6" t="n">
        <v>2476</v>
      </c>
      <c r="C233" s="6" t="n">
        <v>2826</v>
      </c>
      <c r="D233" s="11" t="n">
        <f aca="false">C233/B233</f>
        <v>1.14135702746365</v>
      </c>
      <c r="L233" s="0"/>
    </row>
    <row r="234" customFormat="false" ht="12.8" hidden="false" customHeight="false" outlineLevel="0" collapsed="false">
      <c r="A234" s="6" t="s">
        <v>274</v>
      </c>
      <c r="B234" s="6" t="n">
        <v>1091</v>
      </c>
      <c r="C234" s="6" t="n">
        <v>1419</v>
      </c>
      <c r="D234" s="11" t="n">
        <f aca="false">C234/B234</f>
        <v>1.3006416131989</v>
      </c>
      <c r="L234" s="0"/>
    </row>
    <row r="235" customFormat="false" ht="12.8" hidden="false" customHeight="false" outlineLevel="0" collapsed="false">
      <c r="A235" s="6" t="s">
        <v>275</v>
      </c>
      <c r="B235" s="6" t="n">
        <v>24702</v>
      </c>
      <c r="C235" s="6" t="n">
        <v>25103</v>
      </c>
      <c r="D235" s="11" t="n">
        <f aca="false">C235/B235</f>
        <v>1.01623350336005</v>
      </c>
      <c r="L235" s="0"/>
    </row>
    <row r="236" customFormat="false" ht="12.8" hidden="false" customHeight="false" outlineLevel="0" collapsed="false">
      <c r="A236" s="6" t="s">
        <v>276</v>
      </c>
      <c r="B236" s="6" t="n">
        <v>1531</v>
      </c>
      <c r="C236" s="6" t="n">
        <v>1205</v>
      </c>
      <c r="D236" s="11" t="n">
        <f aca="false">C236/B236</f>
        <v>0.787067276290007</v>
      </c>
      <c r="L236" s="0"/>
    </row>
    <row r="237" customFormat="false" ht="12.8" hidden="false" customHeight="false" outlineLevel="0" collapsed="false">
      <c r="A237" s="6" t="s">
        <v>277</v>
      </c>
      <c r="B237" s="6" t="n">
        <v>14705</v>
      </c>
      <c r="C237" s="6" t="n">
        <v>14712</v>
      </c>
      <c r="D237" s="11" t="n">
        <f aca="false">C237/B237</f>
        <v>1.00047602856171</v>
      </c>
      <c r="L237" s="0"/>
    </row>
    <row r="238" customFormat="false" ht="12.8" hidden="false" customHeight="false" outlineLevel="0" collapsed="false">
      <c r="A238" s="6" t="s">
        <v>278</v>
      </c>
      <c r="B238" s="6" t="n">
        <v>1601</v>
      </c>
      <c r="C238" s="6" t="n">
        <v>2106</v>
      </c>
      <c r="D238" s="11" t="n">
        <f aca="false">C238/B238</f>
        <v>1.31542785758901</v>
      </c>
      <c r="L238" s="0"/>
    </row>
    <row r="239" customFormat="false" ht="12.8" hidden="false" customHeight="false" outlineLevel="0" collapsed="false">
      <c r="A239" s="6" t="s">
        <v>279</v>
      </c>
      <c r="B239" s="6" t="n">
        <v>1314</v>
      </c>
      <c r="C239" s="6" t="n">
        <v>1877</v>
      </c>
      <c r="D239" s="11" t="n">
        <f aca="false">C239/B239</f>
        <v>1.42846270928463</v>
      </c>
      <c r="L239" s="0"/>
    </row>
    <row r="240" customFormat="false" ht="12.8" hidden="false" customHeight="false" outlineLevel="0" collapsed="false">
      <c r="A240" s="6" t="s">
        <v>280</v>
      </c>
      <c r="B240" s="6" t="n">
        <v>1810</v>
      </c>
      <c r="C240" s="6" t="n">
        <v>2112</v>
      </c>
      <c r="D240" s="11" t="n">
        <f aca="false">C240/B240</f>
        <v>1.16685082872928</v>
      </c>
      <c r="L240" s="0"/>
    </row>
    <row r="241" customFormat="false" ht="12.8" hidden="false" customHeight="false" outlineLevel="0" collapsed="false">
      <c r="A241" s="6" t="s">
        <v>281</v>
      </c>
      <c r="B241" s="6" t="n">
        <v>4508</v>
      </c>
      <c r="C241" s="6" t="n">
        <v>5046</v>
      </c>
      <c r="D241" s="11" t="n">
        <f aca="false">C241/B241</f>
        <v>1.11934338952973</v>
      </c>
      <c r="L241" s="0"/>
    </row>
    <row r="242" customFormat="false" ht="12.8" hidden="false" customHeight="false" outlineLevel="0" collapsed="false">
      <c r="A242" s="6" t="s">
        <v>282</v>
      </c>
      <c r="B242" s="6" t="n">
        <v>2454</v>
      </c>
      <c r="C242" s="6" t="n">
        <v>3117</v>
      </c>
      <c r="D242" s="11" t="n">
        <f aca="false">C242/B242</f>
        <v>1.27017114914425</v>
      </c>
      <c r="L242" s="0"/>
    </row>
    <row r="243" customFormat="false" ht="12.8" hidden="false" customHeight="false" outlineLevel="0" collapsed="false">
      <c r="A243" s="6" t="s">
        <v>283</v>
      </c>
      <c r="B243" s="6" t="n">
        <v>1359</v>
      </c>
      <c r="C243" s="6" t="n">
        <v>1303</v>
      </c>
      <c r="D243" s="11" t="n">
        <f aca="false">C243/B243</f>
        <v>0.958793230316409</v>
      </c>
      <c r="L243" s="0"/>
    </row>
    <row r="244" customFormat="false" ht="12.8" hidden="false" customHeight="false" outlineLevel="0" collapsed="false">
      <c r="A244" s="6" t="s">
        <v>284</v>
      </c>
      <c r="B244" s="6" t="n">
        <v>4986</v>
      </c>
      <c r="C244" s="6" t="n">
        <v>5850</v>
      </c>
      <c r="D244" s="11" t="n">
        <f aca="false">C244/B244</f>
        <v>1.17328519855596</v>
      </c>
      <c r="L244" s="0"/>
    </row>
    <row r="245" customFormat="false" ht="12.8" hidden="false" customHeight="false" outlineLevel="0" collapsed="false">
      <c r="A245" s="6" t="s">
        <v>285</v>
      </c>
      <c r="B245" s="6" t="n">
        <v>6309</v>
      </c>
      <c r="C245" s="6" t="n">
        <v>7589</v>
      </c>
      <c r="D245" s="11" t="n">
        <f aca="false">C245/B245</f>
        <v>1.20288476779204</v>
      </c>
      <c r="L245" s="0"/>
    </row>
    <row r="246" customFormat="false" ht="12.8" hidden="false" customHeight="false" outlineLevel="0" collapsed="false">
      <c r="A246" s="6" t="s">
        <v>286</v>
      </c>
      <c r="B246" s="6" t="n">
        <v>7285</v>
      </c>
      <c r="C246" s="6" t="n">
        <v>8734</v>
      </c>
      <c r="D246" s="11" t="n">
        <f aca="false">C246/B246</f>
        <v>1.19890185312286</v>
      </c>
      <c r="L246" s="0"/>
    </row>
    <row r="247" customFormat="false" ht="12.8" hidden="false" customHeight="false" outlineLevel="0" collapsed="false">
      <c r="A247" s="6" t="s">
        <v>287</v>
      </c>
      <c r="B247" s="6" t="n">
        <v>3752</v>
      </c>
      <c r="C247" s="6" t="n">
        <v>4511</v>
      </c>
      <c r="D247" s="11" t="n">
        <f aca="false">C247/B247</f>
        <v>1.2022921108742</v>
      </c>
      <c r="L247" s="0"/>
    </row>
    <row r="248" customFormat="false" ht="12.8" hidden="false" customHeight="false" outlineLevel="0" collapsed="false">
      <c r="A248" s="6" t="s">
        <v>288</v>
      </c>
      <c r="B248" s="6" t="n">
        <v>3941</v>
      </c>
      <c r="C248" s="6" t="n">
        <v>6288</v>
      </c>
      <c r="D248" s="11" t="n">
        <f aca="false">C248/B248</f>
        <v>1.59553412839381</v>
      </c>
      <c r="L248" s="0"/>
    </row>
    <row r="249" customFormat="false" ht="12.8" hidden="false" customHeight="false" outlineLevel="0" collapsed="false">
      <c r="A249" s="6" t="s">
        <v>289</v>
      </c>
      <c r="B249" s="6" t="n">
        <v>31768</v>
      </c>
      <c r="C249" s="6" t="n">
        <v>39424</v>
      </c>
      <c r="D249" s="11" t="n">
        <f aca="false">C249/B249</f>
        <v>1.2409972299169</v>
      </c>
      <c r="L249" s="0"/>
    </row>
    <row r="250" customFormat="false" ht="12.8" hidden="false" customHeight="false" outlineLevel="0" collapsed="false">
      <c r="A250" s="6" t="s">
        <v>290</v>
      </c>
      <c r="B250" s="6" t="n">
        <v>3391</v>
      </c>
      <c r="C250" s="6" t="n">
        <v>4829</v>
      </c>
      <c r="D250" s="11" t="n">
        <f aca="false">C250/B250</f>
        <v>1.42406369802418</v>
      </c>
      <c r="L250" s="0"/>
    </row>
    <row r="251" customFormat="false" ht="12.8" hidden="false" customHeight="false" outlineLevel="0" collapsed="false">
      <c r="A251" s="6" t="s">
        <v>291</v>
      </c>
      <c r="B251" s="6" t="n">
        <v>4648</v>
      </c>
      <c r="C251" s="6" t="n">
        <v>6711</v>
      </c>
      <c r="D251" s="11" t="n">
        <f aca="false">C251/B251</f>
        <v>1.44384681583477</v>
      </c>
      <c r="L251" s="0"/>
    </row>
    <row r="252" customFormat="false" ht="12.8" hidden="false" customHeight="false" outlineLevel="0" collapsed="false">
      <c r="A252" s="6" t="s">
        <v>292</v>
      </c>
      <c r="B252" s="6" t="n">
        <v>2291</v>
      </c>
      <c r="C252" s="6" t="n">
        <v>3008</v>
      </c>
      <c r="D252" s="11" t="n">
        <f aca="false">C252/B252</f>
        <v>1.31296377127892</v>
      </c>
      <c r="L252" s="0"/>
    </row>
    <row r="253" customFormat="false" ht="12.8" hidden="false" customHeight="false" outlineLevel="0" collapsed="false">
      <c r="A253" s="6" t="s">
        <v>293</v>
      </c>
      <c r="B253" s="6" t="n">
        <v>1607</v>
      </c>
      <c r="C253" s="6" t="n">
        <v>1878</v>
      </c>
      <c r="D253" s="11" t="n">
        <f aca="false">C253/B253</f>
        <v>1.16863721219664</v>
      </c>
      <c r="L253" s="0"/>
    </row>
    <row r="254" customFormat="false" ht="12.8" hidden="false" customHeight="false" outlineLevel="0" collapsed="false">
      <c r="A254" s="6" t="s">
        <v>294</v>
      </c>
      <c r="B254" s="6" t="n">
        <v>3705</v>
      </c>
      <c r="C254" s="6" t="n">
        <v>4608</v>
      </c>
      <c r="D254" s="11" t="n">
        <f aca="false">C254/B254</f>
        <v>1.24372469635628</v>
      </c>
      <c r="L254" s="0"/>
    </row>
    <row r="255" customFormat="false" ht="12.8" hidden="false" customHeight="false" outlineLevel="0" collapsed="false">
      <c r="A255" s="6" t="s">
        <v>295</v>
      </c>
      <c r="B255" s="6" t="n">
        <v>2209</v>
      </c>
      <c r="C255" s="6" t="n">
        <v>2697</v>
      </c>
      <c r="D255" s="11" t="n">
        <f aca="false">C255/B255</f>
        <v>1.22091444092349</v>
      </c>
      <c r="L255" s="0"/>
    </row>
    <row r="256" customFormat="false" ht="12.8" hidden="false" customHeight="false" outlineLevel="0" collapsed="false">
      <c r="A256" s="6" t="s">
        <v>296</v>
      </c>
      <c r="B256" s="6" t="n">
        <v>5616</v>
      </c>
      <c r="C256" s="6" t="n">
        <v>6699</v>
      </c>
      <c r="D256" s="11" t="n">
        <f aca="false">C256/B256</f>
        <v>1.19284188034188</v>
      </c>
      <c r="L256" s="0"/>
    </row>
    <row r="257" customFormat="false" ht="12.8" hidden="false" customHeight="false" outlineLevel="0" collapsed="false">
      <c r="A257" s="6" t="s">
        <v>297</v>
      </c>
      <c r="B257" s="6" t="n">
        <v>4343</v>
      </c>
      <c r="C257" s="6" t="n">
        <v>5338</v>
      </c>
      <c r="D257" s="11" t="n">
        <f aca="false">C257/B257</f>
        <v>1.22910430577942</v>
      </c>
      <c r="L257" s="0"/>
    </row>
    <row r="258" customFormat="false" ht="12.8" hidden="false" customHeight="false" outlineLevel="0" collapsed="false">
      <c r="A258" s="6" t="s">
        <v>298</v>
      </c>
      <c r="B258" s="6" t="n">
        <v>753</v>
      </c>
      <c r="C258" s="6" t="n">
        <v>747</v>
      </c>
      <c r="D258" s="11" t="n">
        <f aca="false">C258/B258</f>
        <v>0.99203187250996</v>
      </c>
      <c r="L258" s="0"/>
    </row>
    <row r="259" customFormat="false" ht="12.8" hidden="false" customHeight="false" outlineLevel="0" collapsed="false">
      <c r="A259" s="6" t="s">
        <v>299</v>
      </c>
      <c r="B259" s="6" t="n">
        <v>6756</v>
      </c>
      <c r="C259" s="6" t="n">
        <v>8133</v>
      </c>
      <c r="D259" s="11" t="n">
        <f aca="false">C259/B259</f>
        <v>1.2038188277087</v>
      </c>
      <c r="L259" s="0"/>
    </row>
    <row r="260" customFormat="false" ht="12.8" hidden="false" customHeight="false" outlineLevel="0" collapsed="false">
      <c r="A260" s="6" t="s">
        <v>300</v>
      </c>
      <c r="B260" s="6" t="n">
        <v>6831</v>
      </c>
      <c r="C260" s="6" t="n">
        <v>8370</v>
      </c>
      <c r="D260" s="11" t="n">
        <f aca="false">C260/B260</f>
        <v>1.22529644268775</v>
      </c>
      <c r="L260" s="0"/>
    </row>
    <row r="261" customFormat="false" ht="12.8" hidden="false" customHeight="false" outlineLevel="0" collapsed="false">
      <c r="A261" s="6" t="s">
        <v>301</v>
      </c>
      <c r="B261" s="6" t="n">
        <v>3541</v>
      </c>
      <c r="C261" s="6" t="n">
        <v>4521</v>
      </c>
      <c r="D261" s="11" t="n">
        <f aca="false">C261/B261</f>
        <v>1.27675797797232</v>
      </c>
      <c r="L261" s="0"/>
    </row>
    <row r="262" customFormat="false" ht="12.8" hidden="false" customHeight="false" outlineLevel="0" collapsed="false">
      <c r="A262" s="6" t="s">
        <v>302</v>
      </c>
      <c r="B262" s="6" t="n">
        <v>1372</v>
      </c>
      <c r="C262" s="6" t="n">
        <v>1646</v>
      </c>
      <c r="D262" s="11" t="n">
        <f aca="false">C262/B262</f>
        <v>1.1997084548105</v>
      </c>
      <c r="L262" s="0"/>
    </row>
    <row r="263" customFormat="false" ht="12.8" hidden="false" customHeight="false" outlineLevel="0" collapsed="false">
      <c r="A263" s="6" t="s">
        <v>303</v>
      </c>
      <c r="B263" s="6" t="n">
        <v>1959</v>
      </c>
      <c r="C263" s="6" t="n">
        <v>2353</v>
      </c>
      <c r="D263" s="11" t="n">
        <f aca="false">C263/B263</f>
        <v>1.20112302194997</v>
      </c>
      <c r="L263" s="0"/>
    </row>
    <row r="264" customFormat="false" ht="12.8" hidden="false" customHeight="false" outlineLevel="0" collapsed="false">
      <c r="A264" s="6" t="s">
        <v>304</v>
      </c>
      <c r="B264" s="6" t="n">
        <v>2214</v>
      </c>
      <c r="C264" s="6" t="n">
        <v>2716</v>
      </c>
      <c r="D264" s="11" t="n">
        <f aca="false">C264/B264</f>
        <v>1.22673893405601</v>
      </c>
      <c r="L264" s="0"/>
    </row>
    <row r="265" customFormat="false" ht="12.8" hidden="false" customHeight="false" outlineLevel="0" collapsed="false">
      <c r="A265" s="6" t="s">
        <v>305</v>
      </c>
      <c r="B265" s="6" t="n">
        <v>2279</v>
      </c>
      <c r="C265" s="6" t="n">
        <v>2830</v>
      </c>
      <c r="D265" s="11" t="n">
        <f aca="false">C265/B265</f>
        <v>1.24177270732778</v>
      </c>
      <c r="L265" s="0"/>
    </row>
    <row r="266" customFormat="false" ht="12.8" hidden="false" customHeight="false" outlineLevel="0" collapsed="false">
      <c r="A266" s="6" t="s">
        <v>306</v>
      </c>
      <c r="B266" s="6" t="n">
        <v>19074</v>
      </c>
      <c r="C266" s="6" t="n">
        <v>25334</v>
      </c>
      <c r="D266" s="11" t="n">
        <f aca="false">C266/B266</f>
        <v>1.32819544930272</v>
      </c>
      <c r="L266" s="0"/>
    </row>
    <row r="267" customFormat="false" ht="12.8" hidden="false" customHeight="false" outlineLevel="0" collapsed="false">
      <c r="A267" s="6" t="s">
        <v>307</v>
      </c>
      <c r="B267" s="6" t="n">
        <v>4568</v>
      </c>
      <c r="C267" s="6" t="n">
        <v>5122</v>
      </c>
      <c r="D267" s="11" t="n">
        <f aca="false">C267/B267</f>
        <v>1.12127845884413</v>
      </c>
      <c r="L267" s="0"/>
    </row>
    <row r="268" customFormat="false" ht="12.8" hidden="false" customHeight="false" outlineLevel="0" collapsed="false">
      <c r="A268" s="6" t="s">
        <v>308</v>
      </c>
      <c r="B268" s="6" t="n">
        <v>1635</v>
      </c>
      <c r="C268" s="6" t="n">
        <v>1866</v>
      </c>
      <c r="D268" s="11" t="n">
        <f aca="false">C268/B268</f>
        <v>1.14128440366972</v>
      </c>
      <c r="L268" s="0"/>
    </row>
    <row r="269" customFormat="false" ht="12.8" hidden="false" customHeight="false" outlineLevel="0" collapsed="false">
      <c r="A269" s="6" t="s">
        <v>309</v>
      </c>
      <c r="B269" s="6" t="n">
        <v>3682</v>
      </c>
      <c r="C269" s="6" t="n">
        <v>4069</v>
      </c>
      <c r="D269" s="11" t="n">
        <f aca="false">C269/B269</f>
        <v>1.10510592069527</v>
      </c>
      <c r="L269" s="0"/>
    </row>
    <row r="270" customFormat="false" ht="12.8" hidden="false" customHeight="false" outlineLevel="0" collapsed="false">
      <c r="A270" s="6" t="s">
        <v>310</v>
      </c>
      <c r="B270" s="6" t="n">
        <v>28670</v>
      </c>
      <c r="C270" s="6" t="n">
        <v>34866</v>
      </c>
      <c r="D270" s="11" t="n">
        <f aca="false">C270/B270</f>
        <v>1.21611440530171</v>
      </c>
      <c r="L270" s="0"/>
    </row>
    <row r="271" customFormat="false" ht="12.8" hidden="false" customHeight="false" outlineLevel="0" collapsed="false">
      <c r="A271" s="6" t="s">
        <v>311</v>
      </c>
      <c r="B271" s="6" t="n">
        <v>81746</v>
      </c>
      <c r="C271" s="6" t="n">
        <v>100748</v>
      </c>
      <c r="D271" s="11" t="n">
        <f aca="false">C271/B271</f>
        <v>1.23245174075796</v>
      </c>
      <c r="L271" s="0"/>
    </row>
    <row r="272" customFormat="false" ht="12.8" hidden="false" customHeight="false" outlineLevel="0" collapsed="false">
      <c r="A272" s="6" t="s">
        <v>312</v>
      </c>
      <c r="B272" s="6" t="n">
        <v>45681</v>
      </c>
      <c r="C272" s="6" t="n">
        <v>47572</v>
      </c>
      <c r="D272" s="11" t="n">
        <f aca="false">C272/B272</f>
        <v>1.04139576629233</v>
      </c>
      <c r="L272" s="0"/>
    </row>
    <row r="273" customFormat="false" ht="12.8" hidden="false" customHeight="false" outlineLevel="0" collapsed="false">
      <c r="A273" s="6" t="s">
        <v>313</v>
      </c>
      <c r="B273" s="6" t="n">
        <v>63904</v>
      </c>
      <c r="C273" s="6" t="n">
        <v>83539</v>
      </c>
      <c r="D273" s="11" t="n">
        <f aca="false">C273/B273</f>
        <v>1.30725776164246</v>
      </c>
      <c r="L273" s="0"/>
    </row>
    <row r="274" customFormat="false" ht="12.8" hidden="false" customHeight="false" outlineLevel="0" collapsed="false">
      <c r="A274" s="6" t="s">
        <v>314</v>
      </c>
      <c r="B274" s="6" t="n">
        <v>76780</v>
      </c>
      <c r="C274" s="6" t="n">
        <v>119149</v>
      </c>
      <c r="D274" s="11" t="n">
        <f aca="false">C274/B274</f>
        <v>1.55182339150821</v>
      </c>
      <c r="L274" s="0"/>
    </row>
    <row r="275" customFormat="false" ht="12.8" hidden="false" customHeight="false" outlineLevel="0" collapsed="false">
      <c r="A275" s="6" t="s">
        <v>315</v>
      </c>
      <c r="B275" s="6" t="n">
        <v>43090</v>
      </c>
      <c r="C275" s="6" t="n">
        <v>36650</v>
      </c>
      <c r="D275" s="11" t="n">
        <f aca="false">C275/B275</f>
        <v>0.850545370155489</v>
      </c>
      <c r="L275" s="0"/>
    </row>
    <row r="276" customFormat="false" ht="12.8" hidden="false" customHeight="false" outlineLevel="0" collapsed="false">
      <c r="A276" s="6" t="s">
        <v>316</v>
      </c>
      <c r="B276" s="6" t="n">
        <v>55047</v>
      </c>
      <c r="C276" s="6" t="n">
        <v>73460</v>
      </c>
      <c r="D276" s="11" t="n">
        <f aca="false">C276/B276</f>
        <v>1.33449597616582</v>
      </c>
      <c r="L276" s="0"/>
    </row>
    <row r="277" customFormat="false" ht="12.8" hidden="false" customHeight="false" outlineLevel="0" collapsed="false">
      <c r="A277" s="6" t="s">
        <v>317</v>
      </c>
      <c r="B277" s="6" t="n">
        <v>16763</v>
      </c>
      <c r="C277" s="6" t="n">
        <v>13819</v>
      </c>
      <c r="D277" s="11" t="n">
        <f aca="false">C277/B277</f>
        <v>0.824375111853487</v>
      </c>
      <c r="L277" s="0"/>
    </row>
    <row r="278" customFormat="false" ht="12.8" hidden="false" customHeight="false" outlineLevel="0" collapsed="false">
      <c r="A278" s="6" t="s">
        <v>318</v>
      </c>
      <c r="B278" s="6" t="n">
        <v>97018</v>
      </c>
      <c r="C278" s="6" t="n">
        <v>103341</v>
      </c>
      <c r="D278" s="11" t="n">
        <f aca="false">C278/B278</f>
        <v>1.06517347296378</v>
      </c>
      <c r="L278" s="0"/>
    </row>
    <row r="279" customFormat="false" ht="12.8" hidden="false" customHeight="false" outlineLevel="0" collapsed="false">
      <c r="A279" s="6" t="s">
        <v>319</v>
      </c>
      <c r="B279" s="6" t="n">
        <v>24242</v>
      </c>
      <c r="C279" s="6" t="n">
        <v>53183</v>
      </c>
      <c r="D279" s="11" t="n">
        <f aca="false">C279/B279</f>
        <v>2.19383714214999</v>
      </c>
      <c r="L279" s="0"/>
    </row>
    <row r="280" customFormat="false" ht="12.8" hidden="false" customHeight="false" outlineLevel="0" collapsed="false">
      <c r="A280" s="6" t="s">
        <v>320</v>
      </c>
      <c r="B280" s="6" t="n">
        <v>0</v>
      </c>
      <c r="C280" s="6" t="n">
        <v>0</v>
      </c>
      <c r="D280" s="11" t="n">
        <v>10</v>
      </c>
      <c r="L280" s="0"/>
    </row>
    <row r="281" customFormat="false" ht="12.8" hidden="false" customHeight="false" outlineLevel="0" collapsed="false">
      <c r="A281" s="6" t="s">
        <v>321</v>
      </c>
      <c r="B281" s="6" t="n">
        <v>118071</v>
      </c>
      <c r="C281" s="6" t="n">
        <v>162259</v>
      </c>
      <c r="D281" s="11" t="n">
        <f aca="false">C281/B281</f>
        <v>1.37424939231479</v>
      </c>
      <c r="L281" s="0"/>
    </row>
    <row r="282" customFormat="false" ht="12.8" hidden="false" customHeight="false" outlineLevel="0" collapsed="false">
      <c r="A282" s="6" t="s">
        <v>322</v>
      </c>
      <c r="B282" s="6" t="n">
        <v>96461</v>
      </c>
      <c r="C282" s="6" t="n">
        <v>121414</v>
      </c>
      <c r="D282" s="11" t="n">
        <f aca="false">C282/B282</f>
        <v>1.2586848570925</v>
      </c>
      <c r="L282" s="0"/>
    </row>
    <row r="283" customFormat="false" ht="12.8" hidden="false" customHeight="false" outlineLevel="0" collapsed="false">
      <c r="A283" s="6" t="s">
        <v>323</v>
      </c>
      <c r="B283" s="6" t="n">
        <v>93086</v>
      </c>
      <c r="C283" s="6" t="n">
        <v>114934</v>
      </c>
      <c r="D283" s="11" t="n">
        <f aca="false">C283/B283</f>
        <v>1.23470768966332</v>
      </c>
      <c r="L283" s="0"/>
    </row>
    <row r="284" customFormat="false" ht="12.8" hidden="false" customHeight="false" outlineLevel="0" collapsed="false">
      <c r="A284" s="6" t="s">
        <v>324</v>
      </c>
      <c r="B284" s="6" t="n">
        <v>52804</v>
      </c>
      <c r="C284" s="6" t="n">
        <v>69242</v>
      </c>
      <c r="D284" s="11" t="n">
        <f aca="false">C284/B284</f>
        <v>1.31130217407772</v>
      </c>
      <c r="L284" s="0"/>
    </row>
    <row r="285" customFormat="false" ht="12.8" hidden="false" customHeight="false" outlineLevel="0" collapsed="false">
      <c r="A285" s="6" t="s">
        <v>325</v>
      </c>
      <c r="B285" s="6" t="n">
        <v>50169</v>
      </c>
      <c r="C285" s="6" t="n">
        <v>55297</v>
      </c>
      <c r="D285" s="11" t="n">
        <f aca="false">C285/B285</f>
        <v>1.1022145149395</v>
      </c>
      <c r="L285" s="0"/>
    </row>
    <row r="286" customFormat="false" ht="12.8" hidden="false" customHeight="false" outlineLevel="0" collapsed="false">
      <c r="A286" s="6" t="s">
        <v>326</v>
      </c>
      <c r="B286" s="6" t="n">
        <v>24942</v>
      </c>
      <c r="C286" s="6" t="n">
        <v>34523</v>
      </c>
      <c r="D286" s="11" t="n">
        <f aca="false">C286/B286</f>
        <v>1.38413118434769</v>
      </c>
      <c r="L286" s="0"/>
    </row>
    <row r="287" customFormat="false" ht="12.8" hidden="false" customHeight="false" outlineLevel="0" collapsed="false">
      <c r="A287" s="6" t="s">
        <v>327</v>
      </c>
      <c r="B287" s="6" t="n">
        <v>37806</v>
      </c>
      <c r="C287" s="6" t="n">
        <v>39985</v>
      </c>
      <c r="D287" s="11" t="n">
        <f aca="false">C287/B287</f>
        <v>1.05763635401788</v>
      </c>
      <c r="L287" s="0"/>
    </row>
    <row r="288" customFormat="false" ht="12.8" hidden="false" customHeight="false" outlineLevel="0" collapsed="false">
      <c r="A288" s="6" t="s">
        <v>328</v>
      </c>
      <c r="B288" s="6" t="n">
        <v>42272</v>
      </c>
      <c r="C288" s="6" t="n">
        <v>64955</v>
      </c>
      <c r="D288" s="11" t="n">
        <f aca="false">C288/B288</f>
        <v>1.53659632853899</v>
      </c>
      <c r="L288" s="0"/>
    </row>
    <row r="289" customFormat="false" ht="12.8" hidden="false" customHeight="false" outlineLevel="0" collapsed="false">
      <c r="A289" s="6" t="s">
        <v>329</v>
      </c>
      <c r="B289" s="6" t="n">
        <v>91257</v>
      </c>
      <c r="C289" s="6" t="n">
        <v>105507</v>
      </c>
      <c r="D289" s="11" t="n">
        <f aca="false">C289/B289</f>
        <v>1.15615240474703</v>
      </c>
      <c r="L289" s="0"/>
    </row>
    <row r="290" customFormat="false" ht="12.8" hidden="false" customHeight="false" outlineLevel="0" collapsed="false">
      <c r="A290" s="6" t="s">
        <v>330</v>
      </c>
      <c r="B290" s="6" t="n">
        <v>57095</v>
      </c>
      <c r="C290" s="6" t="n">
        <v>67254</v>
      </c>
      <c r="D290" s="11" t="n">
        <f aca="false">C290/B290</f>
        <v>1.17793151764603</v>
      </c>
      <c r="L290" s="0"/>
    </row>
    <row r="291" customFormat="false" ht="12.8" hidden="false" customHeight="false" outlineLevel="0" collapsed="false">
      <c r="A291" s="6" t="s">
        <v>331</v>
      </c>
      <c r="B291" s="6" t="n">
        <v>21893</v>
      </c>
      <c r="C291" s="6" t="n">
        <v>20661</v>
      </c>
      <c r="D291" s="11" t="n">
        <f aca="false">C291/B291</f>
        <v>0.943726305211712</v>
      </c>
      <c r="L291" s="0"/>
    </row>
    <row r="292" customFormat="false" ht="12.8" hidden="false" customHeight="false" outlineLevel="0" collapsed="false">
      <c r="A292" s="6" t="s">
        <v>332</v>
      </c>
      <c r="B292" s="6" t="n">
        <v>7144</v>
      </c>
      <c r="C292" s="6" t="n">
        <v>8340</v>
      </c>
      <c r="D292" s="11" t="n">
        <f aca="false">C292/B292</f>
        <v>1.16741321388578</v>
      </c>
      <c r="L292" s="0"/>
    </row>
    <row r="293" customFormat="false" ht="12.8" hidden="false" customHeight="false" outlineLevel="0" collapsed="false">
      <c r="A293" s="6" t="s">
        <v>333</v>
      </c>
      <c r="B293" s="6" t="n">
        <v>96307</v>
      </c>
      <c r="C293" s="6" t="n">
        <v>130659</v>
      </c>
      <c r="D293" s="11" t="n">
        <f aca="false">C293/B293</f>
        <v>1.35669265993126</v>
      </c>
      <c r="L293" s="0"/>
    </row>
    <row r="294" customFormat="false" ht="12.8" hidden="false" customHeight="false" outlineLevel="0" collapsed="false">
      <c r="A294" s="6" t="s">
        <v>334</v>
      </c>
      <c r="B294" s="6" t="n">
        <v>21954</v>
      </c>
      <c r="C294" s="6" t="n">
        <v>27665</v>
      </c>
      <c r="D294" s="11" t="n">
        <f aca="false">C294/B294</f>
        <v>1.26013482736631</v>
      </c>
      <c r="L294" s="0"/>
    </row>
    <row r="295" customFormat="false" ht="12.8" hidden="false" customHeight="false" outlineLevel="0" collapsed="false">
      <c r="A295" s="6" t="s">
        <v>335</v>
      </c>
      <c r="B295" s="6" t="n">
        <v>7617</v>
      </c>
      <c r="C295" s="6" t="n">
        <v>8904</v>
      </c>
      <c r="D295" s="11" t="n">
        <f aca="false">C295/B295</f>
        <v>1.16896415911776</v>
      </c>
      <c r="L295" s="0"/>
    </row>
    <row r="296" customFormat="false" ht="12.8" hidden="false" customHeight="false" outlineLevel="0" collapsed="false">
      <c r="A296" s="6" t="s">
        <v>336</v>
      </c>
      <c r="B296" s="6" t="n">
        <v>47282</v>
      </c>
      <c r="C296" s="6" t="n">
        <v>70960</v>
      </c>
      <c r="D296" s="11" t="n">
        <f aca="false">C296/B296</f>
        <v>1.5007825388097</v>
      </c>
      <c r="L296" s="0"/>
    </row>
    <row r="297" customFormat="false" ht="12.8" hidden="false" customHeight="false" outlineLevel="0" collapsed="false">
      <c r="A297" s="6" t="s">
        <v>337</v>
      </c>
      <c r="B297" s="6" t="n">
        <v>38870</v>
      </c>
      <c r="C297" s="6" t="n">
        <v>65746</v>
      </c>
      <c r="D297" s="11" t="n">
        <f aca="false">C297/B297</f>
        <v>1.69143298173399</v>
      </c>
      <c r="L297" s="0"/>
    </row>
    <row r="298" customFormat="false" ht="12.8" hidden="false" customHeight="false" outlineLevel="0" collapsed="false">
      <c r="A298" s="6" t="s">
        <v>338</v>
      </c>
      <c r="B298" s="6" t="n">
        <v>53892</v>
      </c>
      <c r="C298" s="6" t="n">
        <v>109062</v>
      </c>
      <c r="D298" s="11" t="n">
        <f aca="false">C298/B298</f>
        <v>2.02371409485638</v>
      </c>
      <c r="L298" s="0"/>
    </row>
    <row r="299" customFormat="false" ht="12.8" hidden="false" customHeight="false" outlineLevel="0" collapsed="false">
      <c r="A299" s="6" t="s">
        <v>339</v>
      </c>
      <c r="B299" s="6" t="n">
        <v>9580</v>
      </c>
      <c r="C299" s="6" t="n">
        <v>8784</v>
      </c>
      <c r="D299" s="11" t="n">
        <f aca="false">C299/B299</f>
        <v>0.916910229645094</v>
      </c>
      <c r="L299" s="0"/>
    </row>
    <row r="300" customFormat="false" ht="12.8" hidden="false" customHeight="false" outlineLevel="0" collapsed="false">
      <c r="A300" s="6" t="s">
        <v>340</v>
      </c>
      <c r="B300" s="6" t="n">
        <v>10016</v>
      </c>
      <c r="C300" s="6" t="n">
        <v>8915</v>
      </c>
      <c r="D300" s="11" t="n">
        <f aca="false">C300/B300</f>
        <v>0.890075878594249</v>
      </c>
      <c r="L300" s="0"/>
    </row>
    <row r="301" customFormat="false" ht="12.8" hidden="false" customHeight="false" outlineLevel="0" collapsed="false">
      <c r="A301" s="6" t="s">
        <v>341</v>
      </c>
      <c r="B301" s="6" t="n">
        <v>5911</v>
      </c>
      <c r="C301" s="6" t="n">
        <v>6505</v>
      </c>
      <c r="D301" s="11" t="n">
        <f aca="false">C301/B301</f>
        <v>1.10049061072577</v>
      </c>
      <c r="L301" s="0"/>
    </row>
    <row r="302" customFormat="false" ht="12.8" hidden="false" customHeight="false" outlineLevel="0" collapsed="false">
      <c r="A302" s="6" t="s">
        <v>342</v>
      </c>
      <c r="B302" s="6" t="n">
        <v>2805</v>
      </c>
      <c r="C302" s="6" t="n">
        <v>10552</v>
      </c>
      <c r="D302" s="11" t="n">
        <f aca="false">C302/B302</f>
        <v>3.76185383244207</v>
      </c>
      <c r="L302" s="0"/>
    </row>
    <row r="303" customFormat="false" ht="12.8" hidden="false" customHeight="false" outlineLevel="0" collapsed="false">
      <c r="A303" s="6" t="s">
        <v>343</v>
      </c>
      <c r="B303" s="6" t="n">
        <v>71879</v>
      </c>
      <c r="C303" s="6" t="n">
        <v>127328</v>
      </c>
      <c r="D303" s="11" t="n">
        <f aca="false">C303/B303</f>
        <v>1.77142141654725</v>
      </c>
      <c r="L303" s="0"/>
    </row>
    <row r="304" customFormat="false" ht="12.8" hidden="false" customHeight="false" outlineLevel="0" collapsed="false">
      <c r="A304" s="6" t="s">
        <v>344</v>
      </c>
      <c r="B304" s="6" t="n">
        <v>33679</v>
      </c>
      <c r="C304" s="6" t="n">
        <v>43203</v>
      </c>
      <c r="D304" s="11" t="n">
        <f aca="false">C304/B304</f>
        <v>1.28278749369043</v>
      </c>
      <c r="L304" s="0"/>
    </row>
    <row r="305" customFormat="false" ht="12.8" hidden="false" customHeight="false" outlineLevel="0" collapsed="false">
      <c r="A305" s="6" t="s">
        <v>345</v>
      </c>
      <c r="B305" s="6" t="n">
        <v>1757</v>
      </c>
      <c r="C305" s="6" t="n">
        <v>2988</v>
      </c>
      <c r="D305" s="11" t="n">
        <f aca="false">C305/B305</f>
        <v>1.70062606715993</v>
      </c>
      <c r="L305" s="0"/>
    </row>
    <row r="306" customFormat="false" ht="12.8" hidden="false" customHeight="false" outlineLevel="0" collapsed="false">
      <c r="A306" s="6" t="s">
        <v>34</v>
      </c>
      <c r="B306" s="6" t="n">
        <v>17950</v>
      </c>
      <c r="C306" s="6" t="n">
        <v>6524</v>
      </c>
      <c r="D306" s="11" t="n">
        <f aca="false">C306/B306</f>
        <v>0.363454038997214</v>
      </c>
      <c r="L306" s="0"/>
    </row>
    <row r="307" customFormat="false" ht="12.8" hidden="false" customHeight="false" outlineLevel="0" collapsed="false">
      <c r="A307" s="6" t="s">
        <v>33</v>
      </c>
      <c r="B307" s="6" t="n">
        <v>10426</v>
      </c>
      <c r="C307" s="6" t="n">
        <v>26094</v>
      </c>
      <c r="D307" s="11" t="n">
        <f aca="false">C307/B307</f>
        <v>2.50278150776904</v>
      </c>
      <c r="L307" s="0"/>
    </row>
    <row r="308" customFormat="false" ht="12.8" hidden="false" customHeight="false" outlineLevel="0" collapsed="false">
      <c r="A308" s="6" t="s">
        <v>346</v>
      </c>
      <c r="B308" s="6" t="n">
        <v>61328</v>
      </c>
      <c r="C308" s="6" t="n">
        <v>61203</v>
      </c>
      <c r="D308" s="11" t="n">
        <f aca="false">C308/B308</f>
        <v>0.997961779285155</v>
      </c>
      <c r="L308" s="0"/>
    </row>
    <row r="309" customFormat="false" ht="12.8" hidden="false" customHeight="false" outlineLevel="0" collapsed="false">
      <c r="A309" s="6" t="s">
        <v>347</v>
      </c>
      <c r="B309" s="6" t="n">
        <v>12221</v>
      </c>
      <c r="C309" s="6" t="n">
        <v>16687</v>
      </c>
      <c r="D309" s="11" t="n">
        <f aca="false">C309/B309</f>
        <v>1.36543654365437</v>
      </c>
      <c r="L309" s="0"/>
    </row>
    <row r="310" customFormat="false" ht="12.8" hidden="false" customHeight="false" outlineLevel="0" collapsed="false">
      <c r="A310" s="6" t="s">
        <v>348</v>
      </c>
      <c r="B310" s="6" t="n">
        <v>10248</v>
      </c>
      <c r="C310" s="6" t="n">
        <v>8835</v>
      </c>
      <c r="D310" s="11" t="n">
        <f aca="false">C310/B310</f>
        <v>0.86211943793911</v>
      </c>
      <c r="L310" s="0"/>
    </row>
    <row r="311" customFormat="false" ht="12.8" hidden="false" customHeight="false" outlineLevel="0" collapsed="false">
      <c r="A311" s="6" t="s">
        <v>349</v>
      </c>
      <c r="B311" s="6" t="n">
        <v>42813</v>
      </c>
      <c r="C311" s="6" t="n">
        <v>89601</v>
      </c>
      <c r="D311" s="11" t="n">
        <f aca="false">C311/B311</f>
        <v>2.09284563099993</v>
      </c>
      <c r="L311" s="0"/>
    </row>
    <row r="312" customFormat="false" ht="12.8" hidden="false" customHeight="false" outlineLevel="0" collapsed="false">
      <c r="A312" s="6" t="s">
        <v>350</v>
      </c>
      <c r="B312" s="6" t="n">
        <v>52084</v>
      </c>
      <c r="C312" s="6" t="n">
        <v>84618</v>
      </c>
      <c r="D312" s="11" t="n">
        <f aca="false">C312/B312</f>
        <v>1.6246448045465</v>
      </c>
      <c r="L312" s="0"/>
    </row>
    <row r="313" customFormat="false" ht="12.8" hidden="false" customHeight="false" outlineLevel="0" collapsed="false">
      <c r="A313" s="6" t="s">
        <v>351</v>
      </c>
      <c r="B313" s="6" t="n">
        <v>6076</v>
      </c>
      <c r="C313" s="6" t="n">
        <v>12444</v>
      </c>
      <c r="D313" s="11" t="n">
        <f aca="false">C313/B313</f>
        <v>2.04805793285056</v>
      </c>
      <c r="L313" s="0"/>
    </row>
    <row r="314" customFormat="false" ht="12.8" hidden="false" customHeight="false" outlineLevel="0" collapsed="false">
      <c r="A314" s="6" t="s">
        <v>36</v>
      </c>
      <c r="B314" s="6" t="n">
        <v>97437</v>
      </c>
      <c r="C314" s="6" t="n">
        <v>340248</v>
      </c>
      <c r="D314" s="11" t="n">
        <f aca="false">C314/B314</f>
        <v>3.49197943286431</v>
      </c>
      <c r="L314" s="0"/>
    </row>
    <row r="315" customFormat="false" ht="12.8" hidden="false" customHeight="false" outlineLevel="0" collapsed="false">
      <c r="A315" s="6" t="s">
        <v>35</v>
      </c>
      <c r="B315" s="6" t="n">
        <v>165916</v>
      </c>
      <c r="C315" s="6" t="n">
        <v>3528</v>
      </c>
      <c r="D315" s="11" t="n">
        <f aca="false">C315/B315</f>
        <v>0.0212637720292196</v>
      </c>
      <c r="L315" s="0"/>
    </row>
    <row r="316" customFormat="false" ht="12.8" hidden="false" customHeight="false" outlineLevel="0" collapsed="false">
      <c r="A316" s="6" t="s">
        <v>352</v>
      </c>
      <c r="B316" s="6" t="n">
        <v>153414</v>
      </c>
      <c r="C316" s="6" t="n">
        <v>172913</v>
      </c>
      <c r="D316" s="11" t="n">
        <f aca="false">C316/B316</f>
        <v>1.12710052537578</v>
      </c>
      <c r="L316" s="0"/>
    </row>
    <row r="317" customFormat="false" ht="12.8" hidden="false" customHeight="false" outlineLevel="0" collapsed="false">
      <c r="A317" s="6" t="s">
        <v>353</v>
      </c>
      <c r="B317" s="6" t="n">
        <v>97818</v>
      </c>
      <c r="C317" s="6" t="n">
        <v>156496</v>
      </c>
      <c r="D317" s="11" t="n">
        <f aca="false">C317/B317</f>
        <v>1.59986914473819</v>
      </c>
      <c r="L317" s="0"/>
    </row>
    <row r="318" customFormat="false" ht="12.8" hidden="false" customHeight="false" outlineLevel="0" collapsed="false">
      <c r="A318" s="6" t="s">
        <v>354</v>
      </c>
      <c r="B318" s="6" t="n">
        <v>34310</v>
      </c>
      <c r="C318" s="6" t="n">
        <v>36158</v>
      </c>
      <c r="D318" s="11" t="n">
        <f aca="false">C318/B318</f>
        <v>1.05386184785777</v>
      </c>
      <c r="L318" s="0"/>
    </row>
    <row r="319" customFormat="false" ht="12.8" hidden="false" customHeight="false" outlineLevel="0" collapsed="false">
      <c r="A319" s="6" t="s">
        <v>355</v>
      </c>
      <c r="B319" s="6" t="n">
        <v>116031</v>
      </c>
      <c r="C319" s="6" t="n">
        <v>143792</v>
      </c>
      <c r="D319" s="11" t="n">
        <f aca="false">C319/B319</f>
        <v>1.23925502667391</v>
      </c>
      <c r="L319" s="0"/>
    </row>
    <row r="320" customFormat="false" ht="12.8" hidden="false" customHeight="false" outlineLevel="0" collapsed="false">
      <c r="A320" s="6" t="s">
        <v>356</v>
      </c>
      <c r="B320" s="6" t="n">
        <v>120664</v>
      </c>
      <c r="C320" s="6" t="n">
        <v>168389</v>
      </c>
      <c r="D320" s="11" t="n">
        <f aca="false">C320/B320</f>
        <v>1.39551979049261</v>
      </c>
      <c r="L320" s="0"/>
    </row>
    <row r="321" customFormat="false" ht="12.8" hidden="false" customHeight="false" outlineLevel="0" collapsed="false">
      <c r="A321" s="6" t="s">
        <v>357</v>
      </c>
      <c r="B321" s="6" t="n">
        <v>2059</v>
      </c>
      <c r="C321" s="6" t="n">
        <v>5349</v>
      </c>
      <c r="D321" s="11" t="n">
        <f aca="false">C321/B321</f>
        <v>2.59786304031083</v>
      </c>
      <c r="L321" s="0"/>
    </row>
    <row r="322" customFormat="false" ht="12.8" hidden="false" customHeight="false" outlineLevel="0" collapsed="false">
      <c r="A322" s="6" t="s">
        <v>358</v>
      </c>
      <c r="B322" s="6" t="n">
        <v>0</v>
      </c>
      <c r="C322" s="6" t="n">
        <v>0</v>
      </c>
      <c r="D322" s="11" t="n">
        <v>10</v>
      </c>
      <c r="L322" s="0"/>
    </row>
    <row r="323" customFormat="false" ht="12.8" hidden="false" customHeight="false" outlineLevel="0" collapsed="false">
      <c r="A323" s="6" t="s">
        <v>359</v>
      </c>
      <c r="B323" s="6" t="n">
        <v>18920</v>
      </c>
      <c r="C323" s="6" t="n">
        <v>25664</v>
      </c>
      <c r="D323" s="11" t="n">
        <f aca="false">C323/B323</f>
        <v>1.35644820295983</v>
      </c>
      <c r="L323" s="0"/>
    </row>
    <row r="324" customFormat="false" ht="12.8" hidden="false" customHeight="false" outlineLevel="0" collapsed="false">
      <c r="A324" s="6" t="s">
        <v>360</v>
      </c>
      <c r="B324" s="6" t="n">
        <v>93508</v>
      </c>
      <c r="C324" s="6" t="n">
        <v>137462</v>
      </c>
      <c r="D324" s="11" t="n">
        <f aca="false">C324/B324</f>
        <v>1.47005603798605</v>
      </c>
      <c r="L324" s="0"/>
    </row>
    <row r="325" customFormat="false" ht="12.8" hidden="false" customHeight="false" outlineLevel="0" collapsed="false">
      <c r="A325" s="6" t="s">
        <v>361</v>
      </c>
      <c r="B325" s="6" t="n">
        <v>11024</v>
      </c>
      <c r="C325" s="6" t="n">
        <v>14255</v>
      </c>
      <c r="D325" s="11" t="n">
        <f aca="false">C325/B325</f>
        <v>1.293087808418</v>
      </c>
      <c r="L325" s="0"/>
    </row>
    <row r="326" customFormat="false" ht="12.8" hidden="false" customHeight="false" outlineLevel="0" collapsed="false">
      <c r="A326" s="6" t="s">
        <v>362</v>
      </c>
      <c r="B326" s="6" t="n">
        <v>13103</v>
      </c>
      <c r="C326" s="6" t="n">
        <v>17550</v>
      </c>
      <c r="D326" s="11" t="n">
        <f aca="false">C326/B326</f>
        <v>1.33938792642906</v>
      </c>
      <c r="L326" s="0"/>
    </row>
    <row r="327" customFormat="false" ht="12.8" hidden="false" customHeight="false" outlineLevel="0" collapsed="false">
      <c r="A327" s="6" t="s">
        <v>363</v>
      </c>
      <c r="B327" s="6" t="n">
        <v>9111</v>
      </c>
      <c r="C327" s="6" t="n">
        <v>10336</v>
      </c>
      <c r="D327" s="11" t="n">
        <f aca="false">C327/B327</f>
        <v>1.13445285918121</v>
      </c>
      <c r="L327" s="0"/>
    </row>
    <row r="328" customFormat="false" ht="12.8" hidden="false" customHeight="false" outlineLevel="0" collapsed="false">
      <c r="A328" s="6" t="s">
        <v>364</v>
      </c>
      <c r="B328" s="6" t="n">
        <v>2990</v>
      </c>
      <c r="C328" s="6" t="n">
        <v>3656</v>
      </c>
      <c r="D328" s="11" t="n">
        <f aca="false">C328/B328</f>
        <v>1.22274247491639</v>
      </c>
      <c r="L328" s="0"/>
    </row>
    <row r="329" customFormat="false" ht="12.8" hidden="false" customHeight="false" outlineLevel="0" collapsed="false">
      <c r="A329" s="6" t="s">
        <v>365</v>
      </c>
      <c r="B329" s="6" t="n">
        <v>131525</v>
      </c>
      <c r="C329" s="6" t="n">
        <v>169206</v>
      </c>
      <c r="D329" s="11" t="n">
        <f aca="false">C329/B329</f>
        <v>1.28649306215548</v>
      </c>
      <c r="L329" s="0"/>
    </row>
    <row r="330" customFormat="false" ht="12.8" hidden="false" customHeight="false" outlineLevel="0" collapsed="false">
      <c r="A330" s="6" t="s">
        <v>366</v>
      </c>
      <c r="B330" s="6" t="n">
        <v>99401</v>
      </c>
      <c r="C330" s="6" t="n">
        <v>193560</v>
      </c>
      <c r="D330" s="11" t="n">
        <f aca="false">C330/B330</f>
        <v>1.94726411203107</v>
      </c>
      <c r="L330" s="0"/>
    </row>
    <row r="331" customFormat="false" ht="12.8" hidden="false" customHeight="false" outlineLevel="0" collapsed="false">
      <c r="A331" s="6" t="s">
        <v>367</v>
      </c>
      <c r="B331" s="6" t="n">
        <v>140481</v>
      </c>
      <c r="C331" s="6" t="n">
        <v>170895</v>
      </c>
      <c r="D331" s="11" t="n">
        <f aca="false">C331/B331</f>
        <v>1.21649902833835</v>
      </c>
      <c r="L331" s="0"/>
    </row>
    <row r="332" customFormat="false" ht="12.8" hidden="false" customHeight="false" outlineLevel="0" collapsed="false">
      <c r="A332" s="6" t="s">
        <v>368</v>
      </c>
      <c r="B332" s="6" t="n">
        <v>24875</v>
      </c>
      <c r="C332" s="6" t="n">
        <v>34653</v>
      </c>
      <c r="D332" s="11" t="n">
        <f aca="false">C332/B332</f>
        <v>1.39308542713568</v>
      </c>
      <c r="L332" s="0"/>
    </row>
    <row r="333" customFormat="false" ht="12.8" hidden="false" customHeight="false" outlineLevel="0" collapsed="false">
      <c r="A333" s="6" t="s">
        <v>369</v>
      </c>
      <c r="B333" s="6" t="n">
        <v>88558</v>
      </c>
      <c r="C333" s="6" t="n">
        <v>121726</v>
      </c>
      <c r="D333" s="11" t="n">
        <f aca="false">C333/B333</f>
        <v>1.3745342035728</v>
      </c>
      <c r="L333" s="0"/>
    </row>
    <row r="334" customFormat="false" ht="12.8" hidden="false" customHeight="false" outlineLevel="0" collapsed="false">
      <c r="A334" s="6" t="s">
        <v>370</v>
      </c>
      <c r="B334" s="6" t="n">
        <v>149700</v>
      </c>
      <c r="C334" s="6" t="n">
        <v>209010</v>
      </c>
      <c r="D334" s="11" t="n">
        <f aca="false">C334/B334</f>
        <v>1.39619238476954</v>
      </c>
      <c r="L334" s="0"/>
    </row>
    <row r="335" customFormat="false" ht="12.8" hidden="false" customHeight="false" outlineLevel="0" collapsed="false">
      <c r="A335" s="6" t="s">
        <v>371</v>
      </c>
      <c r="B335" s="6" t="n">
        <v>125104</v>
      </c>
      <c r="C335" s="6" t="n">
        <v>193329</v>
      </c>
      <c r="D335" s="11" t="n">
        <f aca="false">C335/B335</f>
        <v>1.54534627190178</v>
      </c>
      <c r="L335" s="0"/>
    </row>
    <row r="336" customFormat="false" ht="12.8" hidden="false" customHeight="false" outlineLevel="0" collapsed="false">
      <c r="A336" s="6" t="s">
        <v>372</v>
      </c>
      <c r="B336" s="6" t="n">
        <v>27523</v>
      </c>
      <c r="C336" s="6" t="n">
        <v>35661</v>
      </c>
      <c r="D336" s="11" t="n">
        <f aca="false">C336/B336</f>
        <v>1.29567997674672</v>
      </c>
      <c r="L336" s="0"/>
    </row>
    <row r="337" customFormat="false" ht="12.8" hidden="false" customHeight="false" outlineLevel="0" collapsed="false">
      <c r="A337" s="6" t="s">
        <v>373</v>
      </c>
      <c r="B337" s="6" t="n">
        <v>97150</v>
      </c>
      <c r="C337" s="6" t="n">
        <v>170558</v>
      </c>
      <c r="D337" s="11" t="n">
        <f aca="false">C337/B337</f>
        <v>1.75561502830674</v>
      </c>
      <c r="L337" s="0"/>
    </row>
    <row r="338" customFormat="false" ht="12.8" hidden="false" customHeight="false" outlineLevel="0" collapsed="false">
      <c r="A338" s="6" t="s">
        <v>374</v>
      </c>
      <c r="B338" s="6" t="n">
        <v>45888</v>
      </c>
      <c r="C338" s="6" t="n">
        <v>58166</v>
      </c>
      <c r="D338" s="11" t="n">
        <f aca="false">C338/B338</f>
        <v>1.26756450488145</v>
      </c>
      <c r="L338" s="0"/>
    </row>
    <row r="339" customFormat="false" ht="12.8" hidden="false" customHeight="false" outlineLevel="0" collapsed="false">
      <c r="A339" s="6" t="s">
        <v>375</v>
      </c>
      <c r="B339" s="6" t="n">
        <v>11468</v>
      </c>
      <c r="C339" s="6" t="n">
        <v>14576</v>
      </c>
      <c r="D339" s="11" t="n">
        <f aca="false">C339/B339</f>
        <v>1.27101499825602</v>
      </c>
      <c r="L339" s="0"/>
    </row>
    <row r="340" customFormat="false" ht="12.8" hidden="false" customHeight="false" outlineLevel="0" collapsed="false">
      <c r="A340" s="6" t="s">
        <v>376</v>
      </c>
      <c r="B340" s="6" t="n">
        <v>2172</v>
      </c>
      <c r="C340" s="6" t="n">
        <v>2234</v>
      </c>
      <c r="D340" s="11" t="n">
        <f aca="false">C340/B340</f>
        <v>1.02854511970534</v>
      </c>
      <c r="L340" s="0"/>
    </row>
    <row r="341" customFormat="false" ht="12.8" hidden="false" customHeight="false" outlineLevel="0" collapsed="false">
      <c r="A341" s="6" t="s">
        <v>377</v>
      </c>
      <c r="B341" s="6" t="n">
        <v>19253</v>
      </c>
      <c r="C341" s="6" t="n">
        <v>28619</v>
      </c>
      <c r="D341" s="11" t="n">
        <f aca="false">C341/B341</f>
        <v>1.48646964109489</v>
      </c>
      <c r="L341" s="0"/>
    </row>
    <row r="342" customFormat="false" ht="12.8" hidden="false" customHeight="false" outlineLevel="0" collapsed="false">
      <c r="A342" s="6" t="s">
        <v>378</v>
      </c>
      <c r="B342" s="6" t="n">
        <v>27448</v>
      </c>
      <c r="C342" s="6" t="n">
        <v>33646</v>
      </c>
      <c r="D342" s="11" t="n">
        <f aca="false">C342/B342</f>
        <v>1.22580880209851</v>
      </c>
      <c r="L342" s="0"/>
    </row>
    <row r="343" customFormat="false" ht="12.8" hidden="false" customHeight="false" outlineLevel="0" collapsed="false">
      <c r="A343" s="6" t="s">
        <v>379</v>
      </c>
      <c r="B343" s="6" t="n">
        <v>324518</v>
      </c>
      <c r="C343" s="6" t="n">
        <v>425103</v>
      </c>
      <c r="D343" s="11" t="n">
        <f aca="false">C343/B343</f>
        <v>1.30995199033644</v>
      </c>
      <c r="L343" s="0"/>
    </row>
    <row r="344" customFormat="false" ht="12.8" hidden="false" customHeight="false" outlineLevel="0" collapsed="false">
      <c r="A344" s="6" t="s">
        <v>380</v>
      </c>
      <c r="B344" s="6" t="n">
        <v>176327</v>
      </c>
      <c r="C344" s="6" t="n">
        <v>222596</v>
      </c>
      <c r="D344" s="11" t="n">
        <f aca="false">C344/B344</f>
        <v>1.26240450980281</v>
      </c>
      <c r="L344" s="0"/>
    </row>
    <row r="345" customFormat="false" ht="12.8" hidden="false" customHeight="false" outlineLevel="0" collapsed="false">
      <c r="A345" s="6" t="s">
        <v>381</v>
      </c>
      <c r="B345" s="6" t="n">
        <v>75161</v>
      </c>
      <c r="C345" s="6" t="n">
        <v>114022</v>
      </c>
      <c r="D345" s="11" t="n">
        <f aca="false">C345/B345</f>
        <v>1.5170367610862</v>
      </c>
      <c r="L345" s="0"/>
    </row>
    <row r="346" customFormat="false" ht="12.8" hidden="false" customHeight="false" outlineLevel="0" collapsed="false">
      <c r="A346" s="6" t="s">
        <v>382</v>
      </c>
      <c r="B346" s="6" t="n">
        <v>38562</v>
      </c>
      <c r="C346" s="6" t="n">
        <v>72701</v>
      </c>
      <c r="D346" s="11" t="n">
        <f aca="false">C346/B346</f>
        <v>1.88530159224107</v>
      </c>
      <c r="L346" s="0"/>
    </row>
    <row r="347" customFormat="false" ht="12.8" hidden="false" customHeight="false" outlineLevel="0" collapsed="false">
      <c r="A347" s="6" t="s">
        <v>383</v>
      </c>
      <c r="B347" s="6" t="n">
        <v>8062</v>
      </c>
      <c r="C347" s="6" t="n">
        <v>12363</v>
      </c>
      <c r="D347" s="11" t="n">
        <f aca="false">C347/B347</f>
        <v>1.53349044902009</v>
      </c>
      <c r="L347" s="0"/>
    </row>
    <row r="348" customFormat="false" ht="12.8" hidden="false" customHeight="false" outlineLevel="0" collapsed="false">
      <c r="A348" s="6" t="s">
        <v>384</v>
      </c>
      <c r="B348" s="6" t="n">
        <v>33176</v>
      </c>
      <c r="C348" s="6" t="n">
        <v>54201</v>
      </c>
      <c r="D348" s="11" t="n">
        <f aca="false">C348/B348</f>
        <v>1.63374125874126</v>
      </c>
      <c r="L348" s="0"/>
    </row>
    <row r="349" customFormat="false" ht="12.8" hidden="false" customHeight="false" outlineLevel="0" collapsed="false">
      <c r="A349" s="6" t="s">
        <v>385</v>
      </c>
      <c r="B349" s="6" t="n">
        <v>17878</v>
      </c>
      <c r="C349" s="6" t="n">
        <v>19289</v>
      </c>
      <c r="D349" s="11" t="n">
        <f aca="false">C349/B349</f>
        <v>1.07892381698177</v>
      </c>
      <c r="L349" s="0"/>
    </row>
    <row r="350" customFormat="false" ht="12.8" hidden="false" customHeight="false" outlineLevel="0" collapsed="false">
      <c r="A350" s="6" t="s">
        <v>386</v>
      </c>
      <c r="B350" s="6" t="n">
        <v>37273</v>
      </c>
      <c r="C350" s="6" t="n">
        <v>54182</v>
      </c>
      <c r="D350" s="11" t="n">
        <f aca="false">C350/B350</f>
        <v>1.4536527781504</v>
      </c>
      <c r="L350" s="0"/>
    </row>
    <row r="351" customFormat="false" ht="12.8" hidden="false" customHeight="false" outlineLevel="0" collapsed="false">
      <c r="A351" s="6" t="s">
        <v>387</v>
      </c>
      <c r="B351" s="6" t="n">
        <v>22892</v>
      </c>
      <c r="C351" s="6" t="n">
        <v>23428</v>
      </c>
      <c r="D351" s="11" t="n">
        <f aca="false">C351/B351</f>
        <v>1.02341429320287</v>
      </c>
      <c r="L351" s="0"/>
    </row>
    <row r="352" customFormat="false" ht="12.8" hidden="false" customHeight="false" outlineLevel="0" collapsed="false">
      <c r="A352" s="6" t="s">
        <v>388</v>
      </c>
      <c r="B352" s="6" t="n">
        <v>30195</v>
      </c>
      <c r="C352" s="6" t="n">
        <v>41119</v>
      </c>
      <c r="D352" s="11" t="n">
        <f aca="false">C352/B352</f>
        <v>1.36178175194569</v>
      </c>
      <c r="L352" s="0"/>
    </row>
    <row r="353" customFormat="false" ht="12.8" hidden="false" customHeight="false" outlineLevel="0" collapsed="false">
      <c r="A353" s="6" t="s">
        <v>389</v>
      </c>
      <c r="B353" s="6" t="n">
        <v>34563</v>
      </c>
      <c r="C353" s="6" t="n">
        <v>61722</v>
      </c>
      <c r="D353" s="11" t="n">
        <f aca="false">C353/B353</f>
        <v>1.78578248415936</v>
      </c>
      <c r="L353" s="0"/>
    </row>
    <row r="354" customFormat="false" ht="12.8" hidden="false" customHeight="false" outlineLevel="0" collapsed="false">
      <c r="A354" s="6" t="s">
        <v>390</v>
      </c>
      <c r="B354" s="6" t="n">
        <v>121810</v>
      </c>
      <c r="C354" s="6" t="n">
        <v>131342</v>
      </c>
      <c r="D354" s="11" t="n">
        <f aca="false">C354/B354</f>
        <v>1.07825301699368</v>
      </c>
      <c r="L354" s="0"/>
    </row>
    <row r="355" customFormat="false" ht="12.8" hidden="false" customHeight="false" outlineLevel="0" collapsed="false">
      <c r="A355" s="6" t="s">
        <v>391</v>
      </c>
      <c r="B355" s="6" t="n">
        <v>36048</v>
      </c>
      <c r="C355" s="6" t="n">
        <v>48321</v>
      </c>
      <c r="D355" s="11" t="n">
        <f aca="false">C355/B355</f>
        <v>1.34046271637816</v>
      </c>
      <c r="L355" s="0"/>
    </row>
    <row r="356" customFormat="false" ht="12.8" hidden="false" customHeight="false" outlineLevel="0" collapsed="false">
      <c r="A356" s="6" t="s">
        <v>392</v>
      </c>
      <c r="B356" s="6" t="n">
        <v>279251</v>
      </c>
      <c r="C356" s="6" t="n">
        <v>362353</v>
      </c>
      <c r="D356" s="11" t="n">
        <f aca="false">C356/B356</f>
        <v>1.29758890747034</v>
      </c>
      <c r="L356" s="0"/>
    </row>
    <row r="357" customFormat="false" ht="12.8" hidden="false" customHeight="false" outlineLevel="0" collapsed="false">
      <c r="A357" s="6" t="s">
        <v>393</v>
      </c>
      <c r="B357" s="6" t="n">
        <v>57872</v>
      </c>
      <c r="C357" s="6" t="n">
        <v>74387</v>
      </c>
      <c r="D357" s="11" t="n">
        <f aca="false">C357/B357</f>
        <v>1.28537116394802</v>
      </c>
      <c r="L357" s="0"/>
    </row>
    <row r="358" customFormat="false" ht="12.8" hidden="false" customHeight="false" outlineLevel="0" collapsed="false">
      <c r="A358" s="6" t="s">
        <v>394</v>
      </c>
      <c r="B358" s="6" t="n">
        <v>43302</v>
      </c>
      <c r="C358" s="6" t="n">
        <v>63606</v>
      </c>
      <c r="D358" s="11" t="n">
        <f aca="false">C358/B358</f>
        <v>1.46889289178329</v>
      </c>
      <c r="L358" s="0"/>
    </row>
    <row r="359" customFormat="false" ht="12.8" hidden="false" customHeight="false" outlineLevel="0" collapsed="false">
      <c r="A359" s="6" t="s">
        <v>395</v>
      </c>
      <c r="B359" s="6" t="n">
        <v>73909</v>
      </c>
      <c r="C359" s="6" t="n">
        <v>96074</v>
      </c>
      <c r="D359" s="11" t="n">
        <f aca="false">C359/B359</f>
        <v>1.29989581783003</v>
      </c>
      <c r="L359" s="0"/>
    </row>
    <row r="360" customFormat="false" ht="12.8" hidden="false" customHeight="false" outlineLevel="0" collapsed="false">
      <c r="A360" s="6" t="s">
        <v>396</v>
      </c>
      <c r="B360" s="6" t="n">
        <v>20867</v>
      </c>
      <c r="C360" s="6" t="n">
        <v>28979</v>
      </c>
      <c r="D360" s="11" t="n">
        <f aca="false">C360/B360</f>
        <v>1.38874778358173</v>
      </c>
      <c r="L360" s="0"/>
    </row>
    <row r="361" customFormat="false" ht="12.8" hidden="false" customHeight="false" outlineLevel="0" collapsed="false">
      <c r="A361" s="6" t="s">
        <v>397</v>
      </c>
      <c r="B361" s="6" t="n">
        <v>52907</v>
      </c>
      <c r="C361" s="6" t="n">
        <v>70978</v>
      </c>
      <c r="D361" s="11" t="n">
        <f aca="false">C361/B361</f>
        <v>1.34156160810479</v>
      </c>
      <c r="L361" s="0"/>
    </row>
    <row r="362" customFormat="false" ht="12.8" hidden="false" customHeight="false" outlineLevel="0" collapsed="false">
      <c r="A362" s="6" t="s">
        <v>398</v>
      </c>
      <c r="B362" s="6" t="n">
        <v>17101</v>
      </c>
      <c r="C362" s="6" t="n">
        <v>23041</v>
      </c>
      <c r="D362" s="11" t="n">
        <f aca="false">C362/B362</f>
        <v>1.34734810829776</v>
      </c>
      <c r="L362" s="0"/>
    </row>
    <row r="363" customFormat="false" ht="12.8" hidden="false" customHeight="false" outlineLevel="0" collapsed="false">
      <c r="A363" s="6" t="s">
        <v>399</v>
      </c>
      <c r="B363" s="6" t="n">
        <v>396274</v>
      </c>
      <c r="C363" s="6" t="n">
        <v>495498</v>
      </c>
      <c r="D363" s="11" t="n">
        <f aca="false">C363/B363</f>
        <v>1.25039240525495</v>
      </c>
      <c r="L363" s="0"/>
    </row>
    <row r="364" customFormat="false" ht="12.8" hidden="false" customHeight="false" outlineLevel="0" collapsed="false">
      <c r="A364" s="6" t="s">
        <v>400</v>
      </c>
      <c r="B364" s="6" t="n">
        <v>98255</v>
      </c>
      <c r="C364" s="6" t="n">
        <v>113244</v>
      </c>
      <c r="D364" s="11" t="n">
        <f aca="false">C364/B364</f>
        <v>1.15255203297542</v>
      </c>
      <c r="L364" s="0"/>
    </row>
    <row r="365" customFormat="false" ht="12.8" hidden="false" customHeight="false" outlineLevel="0" collapsed="false">
      <c r="A365" s="6" t="s">
        <v>401</v>
      </c>
      <c r="B365" s="6" t="n">
        <v>33285</v>
      </c>
      <c r="C365" s="6" t="n">
        <v>47660</v>
      </c>
      <c r="D365" s="11" t="n">
        <f aca="false">C365/B365</f>
        <v>1.43187622051975</v>
      </c>
      <c r="L365" s="0"/>
    </row>
    <row r="366" customFormat="false" ht="12.8" hidden="false" customHeight="false" outlineLevel="0" collapsed="false">
      <c r="A366" s="6" t="s">
        <v>402</v>
      </c>
      <c r="B366" s="6" t="n">
        <v>68790</v>
      </c>
      <c r="C366" s="6" t="n">
        <v>109384</v>
      </c>
      <c r="D366" s="11" t="n">
        <f aca="false">C366/B366</f>
        <v>1.59011484227359</v>
      </c>
      <c r="L366" s="0"/>
    </row>
    <row r="367" customFormat="false" ht="12.8" hidden="false" customHeight="false" outlineLevel="0" collapsed="false">
      <c r="A367" s="6" t="s">
        <v>403</v>
      </c>
      <c r="B367" s="6" t="n">
        <v>25402</v>
      </c>
      <c r="C367" s="6" t="n">
        <v>32732</v>
      </c>
      <c r="D367" s="11" t="n">
        <f aca="false">C367/B367</f>
        <v>1.28855995590898</v>
      </c>
      <c r="L367" s="0"/>
    </row>
    <row r="368" customFormat="false" ht="12.8" hidden="false" customHeight="false" outlineLevel="0" collapsed="false">
      <c r="A368" s="6" t="s">
        <v>404</v>
      </c>
      <c r="B368" s="6" t="n">
        <v>19894</v>
      </c>
      <c r="C368" s="6" t="n">
        <v>24735</v>
      </c>
      <c r="D368" s="11" t="n">
        <f aca="false">C368/B368</f>
        <v>1.24333970041218</v>
      </c>
      <c r="L368" s="0"/>
    </row>
    <row r="369" customFormat="false" ht="12.8" hidden="false" customHeight="false" outlineLevel="0" collapsed="false">
      <c r="A369" s="6" t="s">
        <v>405</v>
      </c>
      <c r="B369" s="6" t="n">
        <v>7264</v>
      </c>
      <c r="C369" s="6" t="n">
        <v>7892</v>
      </c>
      <c r="D369" s="11" t="n">
        <f aca="false">C369/B369</f>
        <v>1.08645374449339</v>
      </c>
      <c r="L369" s="0"/>
    </row>
    <row r="370" customFormat="false" ht="12.8" hidden="false" customHeight="false" outlineLevel="0" collapsed="false">
      <c r="A370" s="6" t="s">
        <v>406</v>
      </c>
      <c r="B370" s="6" t="n">
        <v>25961</v>
      </c>
      <c r="C370" s="6" t="n">
        <v>33639</v>
      </c>
      <c r="D370" s="11" t="n">
        <f aca="false">C370/B370</f>
        <v>1.29575131928662</v>
      </c>
      <c r="L370" s="0"/>
    </row>
    <row r="371" customFormat="false" ht="12.8" hidden="false" customHeight="false" outlineLevel="0" collapsed="false">
      <c r="A371" s="6" t="s">
        <v>407</v>
      </c>
      <c r="B371" s="6" t="n">
        <v>9125</v>
      </c>
      <c r="C371" s="6" t="n">
        <v>10897</v>
      </c>
      <c r="D371" s="11" t="n">
        <f aca="false">C371/B371</f>
        <v>1.19419178082192</v>
      </c>
      <c r="L371" s="0"/>
    </row>
    <row r="372" customFormat="false" ht="12.8" hidden="false" customHeight="false" outlineLevel="0" collapsed="false">
      <c r="A372" s="6" t="s">
        <v>408</v>
      </c>
      <c r="B372" s="6" t="n">
        <v>10192</v>
      </c>
      <c r="C372" s="6" t="n">
        <v>14201</v>
      </c>
      <c r="D372" s="11" t="n">
        <f aca="false">C372/B372</f>
        <v>1.39334772370487</v>
      </c>
      <c r="L372" s="0"/>
    </row>
    <row r="373" customFormat="false" ht="12.8" hidden="false" customHeight="false" outlineLevel="0" collapsed="false">
      <c r="A373" s="6" t="s">
        <v>409</v>
      </c>
      <c r="B373" s="6" t="n">
        <v>6975</v>
      </c>
      <c r="C373" s="6" t="n">
        <v>8837</v>
      </c>
      <c r="D373" s="11" t="n">
        <f aca="false">C373/B373</f>
        <v>1.26695340501792</v>
      </c>
      <c r="L373" s="0"/>
    </row>
    <row r="374" customFormat="false" ht="12.8" hidden="false" customHeight="false" outlineLevel="0" collapsed="false">
      <c r="A374" s="6" t="s">
        <v>410</v>
      </c>
      <c r="B374" s="6" t="n">
        <v>8012</v>
      </c>
      <c r="C374" s="6" t="n">
        <v>8822</v>
      </c>
      <c r="D374" s="11" t="n">
        <f aca="false">C374/B374</f>
        <v>1.10109835247129</v>
      </c>
      <c r="L374" s="0"/>
    </row>
    <row r="375" customFormat="false" ht="12.8" hidden="false" customHeight="false" outlineLevel="0" collapsed="false">
      <c r="A375" s="6" t="s">
        <v>411</v>
      </c>
      <c r="B375" s="6" t="n">
        <v>9103</v>
      </c>
      <c r="C375" s="6" t="n">
        <v>12115</v>
      </c>
      <c r="D375" s="11" t="n">
        <f aca="false">C375/B375</f>
        <v>1.33087992969351</v>
      </c>
      <c r="L375" s="0"/>
    </row>
    <row r="376" customFormat="false" ht="12.8" hidden="false" customHeight="false" outlineLevel="0" collapsed="false">
      <c r="A376" s="6" t="s">
        <v>412</v>
      </c>
      <c r="B376" s="6" t="n">
        <v>37082</v>
      </c>
      <c r="C376" s="6" t="n">
        <v>46688</v>
      </c>
      <c r="D376" s="11" t="n">
        <f aca="false">C376/B376</f>
        <v>1.25904751631519</v>
      </c>
      <c r="L376" s="0"/>
    </row>
    <row r="377" customFormat="false" ht="12.8" hidden="false" customHeight="false" outlineLevel="0" collapsed="false">
      <c r="A377" s="6" t="s">
        <v>413</v>
      </c>
      <c r="B377" s="6" t="n">
        <v>82723</v>
      </c>
      <c r="C377" s="6" t="n">
        <v>92854</v>
      </c>
      <c r="D377" s="11" t="n">
        <f aca="false">C377/B377</f>
        <v>1.12246896268269</v>
      </c>
      <c r="L377" s="0"/>
    </row>
    <row r="378" customFormat="false" ht="12.8" hidden="false" customHeight="false" outlineLevel="0" collapsed="false">
      <c r="A378" s="6" t="s">
        <v>414</v>
      </c>
      <c r="B378" s="6" t="n">
        <v>153383</v>
      </c>
      <c r="C378" s="6" t="n">
        <v>199081</v>
      </c>
      <c r="D378" s="11" t="n">
        <f aca="false">C378/B378</f>
        <v>1.29793393009656</v>
      </c>
      <c r="L378" s="0"/>
    </row>
    <row r="379" customFormat="false" ht="12.8" hidden="false" customHeight="false" outlineLevel="0" collapsed="false">
      <c r="A379" s="6" t="s">
        <v>415</v>
      </c>
      <c r="B379" s="6" t="n">
        <v>92629</v>
      </c>
      <c r="C379" s="6" t="n">
        <v>130386</v>
      </c>
      <c r="D379" s="11" t="n">
        <f aca="false">C379/B379</f>
        <v>1.40761532565395</v>
      </c>
      <c r="L379" s="0"/>
    </row>
    <row r="380" customFormat="false" ht="12.8" hidden="false" customHeight="false" outlineLevel="0" collapsed="false">
      <c r="A380" s="6" t="s">
        <v>416</v>
      </c>
      <c r="B380" s="6" t="n">
        <v>52024</v>
      </c>
      <c r="C380" s="6" t="n">
        <v>73359</v>
      </c>
      <c r="D380" s="11" t="n">
        <f aca="false">C380/B380</f>
        <v>1.41009918499154</v>
      </c>
      <c r="L380" s="0"/>
    </row>
    <row r="381" customFormat="false" ht="12.8" hidden="false" customHeight="false" outlineLevel="0" collapsed="false">
      <c r="A381" s="6" t="s">
        <v>417</v>
      </c>
      <c r="B381" s="6" t="n">
        <v>45483</v>
      </c>
      <c r="C381" s="6" t="n">
        <v>60124</v>
      </c>
      <c r="D381" s="11" t="n">
        <f aca="false">C381/B381</f>
        <v>1.32190049029308</v>
      </c>
      <c r="L381" s="0"/>
    </row>
    <row r="382" customFormat="false" ht="12.8" hidden="false" customHeight="false" outlineLevel="0" collapsed="false">
      <c r="A382" s="6" t="s">
        <v>418</v>
      </c>
      <c r="B382" s="6" t="n">
        <v>8659</v>
      </c>
      <c r="C382" s="6" t="n">
        <v>8083</v>
      </c>
      <c r="D382" s="11" t="n">
        <f aca="false">C382/B382</f>
        <v>0.933479616583901</v>
      </c>
      <c r="L382" s="0"/>
    </row>
    <row r="383" customFormat="false" ht="12.8" hidden="false" customHeight="false" outlineLevel="0" collapsed="false">
      <c r="A383" s="6" t="s">
        <v>419</v>
      </c>
      <c r="B383" s="6" t="n">
        <v>15059</v>
      </c>
      <c r="C383" s="6" t="n">
        <v>20084</v>
      </c>
      <c r="D383" s="11" t="n">
        <f aca="false">C383/B383</f>
        <v>1.33368749584966</v>
      </c>
      <c r="L383" s="0"/>
    </row>
    <row r="384" customFormat="false" ht="12.8" hidden="false" customHeight="false" outlineLevel="0" collapsed="false">
      <c r="A384" s="6" t="s">
        <v>420</v>
      </c>
      <c r="B384" s="6" t="n">
        <v>6344</v>
      </c>
      <c r="C384" s="6" t="n">
        <v>4673</v>
      </c>
      <c r="D384" s="11" t="n">
        <f aca="false">C384/B384</f>
        <v>0.736601513240858</v>
      </c>
      <c r="L384" s="0"/>
    </row>
    <row r="385" customFormat="false" ht="12.8" hidden="false" customHeight="false" outlineLevel="0" collapsed="false">
      <c r="A385" s="6" t="s">
        <v>421</v>
      </c>
      <c r="B385" s="6" t="n">
        <v>29909</v>
      </c>
      <c r="C385" s="6" t="n">
        <v>34196</v>
      </c>
      <c r="D385" s="11" t="n">
        <f aca="false">C385/B385</f>
        <v>1.14333478217259</v>
      </c>
      <c r="L385" s="0"/>
    </row>
    <row r="386" customFormat="false" ht="12.8" hidden="false" customHeight="false" outlineLevel="0" collapsed="false">
      <c r="A386" s="6" t="s">
        <v>422</v>
      </c>
      <c r="B386" s="6" t="n">
        <v>7741</v>
      </c>
      <c r="C386" s="6" t="n">
        <v>10154</v>
      </c>
      <c r="D386" s="11" t="n">
        <f aca="false">C386/B386</f>
        <v>1.31171683245059</v>
      </c>
      <c r="L386" s="0"/>
    </row>
    <row r="387" customFormat="false" ht="12.8" hidden="false" customHeight="false" outlineLevel="0" collapsed="false">
      <c r="A387" s="6" t="s">
        <v>423</v>
      </c>
      <c r="B387" s="6" t="n">
        <v>13444</v>
      </c>
      <c r="C387" s="6" t="n">
        <v>15122</v>
      </c>
      <c r="D387" s="11" t="n">
        <f aca="false">C387/B387</f>
        <v>1.12481404343945</v>
      </c>
      <c r="L387" s="0"/>
    </row>
    <row r="388" customFormat="false" ht="12.8" hidden="false" customHeight="false" outlineLevel="0" collapsed="false">
      <c r="A388" s="6" t="s">
        <v>424</v>
      </c>
      <c r="B388" s="6" t="n">
        <v>18426</v>
      </c>
      <c r="C388" s="6" t="n">
        <v>20228</v>
      </c>
      <c r="D388" s="11" t="n">
        <f aca="false">C388/B388</f>
        <v>1.0977965917725</v>
      </c>
      <c r="L388" s="0"/>
    </row>
    <row r="389" customFormat="false" ht="12.8" hidden="false" customHeight="false" outlineLevel="0" collapsed="false">
      <c r="A389" s="6" t="s">
        <v>425</v>
      </c>
      <c r="B389" s="6" t="n">
        <v>57158</v>
      </c>
      <c r="C389" s="6" t="n">
        <v>37223</v>
      </c>
      <c r="D389" s="11" t="n">
        <f aca="false">C389/B389</f>
        <v>0.651229924070121</v>
      </c>
      <c r="L389" s="0"/>
    </row>
    <row r="390" customFormat="false" ht="12.8" hidden="false" customHeight="false" outlineLevel="0" collapsed="false">
      <c r="A390" s="6" t="s">
        <v>426</v>
      </c>
      <c r="B390" s="6" t="n">
        <v>29428</v>
      </c>
      <c r="C390" s="6" t="n">
        <v>64292</v>
      </c>
      <c r="D390" s="11" t="n">
        <f aca="false">C390/B390</f>
        <v>2.18472203343754</v>
      </c>
      <c r="L390" s="0"/>
    </row>
    <row r="391" customFormat="false" ht="12.8" hidden="false" customHeight="false" outlineLevel="0" collapsed="false">
      <c r="A391" s="6" t="s">
        <v>427</v>
      </c>
      <c r="B391" s="6" t="n">
        <v>55157</v>
      </c>
      <c r="C391" s="6" t="n">
        <v>93671</v>
      </c>
      <c r="D391" s="11" t="n">
        <f aca="false">C391/B391</f>
        <v>1.69826132675816</v>
      </c>
      <c r="L391" s="0"/>
    </row>
    <row r="392" customFormat="false" ht="12.8" hidden="false" customHeight="false" outlineLevel="0" collapsed="false">
      <c r="A392" s="6" t="s">
        <v>428</v>
      </c>
      <c r="B392" s="6" t="n">
        <v>18684</v>
      </c>
      <c r="C392" s="6" t="n">
        <v>25097</v>
      </c>
      <c r="D392" s="11" t="n">
        <f aca="false">C392/B392</f>
        <v>1.34323485335046</v>
      </c>
      <c r="L392" s="0"/>
    </row>
    <row r="393" customFormat="false" ht="12.8" hidden="false" customHeight="false" outlineLevel="0" collapsed="false">
      <c r="A393" s="6" t="s">
        <v>429</v>
      </c>
      <c r="B393" s="6" t="n">
        <v>246097</v>
      </c>
      <c r="C393" s="6" t="n">
        <v>301498</v>
      </c>
      <c r="D393" s="11" t="n">
        <f aca="false">C393/B393</f>
        <v>1.22511855081533</v>
      </c>
      <c r="L393" s="0"/>
    </row>
    <row r="394" customFormat="false" ht="12.8" hidden="false" customHeight="false" outlineLevel="0" collapsed="false">
      <c r="A394" s="6" t="s">
        <v>430</v>
      </c>
      <c r="B394" s="6" t="n">
        <v>184220</v>
      </c>
      <c r="C394" s="6" t="n">
        <v>223249</v>
      </c>
      <c r="D394" s="11" t="n">
        <f aca="false">C394/B394</f>
        <v>1.21186081858647</v>
      </c>
      <c r="L394" s="0"/>
    </row>
    <row r="395" customFormat="false" ht="12.8" hidden="false" customHeight="false" outlineLevel="0" collapsed="false">
      <c r="A395" s="6" t="s">
        <v>431</v>
      </c>
      <c r="B395" s="6" t="n">
        <v>54249</v>
      </c>
      <c r="C395" s="6" t="n">
        <v>60664</v>
      </c>
      <c r="D395" s="11" t="n">
        <f aca="false">C395/B395</f>
        <v>1.11825102766871</v>
      </c>
      <c r="L395" s="0"/>
    </row>
    <row r="396" customFormat="false" ht="12.8" hidden="false" customHeight="false" outlineLevel="0" collapsed="false">
      <c r="A396" s="6" t="s">
        <v>432</v>
      </c>
      <c r="B396" s="6" t="n">
        <v>1997</v>
      </c>
      <c r="C396" s="6" t="n">
        <v>3017</v>
      </c>
      <c r="D396" s="11" t="n">
        <f aca="false">C396/B396</f>
        <v>1.51076614922384</v>
      </c>
      <c r="L396" s="0"/>
    </row>
    <row r="397" customFormat="false" ht="12.8" hidden="false" customHeight="false" outlineLevel="0" collapsed="false">
      <c r="A397" s="6" t="s">
        <v>433</v>
      </c>
      <c r="B397" s="6" t="n">
        <v>2973</v>
      </c>
      <c r="C397" s="6" t="n">
        <v>4491</v>
      </c>
      <c r="D397" s="11" t="n">
        <f aca="false">C397/B397</f>
        <v>1.51059535822402</v>
      </c>
      <c r="L397" s="0"/>
    </row>
    <row r="398" customFormat="false" ht="12.8" hidden="false" customHeight="false" outlineLevel="0" collapsed="false">
      <c r="A398" s="6" t="s">
        <v>434</v>
      </c>
      <c r="B398" s="6" t="n">
        <v>731648</v>
      </c>
      <c r="C398" s="6" t="n">
        <v>766559</v>
      </c>
      <c r="D398" s="11" t="n">
        <f aca="false">C398/B398</f>
        <v>1.04771556814206</v>
      </c>
      <c r="L398" s="0"/>
    </row>
    <row r="399" customFormat="false" ht="12.8" hidden="false" customHeight="false" outlineLevel="0" collapsed="false">
      <c r="A399" s="6" t="s">
        <v>435</v>
      </c>
      <c r="B399" s="6" t="n">
        <v>139316</v>
      </c>
      <c r="C399" s="6" t="n">
        <v>187958</v>
      </c>
      <c r="D399" s="11" t="n">
        <f aca="false">C399/B399</f>
        <v>1.34914869792414</v>
      </c>
      <c r="L399" s="0"/>
    </row>
    <row r="400" customFormat="false" ht="12.8" hidden="false" customHeight="false" outlineLevel="0" collapsed="false">
      <c r="A400" s="6" t="s">
        <v>436</v>
      </c>
      <c r="B400" s="6" t="n">
        <v>467952</v>
      </c>
      <c r="C400" s="6" t="n">
        <v>599205</v>
      </c>
      <c r="D400" s="11" t="n">
        <f aca="false">C400/B400</f>
        <v>1.28048389578418</v>
      </c>
      <c r="L400" s="0"/>
    </row>
    <row r="401" customFormat="false" ht="12.8" hidden="false" customHeight="false" outlineLevel="0" collapsed="false">
      <c r="A401" s="6" t="s">
        <v>437</v>
      </c>
      <c r="B401" s="6" t="n">
        <v>26850</v>
      </c>
      <c r="C401" s="6" t="n">
        <v>27467</v>
      </c>
      <c r="D401" s="11" t="n">
        <f aca="false">C401/B401</f>
        <v>1.02297951582868</v>
      </c>
      <c r="L401" s="0"/>
    </row>
    <row r="402" customFormat="false" ht="12.8" hidden="false" customHeight="false" outlineLevel="0" collapsed="false">
      <c r="A402" s="6" t="s">
        <v>438</v>
      </c>
      <c r="B402" s="6" t="n">
        <v>10203</v>
      </c>
      <c r="C402" s="6" t="n">
        <v>12392</v>
      </c>
      <c r="D402" s="11" t="n">
        <f aca="false">C402/B402</f>
        <v>1.21454474174262</v>
      </c>
      <c r="L402" s="0"/>
    </row>
    <row r="403" customFormat="false" ht="12.8" hidden="false" customHeight="false" outlineLevel="0" collapsed="false">
      <c r="A403" s="6" t="s">
        <v>439</v>
      </c>
      <c r="B403" s="6" t="n">
        <v>69979</v>
      </c>
      <c r="C403" s="6" t="n">
        <v>83160</v>
      </c>
      <c r="D403" s="11" t="n">
        <f aca="false">C403/B403</f>
        <v>1.18835650695209</v>
      </c>
      <c r="L403" s="0"/>
    </row>
    <row r="404" customFormat="false" ht="12.8" hidden="false" customHeight="false" outlineLevel="0" collapsed="false">
      <c r="A404" s="6" t="s">
        <v>440</v>
      </c>
      <c r="B404" s="6" t="n">
        <v>0</v>
      </c>
      <c r="C404" s="6" t="n">
        <v>0</v>
      </c>
      <c r="D404" s="11" t="e">
        <f aca="false">C404/B404</f>
        <v>#DIV/0!</v>
      </c>
      <c r="L404" s="0"/>
    </row>
    <row r="405" customFormat="false" ht="12.8" hidden="false" customHeight="false" outlineLevel="0" collapsed="false">
      <c r="A405" s="6" t="s">
        <v>441</v>
      </c>
      <c r="B405" s="6" t="n">
        <v>0</v>
      </c>
      <c r="C405" s="6" t="n">
        <v>0</v>
      </c>
      <c r="D405" s="11" t="e">
        <f aca="false">C405/B405</f>
        <v>#DIV/0!</v>
      </c>
      <c r="L405" s="0"/>
    </row>
    <row r="406" customFormat="false" ht="12.8" hidden="false" customHeight="false" outlineLevel="0" collapsed="false">
      <c r="D406" s="9" t="n">
        <f aca="false">MIN(D2:D403)</f>
        <v>0.0212637720292196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2025-05-19T14:51:16Z</dcterms:created>
  <dc:creator/>
  <dc:description/>
  <dc:language>en-US</dc:language>
  <cp:lastModifiedBy/>
  <dcterms:modified xsi:type="dcterms:W3CDTF">2025-05-22T09:04:30Z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