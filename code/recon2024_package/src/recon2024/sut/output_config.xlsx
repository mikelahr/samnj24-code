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adata" sheetId="1" state="visible" r:id="rId3"/>
    <sheet name="stability" sheetId="2" state="visible" r:id="rId4"/>
    <sheet name="formatted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<sst xmlns="http://schemas.openxmlformats.org/spreadsheetml/2006/main" count="1485" uniqueCount="502">
  <si>
    <t xml:space="preserve">to do</t>
  </si>
  <si>
    <t xml:space="preserve">using historical data compare ratio of wages and va as predictor of total ind</t>
  </si>
  <si>
    <t xml:space="preserve">create initial with use_int, sup_int, use_pri, use_fin.pce and total ind</t>
  </si>
  <si>
    <t xml:space="preserve">calculate impact of average ratio in use_int and sup_int for on commodity basis</t>
  </si>
  <si>
    <t xml:space="preserve">compare those ratios with the pce ratio vs use_fin other than pce and sup_tra</t>
  </si>
  <si>
    <t xml:space="preserve">ratio</t>
  </si>
  <si>
    <t xml:space="preserve">percent</t>
  </si>
  <si>
    <t xml:space="preserve">t1 = 2017</t>
  </si>
  <si>
    <t xml:space="preserve">t1 = 2007</t>
  </si>
  <si>
    <t xml:space="preserve">Commodities/Industries</t>
  </si>
  <si>
    <t xml:space="preserve">Code</t>
  </si>
  <si>
    <t xml:space="preserve">T018</t>
  </si>
  <si>
    <t xml:space="preserve">VABAS</t>
  </si>
  <si>
    <t xml:space="preserve">V00100</t>
  </si>
  <si>
    <t xml:space="preserve">t0 = 2012</t>
  </si>
  <si>
    <t xml:space="preserve">both</t>
  </si>
  <si>
    <t xml:space="preserve">2012-2017</t>
  </si>
  <si>
    <t xml:space="preserve">Commodity Description</t>
  </si>
  <si>
    <t xml:space="preserve">Total industry output (basic value)</t>
  </si>
  <si>
    <t xml:space="preserve">Value added (basic value)</t>
  </si>
  <si>
    <t xml:space="preserve">Compensation of employees</t>
  </si>
  <si>
    <t xml:space="preserve">var = va</t>
  </si>
  <si>
    <t xml:space="preserve">var = wages</t>
  </si>
  <si>
    <t xml:space="preserve">va &lt; wages</t>
  </si>
  <si>
    <t xml:space="preserve">var = best</t>
  </si>
  <si>
    <t xml:space="preserve">Oilseed farming</t>
  </si>
  <si>
    <t xml:space="preserve">1111A0</t>
  </si>
  <si>
    <t xml:space="preserve">Grain farming</t>
  </si>
  <si>
    <t xml:space="preserve">1111B0</t>
  </si>
  <si>
    <t xml:space="preserve">Vegetable and melon farming</t>
  </si>
  <si>
    <t xml:space="preserve">Fruit and tree nut farming</t>
  </si>
  <si>
    <t xml:space="preserve">Greenhouse, nursery, and floriculture production</t>
  </si>
  <si>
    <t xml:space="preserve">Other crop farming</t>
  </si>
  <si>
    <t xml:space="preserve">Dairy cattle and milk production</t>
  </si>
  <si>
    <t xml:space="preserve">Beef cattle ranching and farming, including feedlots and dual-purpose ranching and farming</t>
  </si>
  <si>
    <t xml:space="preserve">1121A0</t>
  </si>
  <si>
    <t xml:space="preserve">Poultry and egg production</t>
  </si>
  <si>
    <t xml:space="preserve">Animal production, except cattle and poultry and eggs</t>
  </si>
  <si>
    <t xml:space="preserve">112A00</t>
  </si>
  <si>
    <t xml:space="preserve">Forestry and logging</t>
  </si>
  <si>
    <t xml:space="preserve">Fishing, hunting and trapping</t>
  </si>
  <si>
    <t xml:space="preserve">Support activities for agriculture and forestry</t>
  </si>
  <si>
    <t xml:space="preserve">Oil and gas extraction</t>
  </si>
  <si>
    <t xml:space="preserve">Coal mining</t>
  </si>
  <si>
    <t xml:space="preserve">Copper, nickel, lead, and zinc mining</t>
  </si>
  <si>
    <t xml:space="preserve">Iron, gold, silver, and other metal ore mining</t>
  </si>
  <si>
    <t xml:space="preserve">2122A0</t>
  </si>
  <si>
    <t xml:space="preserve">Stone mining and quarrying</t>
  </si>
  <si>
    <t xml:space="preserve">Other nonmetallic mineral mining and quarrying</t>
  </si>
  <si>
    <t xml:space="preserve">2123A0</t>
  </si>
  <si>
    <t xml:space="preserve">Drilling oil and gas wells</t>
  </si>
  <si>
    <t xml:space="preserve">Other support activities for mining</t>
  </si>
  <si>
    <t xml:space="preserve">21311A</t>
  </si>
  <si>
    <t xml:space="preserve">Electric power generation, transmission, and distribution</t>
  </si>
  <si>
    <t xml:space="preserve">Natural gas distribution</t>
  </si>
  <si>
    <t xml:space="preserve">Water, sewage and other systems</t>
  </si>
  <si>
    <t xml:space="preserve">Health care structures</t>
  </si>
  <si>
    <t xml:space="preserve">Educational and vocational structures</t>
  </si>
  <si>
    <t xml:space="preserve">Nonresidential maintenance and repair</t>
  </si>
  <si>
    <t xml:space="preserve">Residential maintenance and repair</t>
  </si>
  <si>
    <t xml:space="preserve">Office and commercial structures</t>
  </si>
  <si>
    <t xml:space="preserve">2332A0</t>
  </si>
  <si>
    <t xml:space="preserve">Multifamily residential structures</t>
  </si>
  <si>
    <t xml:space="preserve">Other residential structures</t>
  </si>
  <si>
    <t xml:space="preserve">2334A0</t>
  </si>
  <si>
    <t xml:space="preserve">Manufacturing structures</t>
  </si>
  <si>
    <t xml:space="preserve">Other nonresidential structures</t>
  </si>
  <si>
    <t xml:space="preserve">2332D0</t>
  </si>
  <si>
    <t xml:space="preserve">Power and communication structures</t>
  </si>
  <si>
    <t xml:space="preserve">Single-family residential structures</t>
  </si>
  <si>
    <t xml:space="preserve">Transportation structures and highways and streets</t>
  </si>
  <si>
    <t xml:space="preserve">2332C0</t>
  </si>
  <si>
    <t xml:space="preserve">Sawmills and wood preservation</t>
  </si>
  <si>
    <t xml:space="preserve">Veneer, plywood, and engineered wood product manufacturing</t>
  </si>
  <si>
    <t xml:space="preserve">Millwork</t>
  </si>
  <si>
    <t xml:space="preserve">All other wood product manufacturing</t>
  </si>
  <si>
    <t xml:space="preserve">3219A0</t>
  </si>
  <si>
    <t xml:space="preserve">Clay product and refractory manufacturing</t>
  </si>
  <si>
    <t xml:space="preserve">Glass and glass product manufacturing</t>
  </si>
  <si>
    <t xml:space="preserve">Cement manufacturing</t>
  </si>
  <si>
    <t xml:space="preserve">Ready-mix concrete manufacturing</t>
  </si>
  <si>
    <t xml:space="preserve">Concrete pipe, brick, and block manufacturing</t>
  </si>
  <si>
    <t xml:space="preserve">Other concrete product manufacturing</t>
  </si>
  <si>
    <t xml:space="preserve">Lime and gypsum product manufacturing</t>
  </si>
  <si>
    <t xml:space="preserve">Abrasive product manufacturing</t>
  </si>
  <si>
    <t xml:space="preserve">Cut stone and stone product manufacturing</t>
  </si>
  <si>
    <t xml:space="preserve">Ground or treated mineral and earth manufacturing</t>
  </si>
  <si>
    <t xml:space="preserve">Mineral wool manufacturing</t>
  </si>
  <si>
    <t xml:space="preserve">Miscellaneous nonmetallic mineral products</t>
  </si>
  <si>
    <t xml:space="preserve">Iron and steel mills and ferroalloy manufacturing</t>
  </si>
  <si>
    <t xml:space="preserve">Steel product manufacturing from purchased steel</t>
  </si>
  <si>
    <t xml:space="preserve">Secondary smelting and alloying of aluminum</t>
  </si>
  <si>
    <t xml:space="preserve">Alumina refining and primary aluminum production</t>
  </si>
  <si>
    <t xml:space="preserve">Aluminum product manufacturing from purchased aluminum</t>
  </si>
  <si>
    <t xml:space="preserve">33131B</t>
  </si>
  <si>
    <t xml:space="preserve">Nonferrous metal (except aluminum) smelting and refining</t>
  </si>
  <si>
    <t xml:space="preserve">Copper rolling, drawing, extruding and alloying</t>
  </si>
  <si>
    <t xml:space="preserve">Nonferrous metal (except copper and aluminum) rolling, drawing, extruding and alloying</t>
  </si>
  <si>
    <t xml:space="preserve">Ferrous metal foundries</t>
  </si>
  <si>
    <t xml:space="preserve">Nonferrous metal foundries</t>
  </si>
  <si>
    <t xml:space="preserve">Custom roll forming</t>
  </si>
  <si>
    <t xml:space="preserve">All other forging, stamping, and sintering</t>
  </si>
  <si>
    <t xml:space="preserve">33211A</t>
  </si>
  <si>
    <t xml:space="preserve">Metal crown, closure, and other metal stamping (except automotive)</t>
  </si>
  <si>
    <t xml:space="preserve">Cutlery and handtool manufacturing</t>
  </si>
  <si>
    <t xml:space="preserve">Plate work and fabricated structural product manufacturing</t>
  </si>
  <si>
    <t xml:space="preserve">Ornamental and architectural metal products manufacturing</t>
  </si>
  <si>
    <t xml:space="preserve">Power boiler and heat exchanger manufacturing</t>
  </si>
  <si>
    <t xml:space="preserve">Metal tank (heavy gauge) manufacturing</t>
  </si>
  <si>
    <t xml:space="preserve">Metal can, box, and other metal container (light gauge) manufacturing</t>
  </si>
  <si>
    <t xml:space="preserve">Hardware manufacturing</t>
  </si>
  <si>
    <t xml:space="preserve">Spring and wire product manufacturing</t>
  </si>
  <si>
    <t xml:space="preserve">Machine shops</t>
  </si>
  <si>
    <t xml:space="preserve">Turned product and screw, nut, and bolt manufacturing</t>
  </si>
  <si>
    <t xml:space="preserve">Coating, engraving, heat treating and allied activities</t>
  </si>
  <si>
    <t xml:space="preserve">Plumbing fixture fitting and trim manufacturing</t>
  </si>
  <si>
    <t xml:space="preserve">Valve and fittings other than plumbing</t>
  </si>
  <si>
    <t xml:space="preserve">33291A</t>
  </si>
  <si>
    <t xml:space="preserve">Ball and roller bearing manufacturing</t>
  </si>
  <si>
    <t xml:space="preserve">Fabricated pipe and pipe fitting manufacturing</t>
  </si>
  <si>
    <t xml:space="preserve">Ammunition, arms, ordnance, and accessories manufacturing</t>
  </si>
  <si>
    <t xml:space="preserve">33299A</t>
  </si>
  <si>
    <t xml:space="preserve">Other fabricated metal manufacturing</t>
  </si>
  <si>
    <t xml:space="preserve">Farm machinery and equipment manufacturing</t>
  </si>
  <si>
    <t xml:space="preserve">Lawn and garden equipment manufacturing</t>
  </si>
  <si>
    <t xml:space="preserve">Construction machinery manufacturing</t>
  </si>
  <si>
    <t xml:space="preserve">Mining and oil and gas field machinery manufacturing</t>
  </si>
  <si>
    <t xml:space="preserve">Semiconductor machinery manufacturing</t>
  </si>
  <si>
    <t xml:space="preserve">Other industrial machinery manufacturing</t>
  </si>
  <si>
    <t xml:space="preserve">33329A</t>
  </si>
  <si>
    <t xml:space="preserve">Optical instrument and lens manufacturing</t>
  </si>
  <si>
    <t xml:space="preserve">Photographic and photocopying equipment manufacturing</t>
  </si>
  <si>
    <t xml:space="preserve">Other commercial and service industry machinery manufacturing</t>
  </si>
  <si>
    <t xml:space="preserve">Heating equipment (except warm air furnaces) manufacturing</t>
  </si>
  <si>
    <t xml:space="preserve">Air conditioning, refrigeration, and warm air heating equipment manufacturing</t>
  </si>
  <si>
    <t xml:space="preserve">Industrial and commercial fan and blower and air purification equipment manufacturing</t>
  </si>
  <si>
    <t xml:space="preserve">Industrial mold manufacturing</t>
  </si>
  <si>
    <t xml:space="preserve">Special tool, die, jig, and fixture manufacturing</t>
  </si>
  <si>
    <t xml:space="preserve">Machine tool manufacturing</t>
  </si>
  <si>
    <t xml:space="preserve">Cutting and machine tool accessory, rolling mill, and other metalworking machinery manufacturing</t>
  </si>
  <si>
    <t xml:space="preserve">33351B</t>
  </si>
  <si>
    <t xml:space="preserve">Turbine and turbine generator set units manufacturing</t>
  </si>
  <si>
    <t xml:space="preserve">Speed changer, industrial high-speed drive, and gear manufacturing</t>
  </si>
  <si>
    <t xml:space="preserve">Mechanical power transmission equipment manufacturing</t>
  </si>
  <si>
    <t xml:space="preserve">Other engine equipment manufacturing</t>
  </si>
  <si>
    <t xml:space="preserve">Air and gas compressor manufacturing</t>
  </si>
  <si>
    <t xml:space="preserve">Measuring, dispensing, and other pumping equipment manufacturing</t>
  </si>
  <si>
    <t xml:space="preserve">Material handling equipment manufacturing</t>
  </si>
  <si>
    <t xml:space="preserve">Power-driven handtool manufacturing</t>
  </si>
  <si>
    <t xml:space="preserve">Packaging machinery manufacturing</t>
  </si>
  <si>
    <t xml:space="preserve">Industrial process furnace and oven manufacturing</t>
  </si>
  <si>
    <t xml:space="preserve">Other general purpose machinery manufacturing</t>
  </si>
  <si>
    <t xml:space="preserve">33399A</t>
  </si>
  <si>
    <t xml:space="preserve">Fluid power process machinery</t>
  </si>
  <si>
    <t xml:space="preserve">33399B</t>
  </si>
  <si>
    <t xml:space="preserve">Electronic computer manufacturing</t>
  </si>
  <si>
    <t xml:space="preserve">Computer storage device manufacturing</t>
  </si>
  <si>
    <t xml:space="preserve">Computer terminals and other computer peripheral equipment manufacturing</t>
  </si>
  <si>
    <t xml:space="preserve">Telephone apparatus manufacturing</t>
  </si>
  <si>
    <t xml:space="preserve">Broadcast and wireless communications equipment</t>
  </si>
  <si>
    <t xml:space="preserve">Other communications equipment manufacturing</t>
  </si>
  <si>
    <t xml:space="preserve">Semiconductor and related device manufacturing</t>
  </si>
  <si>
    <t xml:space="preserve">Printed circuit assembly (electronic assembly) manufacturing</t>
  </si>
  <si>
    <t xml:space="preserve">Other electronic component manufacturing</t>
  </si>
  <si>
    <t xml:space="preserve">33441A</t>
  </si>
  <si>
    <t xml:space="preserve">Electromedical and electrotherapeutic apparatus manufacturing</t>
  </si>
  <si>
    <t xml:space="preserve">Search, detection, and navigation instruments manufacturing</t>
  </si>
  <si>
    <t xml:space="preserve">Automatic environmental control manufacturing</t>
  </si>
  <si>
    <t xml:space="preserve">Industrial process variable instruments manufacturing</t>
  </si>
  <si>
    <t xml:space="preserve">Totalizing fluid meter and counting device manufacturing</t>
  </si>
  <si>
    <t xml:space="preserve">Electricity and signal testing instruments manufacturing</t>
  </si>
  <si>
    <t xml:space="preserve">Analytical laboratory instrument manufacturing</t>
  </si>
  <si>
    <t xml:space="preserve">Irradiation apparatus manufacturing</t>
  </si>
  <si>
    <t xml:space="preserve">Watch, clock, and other measuring and controlling device manufacturing</t>
  </si>
  <si>
    <t xml:space="preserve">33451A</t>
  </si>
  <si>
    <t xml:space="preserve">Audio and video equipment manufacturing</t>
  </si>
  <si>
    <t xml:space="preserve">Manufacturing and reproducing magnetic and optical media</t>
  </si>
  <si>
    <t xml:space="preserve">Electric lamp bulb and part manufacturing</t>
  </si>
  <si>
    <t xml:space="preserve">Lighting fixture manufacturing</t>
  </si>
  <si>
    <t xml:space="preserve">Small electrical appliance manufacturing</t>
  </si>
  <si>
    <t xml:space="preserve">Major household appliance manufacturing</t>
  </si>
  <si>
    <t xml:space="preserve">Power, distribution, and specialty transformer manufacturing</t>
  </si>
  <si>
    <t xml:space="preserve">Motor and generator manufacturing</t>
  </si>
  <si>
    <t xml:space="preserve">Switchgear and switchboard apparatus manufacturing</t>
  </si>
  <si>
    <t xml:space="preserve">Relay and industrial control manufacturing</t>
  </si>
  <si>
    <t xml:space="preserve">Storage battery manufacturing</t>
  </si>
  <si>
    <t xml:space="preserve">Primary battery manufacturing</t>
  </si>
  <si>
    <t xml:space="preserve">Communication and energy wire and cable manufacturing</t>
  </si>
  <si>
    <t xml:space="preserve">Wiring device manufacturing</t>
  </si>
  <si>
    <t xml:space="preserve">Carbon and graphite product manufacturing</t>
  </si>
  <si>
    <t xml:space="preserve">All other miscellaneous electrical equipment and component manufacturing</t>
  </si>
  <si>
    <t xml:space="preserve">Automobile manufacturing</t>
  </si>
  <si>
    <t xml:space="preserve">Light truck and utility vehicle manufacturing</t>
  </si>
  <si>
    <t xml:space="preserve">Heavy duty truck manufacturing</t>
  </si>
  <si>
    <t xml:space="preserve">Motor vehicle body manufacturing</t>
  </si>
  <si>
    <t xml:space="preserve">Truck trailer manufacturing</t>
  </si>
  <si>
    <t xml:space="preserve">Motor home manufacturing</t>
  </si>
  <si>
    <t xml:space="preserve">Travel trailer and camper manufacturing</t>
  </si>
  <si>
    <t xml:space="preserve">Motor vehicle gasoline engine and engine parts manufacturing</t>
  </si>
  <si>
    <t xml:space="preserve">Motor vehicle electrical and electronic equipment manufacturing</t>
  </si>
  <si>
    <t xml:space="preserve">Motor vehicle transmission and power train parts manufacturing</t>
  </si>
  <si>
    <t xml:space="preserve">Motor vehicle seating and interior trim manufacturing</t>
  </si>
  <si>
    <t xml:space="preserve">Motor vehicle metal stamping</t>
  </si>
  <si>
    <t xml:space="preserve">Other motor vehicle parts manufacturing</t>
  </si>
  <si>
    <t xml:space="preserve">Motor vehicle steering, suspension component (except spring), and brake systems manufacturing</t>
  </si>
  <si>
    <t xml:space="preserve">3363A0</t>
  </si>
  <si>
    <t xml:space="preserve">Aircraft manufacturing</t>
  </si>
  <si>
    <t xml:space="preserve">Aircraft engine and engine parts manufacturing</t>
  </si>
  <si>
    <t xml:space="preserve">Other aircraft parts and auxiliary equipment manufacturing</t>
  </si>
  <si>
    <t xml:space="preserve">Guided missile and space vehicle manufacturing</t>
  </si>
  <si>
    <t xml:space="preserve">Propulsion units and parts for space vehicles and guided missiles</t>
  </si>
  <si>
    <t xml:space="preserve">33641A</t>
  </si>
  <si>
    <t xml:space="preserve">Railroad rolling stock manufacturing</t>
  </si>
  <si>
    <t xml:space="preserve">Ship building and repairing</t>
  </si>
  <si>
    <t xml:space="preserve">Boat building</t>
  </si>
  <si>
    <t xml:space="preserve">Motorcycle, bicycle, and parts manufacturing</t>
  </si>
  <si>
    <t xml:space="preserve">Military armored vehicle, tank, and tank component manufacturing</t>
  </si>
  <si>
    <t xml:space="preserve">All other transportation equipment manufacturing</t>
  </si>
  <si>
    <t xml:space="preserve">Wood kitchen cabinet and countertop manufacturing</t>
  </si>
  <si>
    <t xml:space="preserve">Upholstered household furniture manufacturing</t>
  </si>
  <si>
    <t xml:space="preserve">Nonupholstered wood household furniture manufacturing</t>
  </si>
  <si>
    <t xml:space="preserve">Institutional furniture manufacturing</t>
  </si>
  <si>
    <t xml:space="preserve">Other household nonupholstered furniture</t>
  </si>
  <si>
    <t xml:space="preserve">33712N</t>
  </si>
  <si>
    <t xml:space="preserve">Showcase, partition, shelving, and locker manufacturing</t>
  </si>
  <si>
    <t xml:space="preserve">Office furniture and custom architectural woodwork and millwork manufacturing</t>
  </si>
  <si>
    <t xml:space="preserve">33721A</t>
  </si>
  <si>
    <t xml:space="preserve">Other furniture related product manufacturing</t>
  </si>
  <si>
    <t xml:space="preserve">Surgical and medical instrument manufacturing</t>
  </si>
  <si>
    <t xml:space="preserve">Surgical appliance and supplies manufacturing</t>
  </si>
  <si>
    <t xml:space="preserve">Dental equipment and supplies manufacturing</t>
  </si>
  <si>
    <t xml:space="preserve">Ophthalmic goods manufacturing</t>
  </si>
  <si>
    <t xml:space="preserve">Dental laboratories</t>
  </si>
  <si>
    <t xml:space="preserve">Jewelry and silverware manufacturing</t>
  </si>
  <si>
    <t xml:space="preserve">Sporting and athletic goods manufacturing</t>
  </si>
  <si>
    <t xml:space="preserve">Doll, toy, and game manufacturing</t>
  </si>
  <si>
    <t xml:space="preserve">Office supplies (except paper) manufacturing</t>
  </si>
  <si>
    <t xml:space="preserve">Sign manufacturing</t>
  </si>
  <si>
    <t xml:space="preserve">All other miscellaneous manufacturing</t>
  </si>
  <si>
    <t xml:space="preserve">Dog and cat food manufacturing</t>
  </si>
  <si>
    <t xml:space="preserve">Other animal food manufacturing</t>
  </si>
  <si>
    <t xml:space="preserve">Flour milling and malt manufacturing</t>
  </si>
  <si>
    <t xml:space="preserve">Wet corn milling</t>
  </si>
  <si>
    <t xml:space="preserve">Fats and oils refining and blending</t>
  </si>
  <si>
    <t xml:space="preserve">Soybean and other oilseed processing</t>
  </si>
  <si>
    <t xml:space="preserve">Breakfast cereal manufacturing</t>
  </si>
  <si>
    <t xml:space="preserve">Sugar and confectionery product manufacturing</t>
  </si>
  <si>
    <t xml:space="preserve">Frozen food manufacturing</t>
  </si>
  <si>
    <t xml:space="preserve">Fruit and vegetable canning, pickling, and drying</t>
  </si>
  <si>
    <t xml:space="preserve">Cheese manufacturing</t>
  </si>
  <si>
    <t xml:space="preserve">Dry, condensed, and evaporated dairy product manufacturing</t>
  </si>
  <si>
    <t xml:space="preserve">Fluid milk and butter manufacturing</t>
  </si>
  <si>
    <t xml:space="preserve">31151A</t>
  </si>
  <si>
    <t xml:space="preserve">Ice cream and frozen dessert manufacturing</t>
  </si>
  <si>
    <t xml:space="preserve">Poultry processing</t>
  </si>
  <si>
    <t xml:space="preserve">Animal (except poultry) slaughtering, rendering, and processing</t>
  </si>
  <si>
    <t xml:space="preserve">31161A</t>
  </si>
  <si>
    <t xml:space="preserve">Seafood product preparation and packaging</t>
  </si>
  <si>
    <t xml:space="preserve">Bread and bakery product manufacturing</t>
  </si>
  <si>
    <t xml:space="preserve">Cookie, cracker, pasta, and tortilla manufacturing</t>
  </si>
  <si>
    <t xml:space="preserve">3118A0</t>
  </si>
  <si>
    <t xml:space="preserve">Snack food manufacturing</t>
  </si>
  <si>
    <t xml:space="preserve">Coffee and tea manufacturing</t>
  </si>
  <si>
    <t xml:space="preserve">Flavoring syrup and concentrate manufacturing</t>
  </si>
  <si>
    <t xml:space="preserve">Seasoning and dressing manufacturing</t>
  </si>
  <si>
    <t xml:space="preserve">All other food manufacturing</t>
  </si>
  <si>
    <t xml:space="preserve">Soft drink and ice manufacturing</t>
  </si>
  <si>
    <t xml:space="preserve">Breweries</t>
  </si>
  <si>
    <t xml:space="preserve">Wineries</t>
  </si>
  <si>
    <t xml:space="preserve">Distilleries</t>
  </si>
  <si>
    <t xml:space="preserve">Tobacco manufacturing</t>
  </si>
  <si>
    <t xml:space="preserve">Fiber, yarn, and thread mills</t>
  </si>
  <si>
    <t xml:space="preserve">Fabric mills</t>
  </si>
  <si>
    <t xml:space="preserve">Textile and fabric finishing and fabric coating mills</t>
  </si>
  <si>
    <t xml:space="preserve">Carpet and rug mills</t>
  </si>
  <si>
    <t xml:space="preserve">Curtain and linen mills</t>
  </si>
  <si>
    <t xml:space="preserve">Other textile product mills</t>
  </si>
  <si>
    <t xml:space="preserve">Apparel manufacturing</t>
  </si>
  <si>
    <t xml:space="preserve">Leather and allied product manufacturing</t>
  </si>
  <si>
    <t xml:space="preserve">Pulp mills</t>
  </si>
  <si>
    <t xml:space="preserve">Paper mills</t>
  </si>
  <si>
    <t xml:space="preserve">Paperboard mills</t>
  </si>
  <si>
    <t xml:space="preserve">Paperboard container manufacturing</t>
  </si>
  <si>
    <t xml:space="preserve">Paper bag and coated and treated paper manufacturing</t>
  </si>
  <si>
    <t xml:space="preserve">Stationery product manufacturing</t>
  </si>
  <si>
    <t xml:space="preserve">Sanitary paper product manufacturing</t>
  </si>
  <si>
    <t xml:space="preserve">All other converted paper product manufacturing</t>
  </si>
  <si>
    <t xml:space="preserve">Printing</t>
  </si>
  <si>
    <t xml:space="preserve">Support activities for printing</t>
  </si>
  <si>
    <t xml:space="preserve">Petroleum refineries</t>
  </si>
  <si>
    <t xml:space="preserve">Asphalt paving mixture and block manufacturing</t>
  </si>
  <si>
    <t xml:space="preserve">Asphalt shingle and coating materials manufacturing</t>
  </si>
  <si>
    <t xml:space="preserve">Other petroleum and coal products manufacturing</t>
  </si>
  <si>
    <t xml:space="preserve">Petrochemical manufacturing</t>
  </si>
  <si>
    <t xml:space="preserve">Industrial gas manufacturing</t>
  </si>
  <si>
    <t xml:space="preserve">Synthetic dye and pigment manufacturing</t>
  </si>
  <si>
    <t xml:space="preserve">Other basic inorganic chemical manufacturing</t>
  </si>
  <si>
    <t xml:space="preserve">Other basic organic chemical manufacturing</t>
  </si>
  <si>
    <t xml:space="preserve">Plastics material and resin manufacturing</t>
  </si>
  <si>
    <t xml:space="preserve">Synthetic rubber and artificial and synthetic fibers and filaments manufacturing</t>
  </si>
  <si>
    <t xml:space="preserve">3252A0</t>
  </si>
  <si>
    <t xml:space="preserve">Medicinal and botanical manufacturing</t>
  </si>
  <si>
    <t xml:space="preserve">Pharmaceutical preparation manufacturing</t>
  </si>
  <si>
    <t xml:space="preserve">In-vitro diagnostic substance manufacturing</t>
  </si>
  <si>
    <t xml:space="preserve">Biological product (except diagnostic) manufacturing</t>
  </si>
  <si>
    <t xml:space="preserve">Fertilizer manufacturing</t>
  </si>
  <si>
    <t xml:space="preserve">Pesticide and other agricultural chemical manufacturing</t>
  </si>
  <si>
    <t xml:space="preserve">Paint and coating manufacturing</t>
  </si>
  <si>
    <t xml:space="preserve">Adhesive manufacturing</t>
  </si>
  <si>
    <t xml:space="preserve">Soap and cleaning compound manufacturing</t>
  </si>
  <si>
    <t xml:space="preserve">Toilet preparation manufacturing</t>
  </si>
  <si>
    <t xml:space="preserve">Printing ink manufacturing</t>
  </si>
  <si>
    <t xml:space="preserve">All other chemical product and preparation manufacturing</t>
  </si>
  <si>
    <t xml:space="preserve">3259A0</t>
  </si>
  <si>
    <t xml:space="preserve">Plastics packaging materials and unlaminated film and sheet manufacturing</t>
  </si>
  <si>
    <t xml:space="preserve">Plastics pipe, pipe fitting, and unlaminated profile shape manufacturing</t>
  </si>
  <si>
    <t xml:space="preserve">Laminated plastics plate, sheet (except packaging), and shape manufacturing</t>
  </si>
  <si>
    <t xml:space="preserve">Polystyrene foam product manufacturing</t>
  </si>
  <si>
    <t xml:space="preserve">Urethane and other foam product (except polystyrene) manufacturing</t>
  </si>
  <si>
    <t xml:space="preserve">Plastics bottle manufacturing</t>
  </si>
  <si>
    <t xml:space="preserve">Other plastics product manufacturing</t>
  </si>
  <si>
    <t xml:space="preserve">Tire manufacturing</t>
  </si>
  <si>
    <t xml:space="preserve">Rubber and plastics hoses and belting manufacturing</t>
  </si>
  <si>
    <t xml:space="preserve">Other rubber product manufacturing</t>
  </si>
  <si>
    <t xml:space="preserve">Motor vehicle and motor vehicle parts and supplies</t>
  </si>
  <si>
    <t xml:space="preserve">Professional and commercial equipment and supplies</t>
  </si>
  <si>
    <t xml:space="preserve">Household appliances and electrical and electronic goods </t>
  </si>
  <si>
    <t xml:space="preserve">Machinery, equipment, and supplies</t>
  </si>
  <si>
    <t xml:space="preserve">Other durable goods merchant wholesalers</t>
  </si>
  <si>
    <t xml:space="preserve">423A00</t>
  </si>
  <si>
    <t xml:space="preserve">Drugs and druggists’ sundries</t>
  </si>
  <si>
    <t xml:space="preserve">Grocery and related product wholesalers </t>
  </si>
  <si>
    <t xml:space="preserve">Petroleum and petroleum products</t>
  </si>
  <si>
    <t xml:space="preserve">Other nondurable goods merchant wholesalers</t>
  </si>
  <si>
    <t xml:space="preserve">424A00</t>
  </si>
  <si>
    <t xml:space="preserve">Wholesale electronic markets and agents and brokers</t>
  </si>
  <si>
    <t xml:space="preserve">Motor vehicle and parts dealers</t>
  </si>
  <si>
    <t xml:space="preserve">Food and beverage stores</t>
  </si>
  <si>
    <t xml:space="preserve">General merchandise stores</t>
  </si>
  <si>
    <t xml:space="preserve">Building material and garden equipment and supplies dealers</t>
  </si>
  <si>
    <t xml:space="preserve">Health and personal care stores</t>
  </si>
  <si>
    <t xml:space="preserve">Gasoline stations</t>
  </si>
  <si>
    <t xml:space="preserve">Clothing and clothing accessories stores</t>
  </si>
  <si>
    <t xml:space="preserve">Nonstore retailers</t>
  </si>
  <si>
    <t xml:space="preserve">All other retail</t>
  </si>
  <si>
    <t xml:space="preserve">4B0000</t>
  </si>
  <si>
    <t xml:space="preserve">Air transportation</t>
  </si>
  <si>
    <t xml:space="preserve">Rail transportation</t>
  </si>
  <si>
    <t xml:space="preserve">Water transportation</t>
  </si>
  <si>
    <t xml:space="preserve">Truck transportation</t>
  </si>
  <si>
    <t xml:space="preserve">Transit and ground passenger transportation</t>
  </si>
  <si>
    <t xml:space="preserve">Pipeline transportation</t>
  </si>
  <si>
    <t xml:space="preserve">Scenic and sightseeing transportation and support activities for transportation</t>
  </si>
  <si>
    <t xml:space="preserve">48A000</t>
  </si>
  <si>
    <t xml:space="preserve">Couriers and messengers</t>
  </si>
  <si>
    <t xml:space="preserve">Warehousing and storage</t>
  </si>
  <si>
    <t xml:space="preserve">Newspaper publishers</t>
  </si>
  <si>
    <t xml:space="preserve">Periodical Publishers</t>
  </si>
  <si>
    <t xml:space="preserve">Book publishers</t>
  </si>
  <si>
    <t xml:space="preserve">Directory, mailing list, and other publishers</t>
  </si>
  <si>
    <t xml:space="preserve">5111A0</t>
  </si>
  <si>
    <t xml:space="preserve">Software publishers</t>
  </si>
  <si>
    <t xml:space="preserve">Motion picture and video industries</t>
  </si>
  <si>
    <t xml:space="preserve">Sound recording industries</t>
  </si>
  <si>
    <t xml:space="preserve">Radio and television broadcasting</t>
  </si>
  <si>
    <t xml:space="preserve">Cable and other subscription programming</t>
  </si>
  <si>
    <t xml:space="preserve">Wired telecommunications carriers</t>
  </si>
  <si>
    <t xml:space="preserve">Wireless telecommunications carriers (except satellite)</t>
  </si>
  <si>
    <t xml:space="preserve">Satellite, telecommunications resellers, and all other telecommunications</t>
  </si>
  <si>
    <t xml:space="preserve">517A00</t>
  </si>
  <si>
    <t xml:space="preserve">Data processing, hosting, and related services</t>
  </si>
  <si>
    <t xml:space="preserve">Internet publishing and broadcasting and Web search portals</t>
  </si>
  <si>
    <t xml:space="preserve">News syndicates, libraries, archives and all other information services</t>
  </si>
  <si>
    <t xml:space="preserve">5191A0</t>
  </si>
  <si>
    <t xml:space="preserve">Nondepository credit intermediation and related activities</t>
  </si>
  <si>
    <t xml:space="preserve">522A00</t>
  </si>
  <si>
    <t xml:space="preserve">Monetary authorities and depository credit intermediation</t>
  </si>
  <si>
    <t xml:space="preserve">52A000</t>
  </si>
  <si>
    <t xml:space="preserve">Other financial investment activities</t>
  </si>
  <si>
    <t xml:space="preserve">Securities and commodity contracts intermediation and brokerage</t>
  </si>
  <si>
    <t xml:space="preserve">523A00</t>
  </si>
  <si>
    <t xml:space="preserve">Direct life insurance carriers</t>
  </si>
  <si>
    <t xml:space="preserve">Insurance carriers, except direct life</t>
  </si>
  <si>
    <t xml:space="preserve">5241XX</t>
  </si>
  <si>
    <t xml:space="preserve">Insurance agencies, brokerages, and related activities</t>
  </si>
  <si>
    <t xml:space="preserve">Funds, trusts, and other financial vehicles</t>
  </si>
  <si>
    <t xml:space="preserve">Owner-occupied housing</t>
  </si>
  <si>
    <t xml:space="preserve">531HSO</t>
  </si>
  <si>
    <t xml:space="preserve">Tenant-occupied housing</t>
  </si>
  <si>
    <t xml:space="preserve">531HST</t>
  </si>
  <si>
    <t xml:space="preserve">Other real estate</t>
  </si>
  <si>
    <t xml:space="preserve">531ORE</t>
  </si>
  <si>
    <t xml:space="preserve">Automotive equipment rental and leasing</t>
  </si>
  <si>
    <t xml:space="preserve">Commercial and industrial machinery and equipment rental and leasing</t>
  </si>
  <si>
    <t xml:space="preserve">General and consumer goods rental</t>
  </si>
  <si>
    <t xml:space="preserve">532A00</t>
  </si>
  <si>
    <t xml:space="preserve">Lessors of nonfinancial intangible assets</t>
  </si>
  <si>
    <t xml:space="preserve">Legal services</t>
  </si>
  <si>
    <t xml:space="preserve">Custom computer programming services</t>
  </si>
  <si>
    <t xml:space="preserve">Computer systems design services</t>
  </si>
  <si>
    <t xml:space="preserve">Other computer related services, including facilities management</t>
  </si>
  <si>
    <t xml:space="preserve">54151A</t>
  </si>
  <si>
    <t xml:space="preserve">Accounting, tax preparation, bookkeeping, and payroll services</t>
  </si>
  <si>
    <t xml:space="preserve">Architectural, engineering, and related services</t>
  </si>
  <si>
    <t xml:space="preserve">Management consulting services</t>
  </si>
  <si>
    <t xml:space="preserve">Environmental and other technical consulting services</t>
  </si>
  <si>
    <t xml:space="preserve">5416A0</t>
  </si>
  <si>
    <t xml:space="preserve">Scientific research and development services</t>
  </si>
  <si>
    <t xml:space="preserve">Advertising, public relations, and related services</t>
  </si>
  <si>
    <t xml:space="preserve">Specialized design services</t>
  </si>
  <si>
    <t xml:space="preserve">Photographic services</t>
  </si>
  <si>
    <t xml:space="preserve">Veterinary services</t>
  </si>
  <si>
    <t xml:space="preserve">All other miscellaneous professional, scientific, and technical services </t>
  </si>
  <si>
    <t xml:space="preserve">5419A0</t>
  </si>
  <si>
    <t xml:space="preserve">Management of companies and enterprises</t>
  </si>
  <si>
    <t xml:space="preserve">Employment services</t>
  </si>
  <si>
    <t xml:space="preserve">Services to buildings and dwellings</t>
  </si>
  <si>
    <t xml:space="preserve">Office administrative services</t>
  </si>
  <si>
    <t xml:space="preserve">Facilities support services</t>
  </si>
  <si>
    <t xml:space="preserve">Business support services</t>
  </si>
  <si>
    <t xml:space="preserve">Travel arrangement and reservation services</t>
  </si>
  <si>
    <t xml:space="preserve">Investigation and security services</t>
  </si>
  <si>
    <t xml:space="preserve">Other support services</t>
  </si>
  <si>
    <t xml:space="preserve">Waste management and remediation services</t>
  </si>
  <si>
    <t xml:space="preserve">Elementary and secondary schools</t>
  </si>
  <si>
    <t xml:space="preserve">Junior colleges, colleges, universities, and professional schools</t>
  </si>
  <si>
    <t xml:space="preserve">611A00</t>
  </si>
  <si>
    <t xml:space="preserve">Other educational services</t>
  </si>
  <si>
    <t xml:space="preserve">611B00</t>
  </si>
  <si>
    <t xml:space="preserve">Offices of physicians</t>
  </si>
  <si>
    <t xml:space="preserve">Offices of dentists</t>
  </si>
  <si>
    <t xml:space="preserve">Offices of other health practitioners</t>
  </si>
  <si>
    <t xml:space="preserve">Outpatient care centers</t>
  </si>
  <si>
    <t xml:space="preserve">Medical and diagnostic laboratories</t>
  </si>
  <si>
    <t xml:space="preserve">Home health care services</t>
  </si>
  <si>
    <t xml:space="preserve">Other ambulatory health care services</t>
  </si>
  <si>
    <t xml:space="preserve">Hospitals</t>
  </si>
  <si>
    <t xml:space="preserve">Nursing and community care facilities</t>
  </si>
  <si>
    <t xml:space="preserve">623A00</t>
  </si>
  <si>
    <t xml:space="preserve">Residential mental health, substance abuse, and other residential care facilities</t>
  </si>
  <si>
    <t xml:space="preserve">623B00</t>
  </si>
  <si>
    <t xml:space="preserve">Individual and family services</t>
  </si>
  <si>
    <t xml:space="preserve">Child day care services</t>
  </si>
  <si>
    <t xml:space="preserve">Community food, housing, and other relief services, including rehabilitation services</t>
  </si>
  <si>
    <t xml:space="preserve">624A00</t>
  </si>
  <si>
    <t xml:space="preserve">Performing arts companies</t>
  </si>
  <si>
    <t xml:space="preserve">Spectator sports</t>
  </si>
  <si>
    <t xml:space="preserve">Independent artists, writers, and performers</t>
  </si>
  <si>
    <t xml:space="preserve">Promoters of performing arts and sports and agents for public figures</t>
  </si>
  <si>
    <t xml:space="preserve">711A00</t>
  </si>
  <si>
    <t xml:space="preserve">Museums, historical sites, zoos, and parks</t>
  </si>
  <si>
    <t xml:space="preserve">Amusement parks and arcades</t>
  </si>
  <si>
    <t xml:space="preserve">Gambling industries (except casino hotels)</t>
  </si>
  <si>
    <t xml:space="preserve">Other amusement and recreation industries</t>
  </si>
  <si>
    <t xml:space="preserve">Accommodation</t>
  </si>
  <si>
    <t xml:space="preserve">Full-service restaurants</t>
  </si>
  <si>
    <t xml:space="preserve">Limited-service restaurants</t>
  </si>
  <si>
    <t xml:space="preserve">All other food and drinking places</t>
  </si>
  <si>
    <t xml:space="preserve">722A00</t>
  </si>
  <si>
    <t xml:space="preserve">Automotive repair and maintenance (including car washes)</t>
  </si>
  <si>
    <t xml:space="preserve">Electronic and precision equipment repair and maintenance</t>
  </si>
  <si>
    <t xml:space="preserve">Commercial and industrial machinery and equipment repair and maintenance</t>
  </si>
  <si>
    <t xml:space="preserve">Personal and household goods repair and maintenance</t>
  </si>
  <si>
    <t xml:space="preserve">Personal care services</t>
  </si>
  <si>
    <t xml:space="preserve">Death care services</t>
  </si>
  <si>
    <t xml:space="preserve">Dry-cleaning and laundry services</t>
  </si>
  <si>
    <t xml:space="preserve">Other personal services</t>
  </si>
  <si>
    <t xml:space="preserve">Religious organizations</t>
  </si>
  <si>
    <t xml:space="preserve">Grantmaking, giving, and social advocacy organizations</t>
  </si>
  <si>
    <t xml:space="preserve">813A00</t>
  </si>
  <si>
    <t xml:space="preserve">Civic, social, professional, and similar organizations</t>
  </si>
  <si>
    <t xml:space="preserve">813B00</t>
  </si>
  <si>
    <t xml:space="preserve">Private households</t>
  </si>
  <si>
    <t xml:space="preserve">Federal general government (defense)</t>
  </si>
  <si>
    <t xml:space="preserve">S00500</t>
  </si>
  <si>
    <t xml:space="preserve">Federal general government (nondefense)</t>
  </si>
  <si>
    <t xml:space="preserve">S00600</t>
  </si>
  <si>
    <t xml:space="preserve">Postal service</t>
  </si>
  <si>
    <t xml:space="preserve">Federal electric utilities</t>
  </si>
  <si>
    <t xml:space="preserve">S00101</t>
  </si>
  <si>
    <t xml:space="preserve">Other federal government enterprises</t>
  </si>
  <si>
    <t xml:space="preserve">S00102</t>
  </si>
  <si>
    <t xml:space="preserve">State and local government (educational services)</t>
  </si>
  <si>
    <t xml:space="preserve">GSLGE</t>
  </si>
  <si>
    <t xml:space="preserve">State and local government (hospitals and health services)</t>
  </si>
  <si>
    <t xml:space="preserve">GSLGH</t>
  </si>
  <si>
    <t xml:space="preserve">State and local government (other services)</t>
  </si>
  <si>
    <t xml:space="preserve">GSLGO</t>
  </si>
  <si>
    <t xml:space="preserve">State and local government passenger transit</t>
  </si>
  <si>
    <t xml:space="preserve">S00201</t>
  </si>
  <si>
    <t xml:space="preserve">State and local government electric utilities</t>
  </si>
  <si>
    <t xml:space="preserve">S00202</t>
  </si>
  <si>
    <t xml:space="preserve">Other state and local government enterprises</t>
  </si>
  <si>
    <t xml:space="preserve">S00203</t>
  </si>
  <si>
    <t xml:space="preserve">average</t>
  </si>
  <si>
    <t xml:space="preserve">std-dev</t>
  </si>
  <si>
    <t xml:space="preserve">mean</t>
  </si>
  <si>
    <t xml:space="preserve">standard-deviation</t>
  </si>
  <si>
    <t xml:space="preserve">total</t>
  </si>
  <si>
    <t xml:space="preserve">code</t>
  </si>
  <si>
    <t xml:space="preserve">title</t>
  </si>
  <si>
    <t xml:space="preserve">is_value_added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</si>
</sst>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General"/>
    <numFmt numFmtId="167" formatCode="&quot;TRUE&quot;;&quot;TRUE&quot;;&quot;FALSE&quot;"/>
    <numFmt numFmtId="168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D1D75"/>
        <bgColor rgb="FF993366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 2" xfId="20"/>
    <cellStyle name="Normal_Sheet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D1D7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0" activeCellId="0" sqref="A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3" customFormat="false" ht="12.8" hidden="false" customHeight="false" outlineLevel="0" collapsed="false">
      <c r="A3" s="1" t="s">
        <v>1</v>
      </c>
    </row>
    <row r="5" customFormat="false" ht="12.8" hidden="false" customHeight="false" outlineLevel="0" collapsed="false">
      <c r="A5" s="1" t="s">
        <v>2</v>
      </c>
    </row>
    <row r="7" customFormat="false" ht="12.8" hidden="false" customHeight="false" outlineLevel="0" collapsed="false">
      <c r="A7" s="1" t="s">
        <v>3</v>
      </c>
    </row>
    <row r="9" customFormat="false" ht="12.8" hidden="false" customHeight="false" outlineLevel="0" collapsed="false">
      <c r="A9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12"/>
  <sheetViews>
    <sheetView showFormulas="false" showGridLines="true" showRowColHeaders="true" showZeros="true" rightToLeft="false" tabSelected="false" showOutlineSymbols="true" defaultGridColor="true" view="normal" topLeftCell="J369" colorId="64" zoomScale="120" zoomScaleNormal="120" zoomScalePageLayoutView="100" workbookViewId="0">
      <selection pane="topLeft" activeCell="W390" activeCellId="0" sqref="W39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L1" s="1" t="s">
        <v>5</v>
      </c>
      <c r="P1" s="1" t="s">
        <v>6</v>
      </c>
    </row>
    <row r="2" customFormat="false" ht="12.8" hidden="false" customHeight="false" outlineLevel="0" collapsed="false">
      <c r="C2" s="1" t="n">
        <v>2007</v>
      </c>
      <c r="D2" s="1" t="n">
        <v>2007</v>
      </c>
      <c r="E2" s="1" t="n">
        <v>2007</v>
      </c>
      <c r="F2" s="1" t="n">
        <v>2012</v>
      </c>
      <c r="G2" s="1" t="n">
        <v>2012</v>
      </c>
      <c r="H2" s="1" t="n">
        <v>2012</v>
      </c>
      <c r="I2" s="1" t="n">
        <v>2017</v>
      </c>
      <c r="J2" s="1" t="n">
        <v>2017</v>
      </c>
      <c r="K2" s="1" t="n">
        <v>2017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U2" s="2" t="s">
        <v>7</v>
      </c>
      <c r="V2" s="3" t="s">
        <v>8</v>
      </c>
      <c r="X2" s="2" t="s">
        <v>7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11</v>
      </c>
      <c r="G3" s="1" t="s">
        <v>12</v>
      </c>
      <c r="H3" s="1" t="s">
        <v>13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14</v>
      </c>
      <c r="N3" s="1" t="s">
        <v>14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4" t="s">
        <v>15</v>
      </c>
      <c r="U3" s="5" t="s">
        <v>14</v>
      </c>
      <c r="V3" s="6" t="s">
        <v>14</v>
      </c>
      <c r="W3" s="4" t="s">
        <v>16</v>
      </c>
      <c r="X3" s="5" t="s">
        <v>14</v>
      </c>
      <c r="Y3" s="1" t="s">
        <v>10</v>
      </c>
      <c r="Z3" s="1" t="s">
        <v>9</v>
      </c>
    </row>
    <row r="4" customFormat="false" ht="12.8" hidden="false" customHeight="false" outlineLevel="0" collapsed="false">
      <c r="B4" s="1" t="s">
        <v>17</v>
      </c>
      <c r="C4" s="1" t="s">
        <v>18</v>
      </c>
      <c r="D4" s="1" t="s">
        <v>19</v>
      </c>
      <c r="E4" s="1" t="s">
        <v>20</v>
      </c>
      <c r="F4" s="1" t="s">
        <v>18</v>
      </c>
      <c r="G4" s="1" t="s">
        <v>19</v>
      </c>
      <c r="H4" s="1" t="s">
        <v>20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21</v>
      </c>
      <c r="N4" s="1" t="s">
        <v>22</v>
      </c>
      <c r="O4" s="1" t="s">
        <v>22</v>
      </c>
      <c r="P4" s="1" t="s">
        <v>21</v>
      </c>
      <c r="Q4" s="1" t="s">
        <v>21</v>
      </c>
      <c r="R4" s="1" t="s">
        <v>22</v>
      </c>
      <c r="S4" s="1" t="s">
        <v>22</v>
      </c>
      <c r="T4" s="1" t="s">
        <v>23</v>
      </c>
      <c r="U4" s="5" t="s">
        <v>24</v>
      </c>
      <c r="V4" s="6" t="s">
        <v>24</v>
      </c>
      <c r="W4" s="1" t="s">
        <v>23</v>
      </c>
      <c r="X4" s="5" t="s">
        <v>24</v>
      </c>
      <c r="Y4" s="1" t="s">
        <v>17</v>
      </c>
    </row>
    <row r="5" customFormat="false" ht="12.8" hidden="false" customHeight="false" outlineLevel="0" collapsed="false">
      <c r="A5" s="1" t="s">
        <v>25</v>
      </c>
      <c r="B5" s="1" t="s">
        <v>26</v>
      </c>
      <c r="C5" s="1" t="n">
        <v>24543</v>
      </c>
      <c r="D5" s="1" t="n">
        <v>11139</v>
      </c>
      <c r="E5" s="1" t="n">
        <v>231</v>
      </c>
      <c r="F5" s="1" t="n">
        <v>42373</v>
      </c>
      <c r="G5" s="1" t="n">
        <v>22844</v>
      </c>
      <c r="H5" s="1" t="n">
        <v>54</v>
      </c>
      <c r="I5" s="1" t="n">
        <v>38216</v>
      </c>
      <c r="J5" s="1" t="n">
        <v>17670</v>
      </c>
      <c r="K5" s="1" t="n">
        <v>1062</v>
      </c>
      <c r="L5" s="7" t="n">
        <f aca="false">(J5/G5*F5/I5)</f>
        <v>0.857646624737317</v>
      </c>
      <c r="M5" s="7" t="n">
        <f aca="false">(D5/G5*F5/C5)</f>
        <v>0.841851748259711</v>
      </c>
      <c r="N5" s="7" t="n">
        <f aca="false">(K5/H5*F5/I5)</f>
        <v>21.8059364315121</v>
      </c>
      <c r="O5" s="7" t="n">
        <f aca="false">(E5/H5*F5/C5)</f>
        <v>7.38549801482206</v>
      </c>
      <c r="P5" s="7" t="n">
        <f aca="false">(IF(L5&gt;1,L5,1/L5) - 1)*100</f>
        <v>16.5981385755798</v>
      </c>
      <c r="Q5" s="7" t="n">
        <f aca="false">(IF(M5&gt;1,M5,1/M5) - 1)*100</f>
        <v>18.7857603274229</v>
      </c>
      <c r="R5" s="8" t="n">
        <f aca="false">(IF(N5&gt;1,N5,1/N5) - 1)*100</f>
        <v>2080.59364315121</v>
      </c>
      <c r="S5" s="8" t="n">
        <f aca="false">(IF(O5&gt;1,O5,1/O5) - 1)*100</f>
        <v>638.549801482206</v>
      </c>
      <c r="T5" s="9" t="b">
        <f aca="false">(P5+Q5) &lt; (R5+S5)</f>
        <v>1</v>
      </c>
      <c r="U5" s="10" t="n">
        <f aca="false">IF($T5,P5,R5)</f>
        <v>16.5981385755798</v>
      </c>
      <c r="V5" s="11" t="n">
        <f aca="false">IF($T5,Q5,S5)</f>
        <v>18.7857603274229</v>
      </c>
      <c r="W5" s="12" t="b">
        <f aca="false">P5 &lt; R5</f>
        <v>1</v>
      </c>
      <c r="X5" s="10" t="n">
        <f aca="false">IF($W5,P5,R5)</f>
        <v>16.5981385755798</v>
      </c>
      <c r="Y5" s="1" t="s">
        <v>26</v>
      </c>
      <c r="Z5" s="1" t="s">
        <v>25</v>
      </c>
      <c r="AA5" s="12" t="b">
        <f aca="false">T5=W5</f>
        <v>1</v>
      </c>
    </row>
    <row r="6" customFormat="false" ht="12.8" hidden="false" customHeight="false" outlineLevel="0" collapsed="false">
      <c r="A6" s="1" t="s">
        <v>27</v>
      </c>
      <c r="B6" s="1" t="s">
        <v>28</v>
      </c>
      <c r="C6" s="1" t="n">
        <v>61806</v>
      </c>
      <c r="D6" s="1" t="n">
        <v>17055</v>
      </c>
      <c r="E6" s="1" t="n">
        <v>2250</v>
      </c>
      <c r="F6" s="1" t="n">
        <v>92045</v>
      </c>
      <c r="G6" s="1" t="n">
        <v>28430</v>
      </c>
      <c r="H6" s="1" t="n">
        <v>3182</v>
      </c>
      <c r="I6" s="1" t="n">
        <v>67413</v>
      </c>
      <c r="J6" s="1" t="n">
        <v>19338</v>
      </c>
      <c r="K6" s="1" t="n">
        <v>3149</v>
      </c>
      <c r="L6" s="7" t="n">
        <f aca="false">(J6/G6*F6/I6)</f>
        <v>0.928733783785074</v>
      </c>
      <c r="M6" s="7" t="n">
        <f aca="false">(D6/G6*F6/C6)</f>
        <v>0.89339687403526</v>
      </c>
      <c r="N6" s="7" t="n">
        <f aca="false">(K6/H6*F6/I6)</f>
        <v>1.3512292347882</v>
      </c>
      <c r="O6" s="7" t="n">
        <f aca="false">(E6/H6*F6/C6)</f>
        <v>1.0530570677418</v>
      </c>
      <c r="P6" s="7" t="n">
        <f aca="false">(IF(L6&gt;1,L6,1/L6) - 1)*100</f>
        <v>7.67348162187866</v>
      </c>
      <c r="Q6" s="7" t="n">
        <f aca="false">(IF(M6&gt;1,M6,1/M6) - 1)*100</f>
        <v>11.9323370232133</v>
      </c>
      <c r="R6" s="7" t="n">
        <f aca="false">(IF(N6&gt;1,N6,1/N6) - 1)*100</f>
        <v>35.1229234788199</v>
      </c>
      <c r="S6" s="7" t="n">
        <f aca="false">(IF(O6&gt;1,O6,1/O6) - 1)*100</f>
        <v>5.30570677418014</v>
      </c>
      <c r="T6" s="9" t="n">
        <f aca="false">(P6+Q6) &lt; (R6+S6)</f>
        <v>1</v>
      </c>
      <c r="U6" s="10" t="n">
        <f aca="false">IF($T6,P6,R6)</f>
        <v>7.67348162187866</v>
      </c>
      <c r="V6" s="11" t="n">
        <f aca="false">IF($T6,Q6,S6)</f>
        <v>11.9323370232133</v>
      </c>
      <c r="W6" s="12" t="n">
        <f aca="false">P6 &lt; R6</f>
        <v>1</v>
      </c>
      <c r="X6" s="10" t="n">
        <f aca="false">IF($W6,P6,R6)</f>
        <v>7.67348162187866</v>
      </c>
      <c r="Y6" s="1" t="s">
        <v>28</v>
      </c>
      <c r="Z6" s="1" t="s">
        <v>27</v>
      </c>
      <c r="AA6" s="12" t="n">
        <f aca="false">T6=W6</f>
        <v>1</v>
      </c>
    </row>
    <row r="7" customFormat="false" ht="12.8" hidden="false" customHeight="false" outlineLevel="0" collapsed="false">
      <c r="A7" s="1" t="s">
        <v>29</v>
      </c>
      <c r="B7" s="1" t="n">
        <v>111200</v>
      </c>
      <c r="C7" s="1" t="n">
        <v>18744</v>
      </c>
      <c r="D7" s="1" t="n">
        <v>9457</v>
      </c>
      <c r="E7" s="1" t="n">
        <v>2648</v>
      </c>
      <c r="F7" s="1" t="n">
        <v>14376</v>
      </c>
      <c r="G7" s="1" t="n">
        <v>7050</v>
      </c>
      <c r="H7" s="1" t="n">
        <v>1807</v>
      </c>
      <c r="I7" s="1" t="n">
        <v>18806</v>
      </c>
      <c r="J7" s="1" t="n">
        <v>8151</v>
      </c>
      <c r="K7" s="1" t="n">
        <v>2497</v>
      </c>
      <c r="L7" s="7" t="n">
        <f aca="false">(J7/G7*F7/I7)</f>
        <v>0.883819152330288</v>
      </c>
      <c r="M7" s="7" t="n">
        <f aca="false">(D7/G7*F7/C7)</f>
        <v>1.02882156900137</v>
      </c>
      <c r="N7" s="7" t="n">
        <f aca="false">(K7/H7*F7/I7)</f>
        <v>1.05633585720532</v>
      </c>
      <c r="O7" s="7" t="n">
        <f aca="false">(E7/H7*F7/C7)</f>
        <v>1.12392056216152</v>
      </c>
      <c r="P7" s="7" t="n">
        <f aca="false">(IF(L7&gt;1,L7,1/L7) - 1)*100</f>
        <v>13.1453190806499</v>
      </c>
      <c r="Q7" s="7" t="n">
        <f aca="false">(IF(M7&gt;1,M7,1/M7) - 1)*100</f>
        <v>2.88215690013711</v>
      </c>
      <c r="R7" s="7" t="n">
        <f aca="false">(IF(N7&gt;1,N7,1/N7) - 1)*100</f>
        <v>5.63358572053181</v>
      </c>
      <c r="S7" s="7" t="n">
        <f aca="false">(IF(O7&gt;1,O7,1/O7) - 1)*100</f>
        <v>12.3920562161519</v>
      </c>
      <c r="T7" s="9" t="n">
        <f aca="false">(P7+Q7) &lt; (R7+S7)</f>
        <v>1</v>
      </c>
      <c r="U7" s="10" t="n">
        <f aca="false">IF($T7,P7,R7)</f>
        <v>13.1453190806499</v>
      </c>
      <c r="V7" s="11" t="n">
        <f aca="false">IF($T7,Q7,S7)</f>
        <v>2.88215690013711</v>
      </c>
      <c r="W7" s="12" t="n">
        <f aca="false">P7 &lt; R7</f>
        <v>0</v>
      </c>
      <c r="X7" s="10" t="n">
        <f aca="false">IF($W7,P7,R7)</f>
        <v>5.63358572053181</v>
      </c>
      <c r="Y7" s="1" t="n">
        <v>111200</v>
      </c>
      <c r="Z7" s="1" t="s">
        <v>29</v>
      </c>
      <c r="AA7" s="12" t="n">
        <f aca="false">T7=W7</f>
        <v>0</v>
      </c>
    </row>
    <row r="8" customFormat="false" ht="12.8" hidden="false" customHeight="false" outlineLevel="0" collapsed="false">
      <c r="A8" s="1" t="s">
        <v>30</v>
      </c>
      <c r="B8" s="1" t="n">
        <v>111300</v>
      </c>
      <c r="C8" s="1" t="n">
        <v>18979</v>
      </c>
      <c r="D8" s="1" t="n">
        <v>12049</v>
      </c>
      <c r="E8" s="1" t="n">
        <v>3656</v>
      </c>
      <c r="F8" s="1" t="n">
        <v>26489</v>
      </c>
      <c r="G8" s="1" t="n">
        <v>16815</v>
      </c>
      <c r="H8" s="1" t="n">
        <v>4469</v>
      </c>
      <c r="I8" s="1" t="n">
        <v>29958</v>
      </c>
      <c r="J8" s="1" t="n">
        <v>18235</v>
      </c>
      <c r="K8" s="1" t="n">
        <v>5182</v>
      </c>
      <c r="L8" s="7" t="n">
        <f aca="false">(J8/G8*F8/I8)</f>
        <v>0.958874220915923</v>
      </c>
      <c r="M8" s="7" t="n">
        <f aca="false">(D8/G8*F8/C8)</f>
        <v>1.00010677717145</v>
      </c>
      <c r="N8" s="7" t="n">
        <f aca="false">(K8/H8*F8/I8)</f>
        <v>1.02527366163752</v>
      </c>
      <c r="O8" s="7" t="n">
        <f aca="false">(E8/H8*F8/C8)</f>
        <v>1.14179482402091</v>
      </c>
      <c r="P8" s="7" t="n">
        <f aca="false">(IF(L8&gt;1,L8,1/L8) - 1)*100</f>
        <v>4.2889649327305</v>
      </c>
      <c r="Q8" s="7" t="n">
        <f aca="false">(IF(M8&gt;1,M8,1/M8) - 1)*100</f>
        <v>0.0106777171450689</v>
      </c>
      <c r="R8" s="7" t="n">
        <f aca="false">(IF(N8&gt;1,N8,1/N8) - 1)*100</f>
        <v>2.5273661637518</v>
      </c>
      <c r="S8" s="7" t="n">
        <f aca="false">(IF(O8&gt;1,O8,1/O8) - 1)*100</f>
        <v>14.1794824020911</v>
      </c>
      <c r="T8" s="9" t="n">
        <f aca="false">(P8+Q8) &lt; (R8+S8)</f>
        <v>1</v>
      </c>
      <c r="U8" s="10" t="n">
        <f aca="false">IF($T8,P8,R8)</f>
        <v>4.2889649327305</v>
      </c>
      <c r="V8" s="11" t="n">
        <f aca="false">IF($T8,Q8,S8)</f>
        <v>0.0106777171450689</v>
      </c>
      <c r="W8" s="12" t="n">
        <f aca="false">P8 &lt; R8</f>
        <v>0</v>
      </c>
      <c r="X8" s="10" t="n">
        <f aca="false">IF($W8,P8,R8)</f>
        <v>2.5273661637518</v>
      </c>
      <c r="Y8" s="1" t="n">
        <v>111300</v>
      </c>
      <c r="Z8" s="1" t="s">
        <v>30</v>
      </c>
      <c r="AA8" s="12" t="n">
        <f aca="false">T8=W8</f>
        <v>0</v>
      </c>
    </row>
    <row r="9" customFormat="false" ht="12.8" hidden="false" customHeight="false" outlineLevel="0" collapsed="false">
      <c r="A9" s="1" t="s">
        <v>31</v>
      </c>
      <c r="B9" s="1" t="n">
        <v>111400</v>
      </c>
      <c r="C9" s="1" t="n">
        <v>18600</v>
      </c>
      <c r="D9" s="1" t="n">
        <v>10308</v>
      </c>
      <c r="E9" s="1" t="n">
        <v>5709</v>
      </c>
      <c r="F9" s="1" t="n">
        <v>22026</v>
      </c>
      <c r="G9" s="1" t="n">
        <v>10495</v>
      </c>
      <c r="H9" s="1" t="n">
        <v>5725</v>
      </c>
      <c r="I9" s="1" t="n">
        <v>19868</v>
      </c>
      <c r="J9" s="1" t="n">
        <v>10233</v>
      </c>
      <c r="K9" s="1" t="n">
        <v>5456</v>
      </c>
      <c r="L9" s="7" t="n">
        <f aca="false">(J9/G9*F9/I9)</f>
        <v>1.08094106188985</v>
      </c>
      <c r="M9" s="7" t="n">
        <f aca="false">(D9/G9*F9/C9)</f>
        <v>1.16309357758687</v>
      </c>
      <c r="N9" s="7" t="n">
        <f aca="false">(K9/H9*F9/I9)</f>
        <v>1.05652640176255</v>
      </c>
      <c r="O9" s="7" t="n">
        <f aca="false">(E9/H9*F9/C9)</f>
        <v>1.18088401183265</v>
      </c>
      <c r="P9" s="7" t="n">
        <f aca="false">(IF(L9&gt;1,L9,1/L9) - 1)*100</f>
        <v>8.09410618898452</v>
      </c>
      <c r="Q9" s="7" t="n">
        <f aca="false">(IF(M9&gt;1,M9,1/M9) - 1)*100</f>
        <v>16.3093577586869</v>
      </c>
      <c r="R9" s="7" t="n">
        <f aca="false">(IF(N9&gt;1,N9,1/N9) - 1)*100</f>
        <v>5.65264017625498</v>
      </c>
      <c r="S9" s="7" t="n">
        <f aca="false">(IF(O9&gt;1,O9,1/O9) - 1)*100</f>
        <v>18.0884011832652</v>
      </c>
      <c r="T9" s="9" t="n">
        <f aca="false">(P9+Q9) &lt; (R9+S9)</f>
        <v>0</v>
      </c>
      <c r="U9" s="10" t="n">
        <f aca="false">IF($T9,P9,R9)</f>
        <v>5.65264017625498</v>
      </c>
      <c r="V9" s="11" t="n">
        <f aca="false">IF($T9,Q9,S9)</f>
        <v>18.0884011832652</v>
      </c>
      <c r="W9" s="12" t="n">
        <f aca="false">P9 &lt; R9</f>
        <v>0</v>
      </c>
      <c r="X9" s="10" t="n">
        <f aca="false">IF($W9,P9,R9)</f>
        <v>5.65264017625498</v>
      </c>
      <c r="Y9" s="1" t="n">
        <v>111400</v>
      </c>
      <c r="Z9" s="1" t="s">
        <v>31</v>
      </c>
      <c r="AA9" s="12" t="n">
        <f aca="false">T9=W9</f>
        <v>1</v>
      </c>
    </row>
    <row r="10" customFormat="false" ht="12.8" hidden="false" customHeight="false" outlineLevel="0" collapsed="false">
      <c r="A10" s="1" t="s">
        <v>32</v>
      </c>
      <c r="B10" s="1" t="n">
        <v>111900</v>
      </c>
      <c r="C10" s="1" t="n">
        <v>21843</v>
      </c>
      <c r="D10" s="1" t="n">
        <v>10833</v>
      </c>
      <c r="E10" s="1" t="n">
        <v>4209</v>
      </c>
      <c r="F10" s="1" t="n">
        <v>28410</v>
      </c>
      <c r="G10" s="1" t="n">
        <v>11697</v>
      </c>
      <c r="H10" s="1" t="n">
        <v>6251</v>
      </c>
      <c r="I10" s="1" t="n">
        <v>27160</v>
      </c>
      <c r="J10" s="1" t="n">
        <v>9665</v>
      </c>
      <c r="K10" s="1" t="n">
        <v>4823</v>
      </c>
      <c r="L10" s="7" t="n">
        <f aca="false">(J10/G10*F10/I10)</f>
        <v>0.86430860448716</v>
      </c>
      <c r="M10" s="7" t="n">
        <f aca="false">(D10/G10*F10/C10)</f>
        <v>1.20457321294847</v>
      </c>
      <c r="N10" s="7" t="n">
        <f aca="false">(K10/H10*F10/I10)</f>
        <v>0.807066333304197</v>
      </c>
      <c r="O10" s="7" t="n">
        <f aca="false">(E10/H10*F10/C10)</f>
        <v>0.875766593455472</v>
      </c>
      <c r="P10" s="7" t="n">
        <f aca="false">(IF(L10&gt;1,L10,1/L10) - 1)*100</f>
        <v>15.6994150941438</v>
      </c>
      <c r="Q10" s="7" t="n">
        <f aca="false">(IF(M10&gt;1,M10,1/M10) - 1)*100</f>
        <v>20.4573212948471</v>
      </c>
      <c r="R10" s="7" t="n">
        <f aca="false">(IF(N10&gt;1,N10,1/N10) - 1)*100</f>
        <v>23.9055525840009</v>
      </c>
      <c r="S10" s="7" t="n">
        <f aca="false">(IF(O10&gt;1,O10,1/O10) - 1)*100</f>
        <v>14.1856754382862</v>
      </c>
      <c r="T10" s="9" t="n">
        <f aca="false">(P10+Q10) &lt; (R10+S10)</f>
        <v>1</v>
      </c>
      <c r="U10" s="10" t="n">
        <f aca="false">IF($T10,P10,R10)</f>
        <v>15.6994150941438</v>
      </c>
      <c r="V10" s="11" t="n">
        <f aca="false">IF($T10,Q10,S10)</f>
        <v>20.4573212948471</v>
      </c>
      <c r="W10" s="12" t="n">
        <f aca="false">P10 &lt; R10</f>
        <v>1</v>
      </c>
      <c r="X10" s="10" t="n">
        <f aca="false">IF($W10,P10,R10)</f>
        <v>15.6994150941438</v>
      </c>
      <c r="Y10" s="1" t="n">
        <v>111900</v>
      </c>
      <c r="Z10" s="1" t="s">
        <v>32</v>
      </c>
      <c r="AA10" s="12" t="n">
        <f aca="false">T10=W10</f>
        <v>1</v>
      </c>
    </row>
    <row r="11" customFormat="false" ht="12.8" hidden="false" customHeight="false" outlineLevel="0" collapsed="false">
      <c r="A11" s="1" t="s">
        <v>33</v>
      </c>
      <c r="B11" s="1" t="n">
        <v>112120</v>
      </c>
      <c r="C11" s="1" t="n">
        <v>36200</v>
      </c>
      <c r="D11" s="1" t="n">
        <v>12118</v>
      </c>
      <c r="E11" s="1" t="n">
        <v>2314</v>
      </c>
      <c r="F11" s="1" t="n">
        <v>38013</v>
      </c>
      <c r="G11" s="1" t="n">
        <v>7580</v>
      </c>
      <c r="H11" s="1" t="n">
        <v>1864</v>
      </c>
      <c r="I11" s="1" t="n">
        <v>38538</v>
      </c>
      <c r="J11" s="1" t="n">
        <v>9616</v>
      </c>
      <c r="K11" s="1" t="n">
        <v>2179</v>
      </c>
      <c r="L11" s="7" t="n">
        <f aca="false">(J11/G11*F11/I11)</f>
        <v>1.25131952822907</v>
      </c>
      <c r="M11" s="7" t="n">
        <f aca="false">(D11/G11*F11/C11)</f>
        <v>1.67874726307964</v>
      </c>
      <c r="N11" s="7" t="n">
        <f aca="false">(K11/H11*F11/I11)</f>
        <v>1.15306634252308</v>
      </c>
      <c r="O11" s="7" t="n">
        <f aca="false">(E11/H11*F11/C11)</f>
        <v>1.30359000426813</v>
      </c>
      <c r="P11" s="7" t="n">
        <f aca="false">(IF(L11&gt;1,L11,1/L11) - 1)*100</f>
        <v>25.1319528229068</v>
      </c>
      <c r="Q11" s="7" t="n">
        <f aca="false">(IF(M11&gt;1,M11,1/M11) - 1)*100</f>
        <v>67.8747263079637</v>
      </c>
      <c r="R11" s="7" t="n">
        <f aca="false">(IF(N11&gt;1,N11,1/N11) - 1)*100</f>
        <v>15.3066342523081</v>
      </c>
      <c r="S11" s="7" t="n">
        <f aca="false">(IF(O11&gt;1,O11,1/O11) - 1)*100</f>
        <v>30.3590004268134</v>
      </c>
      <c r="T11" s="9" t="n">
        <f aca="false">(P11+Q11) &lt; (R11+S11)</f>
        <v>0</v>
      </c>
      <c r="U11" s="10" t="n">
        <f aca="false">IF($T11,P11,R11)</f>
        <v>15.3066342523081</v>
      </c>
      <c r="V11" s="11" t="n">
        <f aca="false">IF($T11,Q11,S11)</f>
        <v>30.3590004268134</v>
      </c>
      <c r="W11" s="12" t="n">
        <f aca="false">P11 &lt; R11</f>
        <v>0</v>
      </c>
      <c r="X11" s="10" t="n">
        <f aca="false">IF($W11,P11,R11)</f>
        <v>15.3066342523081</v>
      </c>
      <c r="Y11" s="1" t="n">
        <v>112120</v>
      </c>
      <c r="Z11" s="1" t="s">
        <v>33</v>
      </c>
      <c r="AA11" s="12" t="n">
        <f aca="false">T11=W11</f>
        <v>1</v>
      </c>
    </row>
    <row r="12" customFormat="false" ht="12.8" hidden="false" customHeight="false" outlineLevel="0" collapsed="false">
      <c r="A12" s="1" t="s">
        <v>34</v>
      </c>
      <c r="B12" s="1" t="s">
        <v>35</v>
      </c>
      <c r="C12" s="1" t="n">
        <v>57358</v>
      </c>
      <c r="D12" s="1" t="n">
        <v>23062</v>
      </c>
      <c r="E12" s="1" t="n">
        <v>799</v>
      </c>
      <c r="F12" s="1" t="n">
        <v>78171</v>
      </c>
      <c r="G12" s="1" t="n">
        <v>23986</v>
      </c>
      <c r="H12" s="1" t="n">
        <v>1150</v>
      </c>
      <c r="I12" s="1" t="n">
        <v>88052</v>
      </c>
      <c r="J12" s="1" t="n">
        <v>27302</v>
      </c>
      <c r="K12" s="1" t="n">
        <v>1231</v>
      </c>
      <c r="L12" s="7" t="n">
        <f aca="false">(J12/G12*F12/I12)</f>
        <v>1.01051572414956</v>
      </c>
      <c r="M12" s="7" t="n">
        <f aca="false">(D12/G12*F12/C12)</f>
        <v>1.31036054055115</v>
      </c>
      <c r="N12" s="7" t="n">
        <f aca="false">(K12/H12*F12/I12)</f>
        <v>0.950312967238727</v>
      </c>
      <c r="O12" s="7" t="n">
        <f aca="false">(E12/H12*F12/C12)</f>
        <v>0.946892348135357</v>
      </c>
      <c r="P12" s="7" t="n">
        <f aca="false">(IF(L12&gt;1,L12,1/L12) - 1)*100</f>
        <v>1.05157241495553</v>
      </c>
      <c r="Q12" s="7" t="n">
        <f aca="false">(IF(M12&gt;1,M12,1/M12) - 1)*100</f>
        <v>31.036054055115</v>
      </c>
      <c r="R12" s="7" t="n">
        <f aca="false">(IF(N12&gt;1,N12,1/N12) - 1)*100</f>
        <v>5.22849150481934</v>
      </c>
      <c r="S12" s="7" t="n">
        <f aca="false">(IF(O12&gt;1,O12,1/O12) - 1)*100</f>
        <v>5.60862615156026</v>
      </c>
      <c r="T12" s="9" t="n">
        <f aca="false">(P12+Q12) &lt; (R12+S12)</f>
        <v>0</v>
      </c>
      <c r="U12" s="10" t="n">
        <f aca="false">IF($T12,P12,R12)</f>
        <v>5.22849150481934</v>
      </c>
      <c r="V12" s="11" t="n">
        <f aca="false">IF($T12,Q12,S12)</f>
        <v>5.60862615156026</v>
      </c>
      <c r="W12" s="12" t="n">
        <f aca="false">P12 &lt; R12</f>
        <v>1</v>
      </c>
      <c r="X12" s="10" t="n">
        <f aca="false">IF($W12,P12,R12)</f>
        <v>1.05157241495553</v>
      </c>
      <c r="Y12" s="1" t="s">
        <v>35</v>
      </c>
      <c r="Z12" s="1" t="s">
        <v>34</v>
      </c>
      <c r="AA12" s="12" t="n">
        <f aca="false">T12=W12</f>
        <v>0</v>
      </c>
    </row>
    <row r="13" customFormat="false" ht="12.8" hidden="false" customHeight="false" outlineLevel="0" collapsed="false">
      <c r="A13" s="1" t="s">
        <v>36</v>
      </c>
      <c r="B13" s="1" t="n">
        <v>112300</v>
      </c>
      <c r="C13" s="1" t="n">
        <v>33519</v>
      </c>
      <c r="D13" s="1" t="n">
        <v>4891</v>
      </c>
      <c r="E13" s="1" t="n">
        <v>1720</v>
      </c>
      <c r="F13" s="1" t="n">
        <v>38743</v>
      </c>
      <c r="G13" s="1" t="n">
        <v>4006</v>
      </c>
      <c r="H13" s="1" t="n">
        <v>1657</v>
      </c>
      <c r="I13" s="1" t="n">
        <v>44568</v>
      </c>
      <c r="J13" s="1" t="n">
        <v>5812</v>
      </c>
      <c r="K13" s="1" t="n">
        <v>2521</v>
      </c>
      <c r="L13" s="7" t="n">
        <f aca="false">(J13/G13*F13/I13)</f>
        <v>1.26120232234667</v>
      </c>
      <c r="M13" s="7" t="n">
        <f aca="false">(D13/G13*F13/C13)</f>
        <v>1.41120111503141</v>
      </c>
      <c r="N13" s="7" t="n">
        <f aca="false">(K13/H13*F13/I13)</f>
        <v>1.32257539339369</v>
      </c>
      <c r="O13" s="7" t="n">
        <f aca="false">(E13/H13*F13/C13)</f>
        <v>1.19979799421267</v>
      </c>
      <c r="P13" s="7" t="n">
        <f aca="false">(IF(L13&gt;1,L13,1/L13) - 1)*100</f>
        <v>26.1202322346672</v>
      </c>
      <c r="Q13" s="7" t="n">
        <f aca="false">(IF(M13&gt;1,M13,1/M13) - 1)*100</f>
        <v>41.1201115031412</v>
      </c>
      <c r="R13" s="7" t="n">
        <f aca="false">(IF(N13&gt;1,N13,1/N13) - 1)*100</f>
        <v>32.2575393393692</v>
      </c>
      <c r="S13" s="7" t="n">
        <f aca="false">(IF(O13&gt;1,O13,1/O13) - 1)*100</f>
        <v>19.979799421267</v>
      </c>
      <c r="T13" s="9" t="n">
        <f aca="false">(P13+Q13) &lt; (R13+S13)</f>
        <v>0</v>
      </c>
      <c r="U13" s="10" t="n">
        <f aca="false">IF($T13,P13,R13)</f>
        <v>32.2575393393692</v>
      </c>
      <c r="V13" s="11" t="n">
        <f aca="false">IF($T13,Q13,S13)</f>
        <v>19.979799421267</v>
      </c>
      <c r="W13" s="12" t="n">
        <f aca="false">P13 &lt; R13</f>
        <v>1</v>
      </c>
      <c r="X13" s="10" t="n">
        <f aca="false">IF($W13,P13,R13)</f>
        <v>26.1202322346672</v>
      </c>
      <c r="Y13" s="1" t="n">
        <v>112300</v>
      </c>
      <c r="Z13" s="1" t="s">
        <v>36</v>
      </c>
      <c r="AA13" s="12" t="n">
        <f aca="false">T13=W13</f>
        <v>0</v>
      </c>
    </row>
    <row r="14" customFormat="false" ht="12.8" hidden="false" customHeight="false" outlineLevel="0" collapsed="false">
      <c r="A14" s="1" t="s">
        <v>37</v>
      </c>
      <c r="B14" s="1" t="s">
        <v>38</v>
      </c>
      <c r="C14" s="1" t="n">
        <v>23821</v>
      </c>
      <c r="D14" s="1" t="n">
        <v>17562</v>
      </c>
      <c r="E14" s="1" t="n">
        <v>1802</v>
      </c>
      <c r="F14" s="1" t="n">
        <v>32280</v>
      </c>
      <c r="G14" s="1" t="n">
        <v>24609</v>
      </c>
      <c r="H14" s="1" t="n">
        <v>2145</v>
      </c>
      <c r="I14" s="1" t="n">
        <v>33065</v>
      </c>
      <c r="J14" s="1" t="n">
        <v>22827</v>
      </c>
      <c r="K14" s="1" t="n">
        <v>2761</v>
      </c>
      <c r="L14" s="7" t="n">
        <f aca="false">(J14/G14*F14/I14)</f>
        <v>0.905565506336739</v>
      </c>
      <c r="M14" s="7" t="n">
        <f aca="false">(D14/G14*F14/C14)</f>
        <v>0.967060274607032</v>
      </c>
      <c r="N14" s="7" t="n">
        <f aca="false">(K14/H14*F14/I14)</f>
        <v>1.25662040968256</v>
      </c>
      <c r="O14" s="7" t="n">
        <f aca="false">(E14/H14*F14/C14)</f>
        <v>1.1384160946312</v>
      </c>
      <c r="P14" s="7" t="n">
        <f aca="false">(IF(L14&gt;1,L14,1/L14) - 1)*100</f>
        <v>10.4282344018684</v>
      </c>
      <c r="Q14" s="7" t="n">
        <f aca="false">(IF(M14&gt;1,M14,1/M14) - 1)*100</f>
        <v>3.4061708724777</v>
      </c>
      <c r="R14" s="7" t="n">
        <f aca="false">(IF(N14&gt;1,N14,1/N14) - 1)*100</f>
        <v>25.662040968256</v>
      </c>
      <c r="S14" s="7" t="n">
        <f aca="false">(IF(O14&gt;1,O14,1/O14) - 1)*100</f>
        <v>13.8416094631199</v>
      </c>
      <c r="T14" s="9" t="n">
        <f aca="false">(P14+Q14) &lt; (R14+S14)</f>
        <v>1</v>
      </c>
      <c r="U14" s="10" t="n">
        <f aca="false">IF($T14,P14,R14)</f>
        <v>10.4282344018684</v>
      </c>
      <c r="V14" s="11" t="n">
        <f aca="false">IF($T14,Q14,S14)</f>
        <v>3.4061708724777</v>
      </c>
      <c r="W14" s="12" t="n">
        <f aca="false">P14 &lt; R14</f>
        <v>1</v>
      </c>
      <c r="X14" s="10" t="n">
        <f aca="false">IF($W14,P14,R14)</f>
        <v>10.4282344018684</v>
      </c>
      <c r="Y14" s="1" t="s">
        <v>38</v>
      </c>
      <c r="Z14" s="1" t="s">
        <v>37</v>
      </c>
      <c r="AA14" s="12" t="n">
        <f aca="false">T14=W14</f>
        <v>1</v>
      </c>
    </row>
    <row r="15" customFormat="false" ht="12.8" hidden="false" customHeight="false" outlineLevel="0" collapsed="false">
      <c r="A15" s="1" t="s">
        <v>39</v>
      </c>
      <c r="B15" s="1" t="n">
        <v>113000</v>
      </c>
      <c r="C15" s="1" t="n">
        <v>19068</v>
      </c>
      <c r="D15" s="1" t="n">
        <v>10103</v>
      </c>
      <c r="E15" s="1" t="n">
        <v>6693</v>
      </c>
      <c r="F15" s="1" t="n">
        <v>15719</v>
      </c>
      <c r="G15" s="1" t="n">
        <v>8435</v>
      </c>
      <c r="H15" s="1" t="n">
        <v>6338</v>
      </c>
      <c r="I15" s="1" t="n">
        <v>18766</v>
      </c>
      <c r="J15" s="1" t="n">
        <v>10628</v>
      </c>
      <c r="K15" s="1" t="n">
        <v>8288</v>
      </c>
      <c r="L15" s="7" t="n">
        <f aca="false">(J15/G15*F15/I15)</f>
        <v>1.05540624776322</v>
      </c>
      <c r="M15" s="7" t="n">
        <f aca="false">(D15/G15*F15/C15)</f>
        <v>0.987381615779</v>
      </c>
      <c r="N15" s="7" t="n">
        <f aca="false">(K15/H15*F15/I15)</f>
        <v>1.09534444355248</v>
      </c>
      <c r="O15" s="7" t="n">
        <f aca="false">(E15/H15*F15/C15)</f>
        <v>0.870539257847369</v>
      </c>
      <c r="P15" s="7" t="n">
        <f aca="false">(IF(L15&gt;1,L15,1/L15) - 1)*100</f>
        <v>5.54062477632207</v>
      </c>
      <c r="Q15" s="7" t="n">
        <f aca="false">(IF(M15&gt;1,M15,1/M15) - 1)*100</f>
        <v>1.27796426623199</v>
      </c>
      <c r="R15" s="7" t="n">
        <f aca="false">(IF(N15&gt;1,N15,1/N15) - 1)*100</f>
        <v>9.53444435524831</v>
      </c>
      <c r="S15" s="7" t="n">
        <f aca="false">(IF(O15&gt;1,O15,1/O15) - 1)*100</f>
        <v>14.8713272819833</v>
      </c>
      <c r="T15" s="9" t="n">
        <f aca="false">(P15+Q15) &lt; (R15+S15)</f>
        <v>1</v>
      </c>
      <c r="U15" s="10" t="n">
        <f aca="false">IF($T15,P15,R15)</f>
        <v>5.54062477632207</v>
      </c>
      <c r="V15" s="11" t="n">
        <f aca="false">IF($T15,Q15,S15)</f>
        <v>1.27796426623199</v>
      </c>
      <c r="W15" s="12" t="n">
        <f aca="false">P15 &lt; R15</f>
        <v>1</v>
      </c>
      <c r="X15" s="10" t="n">
        <f aca="false">IF($W15,P15,R15)</f>
        <v>5.54062477632207</v>
      </c>
      <c r="Y15" s="1" t="n">
        <v>113000</v>
      </c>
      <c r="Z15" s="1" t="s">
        <v>39</v>
      </c>
      <c r="AA15" s="12" t="n">
        <f aca="false">T15=W15</f>
        <v>1</v>
      </c>
    </row>
    <row r="16" customFormat="false" ht="12.8" hidden="false" customHeight="false" outlineLevel="0" collapsed="false">
      <c r="A16" s="1" t="s">
        <v>40</v>
      </c>
      <c r="B16" s="1" t="n">
        <v>114000</v>
      </c>
      <c r="C16" s="1" t="n">
        <v>6437</v>
      </c>
      <c r="D16" s="1" t="n">
        <v>4342</v>
      </c>
      <c r="E16" s="1" t="n">
        <v>605</v>
      </c>
      <c r="F16" s="1" t="n">
        <v>7774</v>
      </c>
      <c r="G16" s="1" t="n">
        <v>5435</v>
      </c>
      <c r="H16" s="1" t="n">
        <v>1078</v>
      </c>
      <c r="I16" s="1" t="n">
        <v>8480</v>
      </c>
      <c r="J16" s="1" t="n">
        <v>6436</v>
      </c>
      <c r="K16" s="1" t="n">
        <v>895</v>
      </c>
      <c r="L16" s="7" t="n">
        <f aca="false">(J16/G16*F16/I16)</f>
        <v>1.08558834250404</v>
      </c>
      <c r="M16" s="7" t="n">
        <f aca="false">(D16/G16*F16/C16)</f>
        <v>0.964831108790758</v>
      </c>
      <c r="N16" s="7" t="n">
        <f aca="false">(K16/H16*F16/I16)</f>
        <v>0.761119692302307</v>
      </c>
      <c r="O16" s="7" t="n">
        <f aca="false">(E16/H16*F16/C16)</f>
        <v>0.677793876599886</v>
      </c>
      <c r="P16" s="7" t="n">
        <f aca="false">(IF(L16&gt;1,L16,1/L16) - 1)*100</f>
        <v>8.55883425040356</v>
      </c>
      <c r="Q16" s="7" t="n">
        <f aca="false">(IF(M16&gt;1,M16,1/M16) - 1)*100</f>
        <v>3.64508263558376</v>
      </c>
      <c r="R16" s="7" t="n">
        <f aca="false">(IF(N16&gt;1,N16,1/N16) - 1)*100</f>
        <v>31.3853800018109</v>
      </c>
      <c r="S16" s="7" t="n">
        <f aca="false">(IF(O16&gt;1,O16,1/O16) - 1)*100</f>
        <v>47.5374792431649</v>
      </c>
      <c r="T16" s="9" t="n">
        <f aca="false">(P16+Q16) &lt; (R16+S16)</f>
        <v>1</v>
      </c>
      <c r="U16" s="10" t="n">
        <f aca="false">IF($T16,P16,R16)</f>
        <v>8.55883425040356</v>
      </c>
      <c r="V16" s="11" t="n">
        <f aca="false">IF($T16,Q16,S16)</f>
        <v>3.64508263558376</v>
      </c>
      <c r="W16" s="12" t="n">
        <f aca="false">P16 &lt; R16</f>
        <v>1</v>
      </c>
      <c r="X16" s="10" t="n">
        <f aca="false">IF($W16,P16,R16)</f>
        <v>8.55883425040356</v>
      </c>
      <c r="Y16" s="1" t="n">
        <v>114000</v>
      </c>
      <c r="Z16" s="1" t="s">
        <v>40</v>
      </c>
      <c r="AA16" s="12" t="n">
        <f aca="false">T16=W16</f>
        <v>1</v>
      </c>
    </row>
    <row r="17" customFormat="false" ht="12.8" hidden="false" customHeight="false" outlineLevel="0" collapsed="false">
      <c r="A17" s="1" t="s">
        <v>41</v>
      </c>
      <c r="B17" s="1" t="n">
        <v>115000</v>
      </c>
      <c r="C17" s="1" t="n">
        <v>18545</v>
      </c>
      <c r="D17" s="1" t="n">
        <v>13457</v>
      </c>
      <c r="E17" s="1" t="n">
        <v>9166</v>
      </c>
      <c r="F17" s="1" t="n">
        <v>22763</v>
      </c>
      <c r="G17" s="1" t="n">
        <v>16199</v>
      </c>
      <c r="H17" s="1" t="n">
        <v>12344</v>
      </c>
      <c r="I17" s="1" t="n">
        <v>25650</v>
      </c>
      <c r="J17" s="1" t="n">
        <v>20557</v>
      </c>
      <c r="K17" s="1" t="n">
        <v>16148</v>
      </c>
      <c r="L17" s="7" t="n">
        <f aca="false">(J17/G17*F17/I17)</f>
        <v>1.12619516739115</v>
      </c>
      <c r="M17" s="7" t="n">
        <f aca="false">(D17/G17*F17/C17)</f>
        <v>1.01967719798567</v>
      </c>
      <c r="N17" s="7" t="n">
        <f aca="false">(K17/H17*F17/I17)</f>
        <v>1.1609271197725</v>
      </c>
      <c r="O17" s="7" t="n">
        <f aca="false">(E17/H17*F17/C17)</f>
        <v>0.911436886017739</v>
      </c>
      <c r="P17" s="7" t="n">
        <f aca="false">(IF(L17&gt;1,L17,1/L17) - 1)*100</f>
        <v>12.6195167391147</v>
      </c>
      <c r="Q17" s="7" t="n">
        <f aca="false">(IF(M17&gt;1,M17,1/M17) - 1)*100</f>
        <v>1.96771979856694</v>
      </c>
      <c r="R17" s="7" t="n">
        <f aca="false">(IF(N17&gt;1,N17,1/N17) - 1)*100</f>
        <v>16.09271197725</v>
      </c>
      <c r="S17" s="7" t="n">
        <f aca="false">(IF(O17&gt;1,O17,1/O17) - 1)*100</f>
        <v>9.71686743656082</v>
      </c>
      <c r="T17" s="9" t="n">
        <f aca="false">(P17+Q17) &lt; (R17+S17)</f>
        <v>1</v>
      </c>
      <c r="U17" s="10" t="n">
        <f aca="false">IF($T17,P17,R17)</f>
        <v>12.6195167391147</v>
      </c>
      <c r="V17" s="11" t="n">
        <f aca="false">IF($T17,Q17,S17)</f>
        <v>1.96771979856694</v>
      </c>
      <c r="W17" s="12" t="n">
        <f aca="false">P17 &lt; R17</f>
        <v>1</v>
      </c>
      <c r="X17" s="10" t="n">
        <f aca="false">IF($W17,P17,R17)</f>
        <v>12.6195167391147</v>
      </c>
      <c r="Y17" s="1" t="n">
        <v>115000</v>
      </c>
      <c r="Z17" s="1" t="s">
        <v>41</v>
      </c>
      <c r="AA17" s="12" t="n">
        <f aca="false">T17=W17</f>
        <v>1</v>
      </c>
    </row>
    <row r="18" customFormat="false" ht="12.8" hidden="false" customHeight="false" outlineLevel="0" collapsed="false">
      <c r="A18" s="1" t="s">
        <v>42</v>
      </c>
      <c r="B18" s="1" t="n">
        <v>211000</v>
      </c>
      <c r="C18" s="1" t="n">
        <v>266000</v>
      </c>
      <c r="D18" s="1" t="n">
        <v>195059</v>
      </c>
      <c r="E18" s="1" t="n">
        <v>22581</v>
      </c>
      <c r="F18" s="1" t="n">
        <v>348584</v>
      </c>
      <c r="G18" s="1" t="n">
        <v>210886</v>
      </c>
      <c r="H18" s="1" t="n">
        <v>34979</v>
      </c>
      <c r="I18" s="1" t="n">
        <v>245652</v>
      </c>
      <c r="J18" s="1" t="n">
        <v>152768</v>
      </c>
      <c r="K18" s="1" t="n">
        <v>29293</v>
      </c>
      <c r="L18" s="7" t="n">
        <f aca="false">(J18/G18*F18/I18)</f>
        <v>1.0279495207675</v>
      </c>
      <c r="M18" s="7" t="n">
        <f aca="false">(D18/G18*F18/C18)</f>
        <v>1.21211564427889</v>
      </c>
      <c r="N18" s="7" t="n">
        <f aca="false">(K18/H18*F18/I18)</f>
        <v>1.18834791061684</v>
      </c>
      <c r="O18" s="7" t="n">
        <f aca="false">(E18/H18*F18/C18)</f>
        <v>0.845982917785043</v>
      </c>
      <c r="P18" s="7" t="n">
        <f aca="false">(IF(L18&gt;1,L18,1/L18) - 1)*100</f>
        <v>2.79495207675013</v>
      </c>
      <c r="Q18" s="7" t="n">
        <f aca="false">(IF(M18&gt;1,M18,1/M18) - 1)*100</f>
        <v>21.2115644278892</v>
      </c>
      <c r="R18" s="7" t="n">
        <f aca="false">(IF(N18&gt;1,N18,1/N18) - 1)*100</f>
        <v>18.8347910616844</v>
      </c>
      <c r="S18" s="7" t="n">
        <f aca="false">(IF(O18&gt;1,O18,1/O18) - 1)*100</f>
        <v>18.2056964717687</v>
      </c>
      <c r="T18" s="9" t="n">
        <f aca="false">(P18+Q18) &lt; (R18+S18)</f>
        <v>1</v>
      </c>
      <c r="U18" s="10" t="n">
        <f aca="false">IF($T18,P18,R18)</f>
        <v>2.79495207675013</v>
      </c>
      <c r="V18" s="11" t="n">
        <f aca="false">IF($T18,Q18,S18)</f>
        <v>21.2115644278892</v>
      </c>
      <c r="W18" s="12" t="n">
        <f aca="false">P18 &lt; R18</f>
        <v>1</v>
      </c>
      <c r="X18" s="10" t="n">
        <f aca="false">IF($W18,P18,R18)</f>
        <v>2.79495207675013</v>
      </c>
      <c r="Y18" s="1" t="n">
        <v>211000</v>
      </c>
      <c r="Z18" s="1" t="s">
        <v>42</v>
      </c>
      <c r="AA18" s="12" t="n">
        <f aca="false">T18=W18</f>
        <v>1</v>
      </c>
    </row>
    <row r="19" customFormat="false" ht="12.8" hidden="false" customHeight="false" outlineLevel="0" collapsed="false">
      <c r="A19" s="1" t="s">
        <v>43</v>
      </c>
      <c r="B19" s="1" t="n">
        <v>212100</v>
      </c>
      <c r="C19" s="1" t="n">
        <v>41094</v>
      </c>
      <c r="D19" s="1" t="n">
        <v>22946</v>
      </c>
      <c r="E19" s="1" t="n">
        <v>7334</v>
      </c>
      <c r="F19" s="1" t="n">
        <v>52510</v>
      </c>
      <c r="G19" s="1" t="n">
        <v>29013</v>
      </c>
      <c r="H19" s="1" t="n">
        <v>9283</v>
      </c>
      <c r="I19" s="1" t="n">
        <v>35823</v>
      </c>
      <c r="J19" s="1" t="n">
        <v>18123</v>
      </c>
      <c r="K19" s="1" t="n">
        <v>5561</v>
      </c>
      <c r="L19" s="7" t="n">
        <f aca="false">(J19/G19*F19/I19)</f>
        <v>0.915624737791493</v>
      </c>
      <c r="M19" s="7" t="n">
        <f aca="false">(D19/G19*F19/C19)</f>
        <v>1.01059687957953</v>
      </c>
      <c r="N19" s="7" t="n">
        <f aca="false">(K19/H19*F19/I19)</f>
        <v>0.878101279247069</v>
      </c>
      <c r="O19" s="7" t="n">
        <f aca="false">(E19/H19*F19/C19)</f>
        <v>1.00952285803064</v>
      </c>
      <c r="P19" s="7" t="n">
        <f aca="false">(IF(L19&gt;1,L19,1/L19) - 1)*100</f>
        <v>9.21504834087616</v>
      </c>
      <c r="Q19" s="7" t="n">
        <f aca="false">(IF(M19&gt;1,M19,1/M19) - 1)*100</f>
        <v>1.05968795795317</v>
      </c>
      <c r="R19" s="7" t="n">
        <f aca="false">(IF(N19&gt;1,N19,1/N19) - 1)*100</f>
        <v>13.8820798504535</v>
      </c>
      <c r="S19" s="7" t="n">
        <f aca="false">(IF(O19&gt;1,O19,1/O19) - 1)*100</f>
        <v>0.952285803064257</v>
      </c>
      <c r="T19" s="9" t="n">
        <f aca="false">(P19+Q19) &lt; (R19+S19)</f>
        <v>1</v>
      </c>
      <c r="U19" s="10" t="n">
        <f aca="false">IF($T19,P19,R19)</f>
        <v>9.21504834087616</v>
      </c>
      <c r="V19" s="11" t="n">
        <f aca="false">IF($T19,Q19,S19)</f>
        <v>1.05968795795317</v>
      </c>
      <c r="W19" s="12" t="n">
        <f aca="false">P19 &lt; R19</f>
        <v>1</v>
      </c>
      <c r="X19" s="10" t="n">
        <f aca="false">IF($W19,P19,R19)</f>
        <v>9.21504834087616</v>
      </c>
      <c r="Y19" s="1" t="n">
        <v>212100</v>
      </c>
      <c r="Z19" s="1" t="s">
        <v>43</v>
      </c>
      <c r="AA19" s="12" t="n">
        <f aca="false">T19=W19</f>
        <v>1</v>
      </c>
    </row>
    <row r="20" customFormat="false" ht="12.8" hidden="false" customHeight="false" outlineLevel="0" collapsed="false">
      <c r="A20" s="1" t="s">
        <v>44</v>
      </c>
      <c r="B20" s="1" t="n">
        <v>212230</v>
      </c>
      <c r="C20" s="1" t="n">
        <v>12775</v>
      </c>
      <c r="D20" s="1" t="n">
        <v>6985</v>
      </c>
      <c r="E20" s="1" t="n">
        <v>1342</v>
      </c>
      <c r="F20" s="1" t="n">
        <v>13704</v>
      </c>
      <c r="G20" s="1" t="n">
        <v>7122</v>
      </c>
      <c r="H20" s="1" t="n">
        <v>1440</v>
      </c>
      <c r="I20" s="1" t="n">
        <v>13355</v>
      </c>
      <c r="J20" s="1" t="n">
        <v>6815</v>
      </c>
      <c r="K20" s="1" t="n">
        <v>1562</v>
      </c>
      <c r="L20" s="7" t="n">
        <f aca="false">(J20/G20*F20/I20)</f>
        <v>0.981900199875287</v>
      </c>
      <c r="M20" s="7" t="n">
        <f aca="false">(D20/G20*F20/C20)</f>
        <v>1.05208512967454</v>
      </c>
      <c r="N20" s="7" t="n">
        <f aca="false">(K20/H20*F20/I20)</f>
        <v>1.1130687632597</v>
      </c>
      <c r="O20" s="7" t="n">
        <f aca="false">(E20/H20*F20/C20)</f>
        <v>0.999715590345727</v>
      </c>
      <c r="P20" s="7" t="n">
        <f aca="false">(IF(L20&gt;1,L20,1/L20) - 1)*100</f>
        <v>1.84334417357406</v>
      </c>
      <c r="Q20" s="7" t="n">
        <f aca="false">(IF(M20&gt;1,M20,1/M20) - 1)*100</f>
        <v>5.20851296745399</v>
      </c>
      <c r="R20" s="7" t="n">
        <f aca="false">(IF(N20&gt;1,N20,1/N20) - 1)*100</f>
        <v>11.3068763259703</v>
      </c>
      <c r="S20" s="7" t="n">
        <f aca="false">(IF(O20&gt;1,O20,1/O20) - 1)*100</f>
        <v>0.0284490566136331</v>
      </c>
      <c r="T20" s="9" t="n">
        <f aca="false">(P20+Q20) &lt; (R20+S20)</f>
        <v>1</v>
      </c>
      <c r="U20" s="10" t="n">
        <f aca="false">IF($T20,P20,R20)</f>
        <v>1.84334417357406</v>
      </c>
      <c r="V20" s="11" t="n">
        <f aca="false">IF($T20,Q20,S20)</f>
        <v>5.20851296745399</v>
      </c>
      <c r="W20" s="12" t="n">
        <f aca="false">P20 &lt; R20</f>
        <v>1</v>
      </c>
      <c r="X20" s="10" t="n">
        <f aca="false">IF($W20,P20,R20)</f>
        <v>1.84334417357406</v>
      </c>
      <c r="Y20" s="1" t="n">
        <v>212230</v>
      </c>
      <c r="Z20" s="1" t="s">
        <v>44</v>
      </c>
      <c r="AA20" s="12" t="n">
        <f aca="false">T20=W20</f>
        <v>1</v>
      </c>
    </row>
    <row r="21" customFormat="false" ht="12.8" hidden="false" customHeight="false" outlineLevel="0" collapsed="false">
      <c r="A21" s="1" t="s">
        <v>45</v>
      </c>
      <c r="B21" s="1" t="s">
        <v>46</v>
      </c>
      <c r="C21" s="1" t="n">
        <v>14167</v>
      </c>
      <c r="D21" s="1" t="n">
        <v>7104</v>
      </c>
      <c r="E21" s="1" t="n">
        <v>1749</v>
      </c>
      <c r="F21" s="1" t="n">
        <v>21819</v>
      </c>
      <c r="G21" s="1" t="n">
        <v>10134</v>
      </c>
      <c r="H21" s="1" t="n">
        <v>2648</v>
      </c>
      <c r="I21" s="1" t="n">
        <v>15624</v>
      </c>
      <c r="J21" s="1" t="n">
        <v>6489</v>
      </c>
      <c r="K21" s="1" t="n">
        <v>2866</v>
      </c>
      <c r="L21" s="7" t="n">
        <f aca="false">(J21/G21*F21/I21)</f>
        <v>0.894209925705227</v>
      </c>
      <c r="M21" s="7" t="n">
        <f aca="false">(D21/G21*F21/C21)</f>
        <v>1.07964008620338</v>
      </c>
      <c r="N21" s="7" t="n">
        <f aca="false">(K21/H21*F21/I21)</f>
        <v>1.51147447454764</v>
      </c>
      <c r="O21" s="7" t="n">
        <f aca="false">(E21/H21*F21/C21)</f>
        <v>1.01725252634894</v>
      </c>
      <c r="P21" s="7" t="n">
        <f aca="false">(IF(L21&gt;1,L21,1/L21) - 1)*100</f>
        <v>11.8305636354171</v>
      </c>
      <c r="Q21" s="7" t="n">
        <f aca="false">(IF(M21&gt;1,M21,1/M21) - 1)*100</f>
        <v>7.96400862033839</v>
      </c>
      <c r="R21" s="7" t="n">
        <f aca="false">(IF(N21&gt;1,N21,1/N21) - 1)*100</f>
        <v>51.147447454764</v>
      </c>
      <c r="S21" s="7" t="n">
        <f aca="false">(IF(O21&gt;1,O21,1/O21) - 1)*100</f>
        <v>1.72525263489447</v>
      </c>
      <c r="T21" s="9" t="n">
        <f aca="false">(P21+Q21) &lt; (R21+S21)</f>
        <v>1</v>
      </c>
      <c r="U21" s="10" t="n">
        <f aca="false">IF($T21,P21,R21)</f>
        <v>11.8305636354171</v>
      </c>
      <c r="V21" s="11" t="n">
        <f aca="false">IF($T21,Q21,S21)</f>
        <v>7.96400862033839</v>
      </c>
      <c r="W21" s="12" t="n">
        <f aca="false">P21 &lt; R21</f>
        <v>1</v>
      </c>
      <c r="X21" s="10" t="n">
        <f aca="false">IF($W21,P21,R21)</f>
        <v>11.8305636354171</v>
      </c>
      <c r="Y21" s="1" t="s">
        <v>46</v>
      </c>
      <c r="Z21" s="1" t="s">
        <v>45</v>
      </c>
      <c r="AA21" s="12" t="n">
        <f aca="false">T21=W21</f>
        <v>1</v>
      </c>
    </row>
    <row r="22" customFormat="false" ht="12.8" hidden="false" customHeight="false" outlineLevel="0" collapsed="false">
      <c r="A22" s="1" t="s">
        <v>47</v>
      </c>
      <c r="B22" s="1" t="n">
        <v>212310</v>
      </c>
      <c r="C22" s="1" t="n">
        <v>19014</v>
      </c>
      <c r="D22" s="1" t="n">
        <v>10705</v>
      </c>
      <c r="E22" s="1" t="n">
        <v>2854</v>
      </c>
      <c r="F22" s="1" t="n">
        <v>15908</v>
      </c>
      <c r="G22" s="1" t="n">
        <v>8621</v>
      </c>
      <c r="H22" s="1" t="n">
        <v>2400</v>
      </c>
      <c r="I22" s="1" t="n">
        <v>16462</v>
      </c>
      <c r="J22" s="1" t="n">
        <v>8971</v>
      </c>
      <c r="K22" s="1" t="n">
        <v>3221</v>
      </c>
      <c r="L22" s="7" t="n">
        <f aca="false">(J22/G22*F22/I22)</f>
        <v>1.00557900314082</v>
      </c>
      <c r="M22" s="7" t="n">
        <f aca="false">(D22/G22*F22/C22)</f>
        <v>1.038893715846</v>
      </c>
      <c r="N22" s="7" t="n">
        <f aca="false">(K22/H22*F22/I22)</f>
        <v>1.29691785121289</v>
      </c>
      <c r="O22" s="7" t="n">
        <f aca="false">(E22/H22*F22/C22)</f>
        <v>0.994912345289436</v>
      </c>
      <c r="P22" s="7" t="n">
        <f aca="false">(IF(L22&gt;1,L22,1/L22) - 1)*100</f>
        <v>0.557900314082205</v>
      </c>
      <c r="Q22" s="7" t="n">
        <f aca="false">(IF(M22&gt;1,M22,1/M22) - 1)*100</f>
        <v>3.88937158460045</v>
      </c>
      <c r="R22" s="7" t="n">
        <f aca="false">(IF(N22&gt;1,N22,1/N22) - 1)*100</f>
        <v>29.6917851212895</v>
      </c>
      <c r="S22" s="7" t="n">
        <f aca="false">(IF(O22&gt;1,O22,1/O22) - 1)*100</f>
        <v>0.511367130446461</v>
      </c>
      <c r="T22" s="9" t="n">
        <f aca="false">(P22+Q22) &lt; (R22+S22)</f>
        <v>1</v>
      </c>
      <c r="U22" s="10" t="n">
        <f aca="false">IF($T22,P22,R22)</f>
        <v>0.557900314082205</v>
      </c>
      <c r="V22" s="11" t="n">
        <f aca="false">IF($T22,Q22,S22)</f>
        <v>3.88937158460045</v>
      </c>
      <c r="W22" s="12" t="n">
        <f aca="false">P22 &lt; R22</f>
        <v>1</v>
      </c>
      <c r="X22" s="10" t="n">
        <f aca="false">IF($W22,P22,R22)</f>
        <v>0.557900314082205</v>
      </c>
      <c r="Y22" s="1" t="n">
        <v>212310</v>
      </c>
      <c r="Z22" s="1" t="s">
        <v>47</v>
      </c>
      <c r="AA22" s="12" t="n">
        <f aca="false">T22=W22</f>
        <v>1</v>
      </c>
    </row>
    <row r="23" customFormat="false" ht="12.8" hidden="false" customHeight="false" outlineLevel="0" collapsed="false">
      <c r="A23" s="1" t="s">
        <v>48</v>
      </c>
      <c r="B23" s="1" t="s">
        <v>49</v>
      </c>
      <c r="C23" s="1" t="n">
        <v>14765</v>
      </c>
      <c r="D23" s="1" t="n">
        <v>7590</v>
      </c>
      <c r="E23" s="1" t="n">
        <v>2983</v>
      </c>
      <c r="F23" s="1" t="n">
        <v>17015</v>
      </c>
      <c r="G23" s="1" t="n">
        <v>8441</v>
      </c>
      <c r="H23" s="1" t="n">
        <v>3142</v>
      </c>
      <c r="I23" s="1" t="n">
        <v>18208</v>
      </c>
      <c r="J23" s="1" t="n">
        <v>9488</v>
      </c>
      <c r="K23" s="1" t="n">
        <v>4414</v>
      </c>
      <c r="L23" s="7" t="n">
        <f aca="false">(J23/G23*F23/I23)</f>
        <v>1.05038977257419</v>
      </c>
      <c r="M23" s="7" t="n">
        <f aca="false">(D23/G23*F23/C23)</f>
        <v>1.03620665632604</v>
      </c>
      <c r="N23" s="7" t="n">
        <f aca="false">(K23/H23*F23/I23)</f>
        <v>1.31279180449917</v>
      </c>
      <c r="O23" s="7" t="n">
        <f aca="false">(E23/H23*F23/C23)</f>
        <v>1.09407117189027</v>
      </c>
      <c r="P23" s="7" t="n">
        <f aca="false">(IF(L23&gt;1,L23,1/L23) - 1)*100</f>
        <v>5.03897725741938</v>
      </c>
      <c r="Q23" s="7" t="n">
        <f aca="false">(IF(M23&gt;1,M23,1/M23) - 1)*100</f>
        <v>3.62066563260379</v>
      </c>
      <c r="R23" s="7" t="n">
        <f aca="false">(IF(N23&gt;1,N23,1/N23) - 1)*100</f>
        <v>31.2791804499166</v>
      </c>
      <c r="S23" s="7" t="n">
        <f aca="false">(IF(O23&gt;1,O23,1/O23) - 1)*100</f>
        <v>9.40711718902742</v>
      </c>
      <c r="T23" s="9" t="n">
        <f aca="false">(P23+Q23) &lt; (R23+S23)</f>
        <v>1</v>
      </c>
      <c r="U23" s="10" t="n">
        <f aca="false">IF($T23,P23,R23)</f>
        <v>5.03897725741938</v>
      </c>
      <c r="V23" s="11" t="n">
        <f aca="false">IF($T23,Q23,S23)</f>
        <v>3.62066563260379</v>
      </c>
      <c r="W23" s="12" t="n">
        <f aca="false">P23 &lt; R23</f>
        <v>1</v>
      </c>
      <c r="X23" s="10" t="n">
        <f aca="false">IF($W23,P23,R23)</f>
        <v>5.03897725741938</v>
      </c>
      <c r="Y23" s="1" t="s">
        <v>49</v>
      </c>
      <c r="Z23" s="1" t="s">
        <v>48</v>
      </c>
      <c r="AA23" s="12" t="n">
        <f aca="false">T23=W23</f>
        <v>1</v>
      </c>
    </row>
    <row r="24" customFormat="false" ht="12.8" hidden="false" customHeight="false" outlineLevel="0" collapsed="false">
      <c r="A24" s="1" t="s">
        <v>50</v>
      </c>
      <c r="B24" s="1" t="n">
        <v>213111</v>
      </c>
      <c r="C24" s="1" t="n">
        <v>40332</v>
      </c>
      <c r="D24" s="1" t="n">
        <v>20238</v>
      </c>
      <c r="E24" s="1" t="n">
        <v>9066</v>
      </c>
      <c r="F24" s="1" t="n">
        <v>32675</v>
      </c>
      <c r="G24" s="1" t="n">
        <v>17499</v>
      </c>
      <c r="H24" s="1" t="n">
        <v>8906</v>
      </c>
      <c r="I24" s="1" t="n">
        <v>26962</v>
      </c>
      <c r="J24" s="1" t="n">
        <v>13085</v>
      </c>
      <c r="K24" s="1" t="n">
        <v>6659</v>
      </c>
      <c r="L24" s="7" t="n">
        <f aca="false">(J24/G24*F24/I24)</f>
        <v>0.906199853678627</v>
      </c>
      <c r="M24" s="7" t="n">
        <f aca="false">(D24/G24*F24/C24)</f>
        <v>0.936958160689898</v>
      </c>
      <c r="N24" s="7" t="n">
        <f aca="false">(K24/H24*F24/I24)</f>
        <v>0.906128553676521</v>
      </c>
      <c r="O24" s="7" t="n">
        <f aca="false">(E24/H24*F24/C24)</f>
        <v>0.824705444474014</v>
      </c>
      <c r="P24" s="7" t="n">
        <f aca="false">(IF(L24&gt;1,L24,1/L24) - 1)*100</f>
        <v>10.3509337306336</v>
      </c>
      <c r="Q24" s="7" t="n">
        <f aca="false">(IF(M24&gt;1,M24,1/M24) - 1)*100</f>
        <v>6.72835159082057</v>
      </c>
      <c r="R24" s="7" t="n">
        <f aca="false">(IF(N24&gt;1,N24,1/N24) - 1)*100</f>
        <v>10.3596168493538</v>
      </c>
      <c r="S24" s="7" t="n">
        <f aca="false">(IF(O24&gt;1,O24,1/O24) - 1)*100</f>
        <v>21.2554138814721</v>
      </c>
      <c r="T24" s="9" t="n">
        <f aca="false">(P24+Q24) &lt; (R24+S24)</f>
        <v>1</v>
      </c>
      <c r="U24" s="10" t="n">
        <f aca="false">IF($T24,P24,R24)</f>
        <v>10.3509337306336</v>
      </c>
      <c r="V24" s="11" t="n">
        <f aca="false">IF($T24,Q24,S24)</f>
        <v>6.72835159082057</v>
      </c>
      <c r="W24" s="12" t="n">
        <f aca="false">P24 &lt; R24</f>
        <v>1</v>
      </c>
      <c r="X24" s="10" t="n">
        <f aca="false">IF($W24,P24,R24)</f>
        <v>10.3509337306336</v>
      </c>
      <c r="Y24" s="1" t="n">
        <v>213111</v>
      </c>
      <c r="Z24" s="1" t="s">
        <v>50</v>
      </c>
      <c r="AA24" s="12" t="n">
        <f aca="false">T24=W24</f>
        <v>1</v>
      </c>
    </row>
    <row r="25" customFormat="false" ht="12.8" hidden="false" customHeight="false" outlineLevel="0" collapsed="false">
      <c r="A25" s="1" t="s">
        <v>51</v>
      </c>
      <c r="B25" s="1" t="s">
        <v>52</v>
      </c>
      <c r="C25" s="1" t="n">
        <v>54429</v>
      </c>
      <c r="D25" s="1" t="n">
        <v>29752</v>
      </c>
      <c r="E25" s="1" t="n">
        <v>14800</v>
      </c>
      <c r="F25" s="1" t="n">
        <v>93218</v>
      </c>
      <c r="G25" s="1" t="n">
        <v>50823</v>
      </c>
      <c r="H25" s="1" t="n">
        <v>27730</v>
      </c>
      <c r="I25" s="1" t="n">
        <v>79752</v>
      </c>
      <c r="J25" s="1" t="n">
        <v>40626</v>
      </c>
      <c r="K25" s="1" t="n">
        <v>23306</v>
      </c>
      <c r="L25" s="7" t="n">
        <f aca="false">(J25/G25*F25/I25)</f>
        <v>0.934333595470556</v>
      </c>
      <c r="M25" s="7" t="n">
        <f aca="false">(D25/G25*F25/C25)</f>
        <v>1.00259444439165</v>
      </c>
      <c r="N25" s="7" t="n">
        <f aca="false">(K25/H25*F25/I25)</f>
        <v>0.982372214666042</v>
      </c>
      <c r="O25" s="7" t="n">
        <f aca="false">(E25/H25*F25/C25)</f>
        <v>0.914073821921619</v>
      </c>
      <c r="P25" s="7" t="n">
        <f aca="false">(IF(L25&gt;1,L25,1/L25) - 1)*100</f>
        <v>7.02815406058184</v>
      </c>
      <c r="Q25" s="7" t="n">
        <f aca="false">(IF(M25&gt;1,M25,1/M25) - 1)*100</f>
        <v>0.259444439164724</v>
      </c>
      <c r="R25" s="7" t="n">
        <f aca="false">(IF(N25&gt;1,N25,1/N25) - 1)*100</f>
        <v>1.79441000781468</v>
      </c>
      <c r="S25" s="7" t="n">
        <f aca="false">(IF(O25&gt;1,O25,1/O25) - 1)*100</f>
        <v>9.40035432780935</v>
      </c>
      <c r="T25" s="9" t="n">
        <f aca="false">(P25+Q25) &lt; (R25+S25)</f>
        <v>1</v>
      </c>
      <c r="U25" s="10" t="n">
        <f aca="false">IF($T25,P25,R25)</f>
        <v>7.02815406058184</v>
      </c>
      <c r="V25" s="11" t="n">
        <f aca="false">IF($T25,Q25,S25)</f>
        <v>0.259444439164724</v>
      </c>
      <c r="W25" s="12" t="n">
        <f aca="false">P25 &lt; R25</f>
        <v>0</v>
      </c>
      <c r="X25" s="10" t="n">
        <f aca="false">IF($W25,P25,R25)</f>
        <v>1.79441000781468</v>
      </c>
      <c r="Y25" s="1" t="s">
        <v>52</v>
      </c>
      <c r="Z25" s="1" t="s">
        <v>51</v>
      </c>
      <c r="AA25" s="12" t="n">
        <f aca="false">T25=W25</f>
        <v>0</v>
      </c>
    </row>
    <row r="26" customFormat="false" ht="12.8" hidden="false" customHeight="false" outlineLevel="0" collapsed="false">
      <c r="A26" s="1" t="s">
        <v>53</v>
      </c>
      <c r="B26" s="1" t="n">
        <v>221100</v>
      </c>
      <c r="C26" s="1" t="n">
        <v>292126</v>
      </c>
      <c r="D26" s="1" t="n">
        <v>150899</v>
      </c>
      <c r="E26" s="1" t="n">
        <v>46194</v>
      </c>
      <c r="F26" s="1" t="n">
        <v>339379</v>
      </c>
      <c r="G26" s="1" t="n">
        <v>195837</v>
      </c>
      <c r="H26" s="1" t="n">
        <v>54469</v>
      </c>
      <c r="I26" s="1" t="n">
        <v>365849</v>
      </c>
      <c r="J26" s="1" t="n">
        <v>234877</v>
      </c>
      <c r="K26" s="1" t="n">
        <v>60608</v>
      </c>
      <c r="L26" s="7" t="n">
        <f aca="false">(J26/G26*F26/I26)</f>
        <v>1.11257382155528</v>
      </c>
      <c r="M26" s="7" t="n">
        <f aca="false">(D26/G26*F26/C26)</f>
        <v>0.895171749005619</v>
      </c>
      <c r="N26" s="7" t="n">
        <f aca="false">(K26/H26*F26/I26)</f>
        <v>1.03219949975343</v>
      </c>
      <c r="O26" s="7" t="n">
        <f aca="false">(E26/H26*F26/C26)</f>
        <v>0.985260158845875</v>
      </c>
      <c r="P26" s="7" t="n">
        <f aca="false">(IF(L26&gt;1,L26,1/L26) - 1)*100</f>
        <v>11.2573821555281</v>
      </c>
      <c r="Q26" s="7" t="n">
        <f aca="false">(IF(M26&gt;1,M26,1/M26) - 1)*100</f>
        <v>11.7104065349277</v>
      </c>
      <c r="R26" s="7" t="n">
        <f aca="false">(IF(N26&gt;1,N26,1/N26) - 1)*100</f>
        <v>3.2199499753425</v>
      </c>
      <c r="S26" s="7" t="n">
        <f aca="false">(IF(O26&gt;1,O26,1/O26) - 1)*100</f>
        <v>1.49603544016139</v>
      </c>
      <c r="T26" s="9" t="n">
        <f aca="false">(P26+Q26) &lt; (R26+S26)</f>
        <v>0</v>
      </c>
      <c r="U26" s="10" t="n">
        <f aca="false">IF($T26,P26,R26)</f>
        <v>3.2199499753425</v>
      </c>
      <c r="V26" s="11" t="n">
        <f aca="false">IF($T26,Q26,S26)</f>
        <v>1.49603544016139</v>
      </c>
      <c r="W26" s="12" t="n">
        <f aca="false">P26 &lt; R26</f>
        <v>0</v>
      </c>
      <c r="X26" s="10" t="n">
        <f aca="false">IF($W26,P26,R26)</f>
        <v>3.2199499753425</v>
      </c>
      <c r="Y26" s="1" t="n">
        <v>221100</v>
      </c>
      <c r="Z26" s="1" t="s">
        <v>53</v>
      </c>
      <c r="AA26" s="12" t="n">
        <f aca="false">T26=W26</f>
        <v>1</v>
      </c>
    </row>
    <row r="27" customFormat="false" ht="12.8" hidden="false" customHeight="false" outlineLevel="0" collapsed="false">
      <c r="A27" s="1" t="s">
        <v>54</v>
      </c>
      <c r="B27" s="1" t="n">
        <v>221200</v>
      </c>
      <c r="C27" s="1" t="n">
        <v>120764</v>
      </c>
      <c r="D27" s="1" t="n">
        <v>45624</v>
      </c>
      <c r="E27" s="1" t="n">
        <v>13196</v>
      </c>
      <c r="F27" s="1" t="n">
        <v>78723</v>
      </c>
      <c r="G27" s="1" t="n">
        <v>45741</v>
      </c>
      <c r="H27" s="1" t="n">
        <v>11273</v>
      </c>
      <c r="I27" s="1" t="n">
        <v>64126</v>
      </c>
      <c r="J27" s="1" t="n">
        <v>40088</v>
      </c>
      <c r="K27" s="1" t="n">
        <v>16820</v>
      </c>
      <c r="L27" s="7" t="n">
        <f aca="false">(J27/G27*F27/I27)</f>
        <v>1.07591068357275</v>
      </c>
      <c r="M27" s="7" t="n">
        <f aca="false">(D27/G27*F27/C27)</f>
        <v>0.650207313387815</v>
      </c>
      <c r="N27" s="7" t="n">
        <f aca="false">(K27/H27*F27/I27)</f>
        <v>1.83169841550886</v>
      </c>
      <c r="O27" s="7" t="n">
        <f aca="false">(E27/H27*F27/C27)</f>
        <v>0.763074509774977</v>
      </c>
      <c r="P27" s="7" t="n">
        <f aca="false">(IF(L27&gt;1,L27,1/L27) - 1)*100</f>
        <v>7.59106835727452</v>
      </c>
      <c r="Q27" s="7" t="n">
        <f aca="false">(IF(M27&gt;1,M27,1/M27) - 1)*100</f>
        <v>53.7971012337034</v>
      </c>
      <c r="R27" s="7" t="n">
        <f aca="false">(IF(N27&gt;1,N27,1/N27) - 1)*100</f>
        <v>83.169841550886</v>
      </c>
      <c r="S27" s="7" t="n">
        <f aca="false">(IF(O27&gt;1,O27,1/O27) - 1)*100</f>
        <v>31.0488015508328</v>
      </c>
      <c r="T27" s="9" t="n">
        <f aca="false">(P27+Q27) &lt; (R27+S27)</f>
        <v>1</v>
      </c>
      <c r="U27" s="10" t="n">
        <f aca="false">IF($T27,P27,R27)</f>
        <v>7.59106835727452</v>
      </c>
      <c r="V27" s="11" t="n">
        <f aca="false">IF($T27,Q27,S27)</f>
        <v>53.7971012337034</v>
      </c>
      <c r="W27" s="12" t="n">
        <f aca="false">P27 &lt; R27</f>
        <v>1</v>
      </c>
      <c r="X27" s="10" t="n">
        <f aca="false">IF($W27,P27,R27)</f>
        <v>7.59106835727452</v>
      </c>
      <c r="Y27" s="1" t="n">
        <v>221200</v>
      </c>
      <c r="Z27" s="1" t="s">
        <v>54</v>
      </c>
      <c r="AA27" s="12" t="n">
        <f aca="false">T27=W27</f>
        <v>1</v>
      </c>
    </row>
    <row r="28" customFormat="false" ht="12.8" hidden="false" customHeight="false" outlineLevel="0" collapsed="false">
      <c r="A28" s="1" t="s">
        <v>55</v>
      </c>
      <c r="B28" s="1" t="n">
        <v>221300</v>
      </c>
      <c r="C28" s="1" t="n">
        <v>10332</v>
      </c>
      <c r="D28" s="1" t="n">
        <v>6949</v>
      </c>
      <c r="E28" s="1" t="n">
        <v>3694</v>
      </c>
      <c r="F28" s="1" t="n">
        <v>12583</v>
      </c>
      <c r="G28" s="1" t="n">
        <v>8179</v>
      </c>
      <c r="H28" s="1" t="n">
        <v>4018</v>
      </c>
      <c r="I28" s="1" t="n">
        <v>14813</v>
      </c>
      <c r="J28" s="1" t="n">
        <v>9414</v>
      </c>
      <c r="K28" s="1" t="n">
        <v>4150</v>
      </c>
      <c r="L28" s="7" t="n">
        <f aca="false">(J28/G28*F28/I28)</f>
        <v>0.977721486862089</v>
      </c>
      <c r="M28" s="7" t="n">
        <f aca="false">(D28/G28*F28/C28)</f>
        <v>1.03471775801195</v>
      </c>
      <c r="N28" s="7" t="n">
        <f aca="false">(K28/H28*F28/I28)</f>
        <v>0.877363045663985</v>
      </c>
      <c r="O28" s="7" t="n">
        <f aca="false">(E28/H28*F28/C28)</f>
        <v>1.11966153278115</v>
      </c>
      <c r="P28" s="7" t="n">
        <f aca="false">(IF(L28&gt;1,L28,1/L28) - 1)*100</f>
        <v>2.27861547866883</v>
      </c>
      <c r="Q28" s="7" t="n">
        <f aca="false">(IF(M28&gt;1,M28,1/M28) - 1)*100</f>
        <v>3.47177580119469</v>
      </c>
      <c r="R28" s="7" t="n">
        <f aca="false">(IF(N28&gt;1,N28,1/N28) - 1)*100</f>
        <v>13.9779028695247</v>
      </c>
      <c r="S28" s="7" t="n">
        <f aca="false">(IF(O28&gt;1,O28,1/O28) - 1)*100</f>
        <v>11.9661532781153</v>
      </c>
      <c r="T28" s="9" t="n">
        <f aca="false">(P28+Q28) &lt; (R28+S28)</f>
        <v>1</v>
      </c>
      <c r="U28" s="10" t="n">
        <f aca="false">IF($T28,P28,R28)</f>
        <v>2.27861547866883</v>
      </c>
      <c r="V28" s="11" t="n">
        <f aca="false">IF($T28,Q28,S28)</f>
        <v>3.47177580119469</v>
      </c>
      <c r="W28" s="12" t="n">
        <f aca="false">P28 &lt; R28</f>
        <v>1</v>
      </c>
      <c r="X28" s="10" t="n">
        <f aca="false">IF($W28,P28,R28)</f>
        <v>2.27861547866883</v>
      </c>
      <c r="Y28" s="1" t="n">
        <v>221300</v>
      </c>
      <c r="Z28" s="1" t="s">
        <v>55</v>
      </c>
      <c r="AA28" s="12" t="n">
        <f aca="false">T28=W28</f>
        <v>1</v>
      </c>
    </row>
    <row r="29" customFormat="false" ht="12.8" hidden="false" customHeight="false" outlineLevel="0" collapsed="false">
      <c r="A29" s="1" t="s">
        <v>56</v>
      </c>
      <c r="B29" s="1" t="n">
        <v>233210</v>
      </c>
      <c r="C29" s="1" t="n">
        <v>46129</v>
      </c>
      <c r="D29" s="1" t="n">
        <v>24063</v>
      </c>
      <c r="E29" s="1" t="n">
        <v>14421</v>
      </c>
      <c r="F29" s="1" t="n">
        <v>42986</v>
      </c>
      <c r="G29" s="1" t="n">
        <v>26347</v>
      </c>
      <c r="H29" s="1" t="n">
        <v>18596</v>
      </c>
      <c r="I29" s="1" t="n">
        <v>45025</v>
      </c>
      <c r="J29" s="1" t="n">
        <v>29314</v>
      </c>
      <c r="K29" s="1" t="n">
        <v>20279</v>
      </c>
      <c r="L29" s="7" t="n">
        <f aca="false">(J29/G29*F29/I29)</f>
        <v>1.06222672774054</v>
      </c>
      <c r="M29" s="7" t="n">
        <f aca="false">(D29/G29*F29/C29)</f>
        <v>0.851082369523558</v>
      </c>
      <c r="N29" s="7" t="n">
        <f aca="false">(K29/H29*F29/I29)</f>
        <v>1.04111885213743</v>
      </c>
      <c r="O29" s="7" t="n">
        <f aca="false">(E29/H29*F29/C29)</f>
        <v>0.722651375678392</v>
      </c>
      <c r="P29" s="7" t="n">
        <f aca="false">(IF(L29&gt;1,L29,1/L29) - 1)*100</f>
        <v>6.22267277405444</v>
      </c>
      <c r="Q29" s="7" t="n">
        <f aca="false">(IF(M29&gt;1,M29,1/M29) - 1)*100</f>
        <v>17.4974404134122</v>
      </c>
      <c r="R29" s="7" t="n">
        <f aca="false">(IF(N29&gt;1,N29,1/N29) - 1)*100</f>
        <v>4.11188521374266</v>
      </c>
      <c r="S29" s="7" t="n">
        <f aca="false">(IF(O29&gt;1,O29,1/O29) - 1)*100</f>
        <v>38.3793117478323</v>
      </c>
      <c r="T29" s="9" t="n">
        <f aca="false">(P29+Q29) &lt; (R29+S29)</f>
        <v>1</v>
      </c>
      <c r="U29" s="10" t="n">
        <f aca="false">IF($T29,P29,R29)</f>
        <v>6.22267277405444</v>
      </c>
      <c r="V29" s="11" t="n">
        <f aca="false">IF($T29,Q29,S29)</f>
        <v>17.4974404134122</v>
      </c>
      <c r="W29" s="12" t="n">
        <f aca="false">P29 &lt; R29</f>
        <v>0</v>
      </c>
      <c r="X29" s="10" t="n">
        <f aca="false">IF($W29,P29,R29)</f>
        <v>4.11188521374266</v>
      </c>
      <c r="Y29" s="1" t="n">
        <v>233210</v>
      </c>
      <c r="Z29" s="1" t="s">
        <v>56</v>
      </c>
      <c r="AA29" s="12" t="n">
        <f aca="false">T29=W29</f>
        <v>0</v>
      </c>
    </row>
    <row r="30" customFormat="false" ht="12.8" hidden="false" customHeight="false" outlineLevel="0" collapsed="false">
      <c r="A30" s="1" t="s">
        <v>57</v>
      </c>
      <c r="B30" s="1" t="n">
        <v>233262</v>
      </c>
      <c r="C30" s="1" t="n">
        <v>83622</v>
      </c>
      <c r="D30" s="1" t="n">
        <v>45390</v>
      </c>
      <c r="E30" s="1" t="n">
        <v>25363</v>
      </c>
      <c r="F30" s="1" t="n">
        <v>66823</v>
      </c>
      <c r="G30" s="1" t="n">
        <v>39702</v>
      </c>
      <c r="H30" s="1" t="n">
        <v>26648</v>
      </c>
      <c r="I30" s="1" t="n">
        <v>94786</v>
      </c>
      <c r="J30" s="1" t="n">
        <v>53551</v>
      </c>
      <c r="K30" s="1" t="n">
        <v>34543</v>
      </c>
      <c r="L30" s="7" t="n">
        <f aca="false">(J30/G30*F30/I30)</f>
        <v>0.950904654345819</v>
      </c>
      <c r="M30" s="7" t="n">
        <f aca="false">(D30/G30*F30/C30)</f>
        <v>0.913593953434829</v>
      </c>
      <c r="N30" s="7" t="n">
        <f aca="false">(K30/H30*F30/I30)</f>
        <v>0.91385481808971</v>
      </c>
      <c r="O30" s="7" t="n">
        <f aca="false">(E30/H30*F30/C30)</f>
        <v>0.76057390501614</v>
      </c>
      <c r="P30" s="7" t="n">
        <f aca="false">(IF(L30&gt;1,L30,1/L30) - 1)*100</f>
        <v>5.16301454933525</v>
      </c>
      <c r="Q30" s="7" t="n">
        <f aca="false">(IF(M30&gt;1,M30,1/M30) - 1)*100</f>
        <v>9.45781725462516</v>
      </c>
      <c r="R30" s="7" t="n">
        <f aca="false">(IF(N30&gt;1,N30,1/N30) - 1)*100</f>
        <v>9.4265719461178</v>
      </c>
      <c r="S30" s="7" t="n">
        <f aca="false">(IF(O30&gt;1,O30,1/O30) - 1)*100</f>
        <v>31.4796620558233</v>
      </c>
      <c r="T30" s="9" t="n">
        <f aca="false">(P30+Q30) &lt; (R30+S30)</f>
        <v>1</v>
      </c>
      <c r="U30" s="10" t="n">
        <f aca="false">IF($T30,P30,R30)</f>
        <v>5.16301454933525</v>
      </c>
      <c r="V30" s="11" t="n">
        <f aca="false">IF($T30,Q30,S30)</f>
        <v>9.45781725462516</v>
      </c>
      <c r="W30" s="12" t="n">
        <f aca="false">P30 &lt; R30</f>
        <v>1</v>
      </c>
      <c r="X30" s="10" t="n">
        <f aca="false">IF($W30,P30,R30)</f>
        <v>5.16301454933525</v>
      </c>
      <c r="Y30" s="1" t="n">
        <v>233262</v>
      </c>
      <c r="Z30" s="1" t="s">
        <v>57</v>
      </c>
      <c r="AA30" s="12" t="n">
        <f aca="false">T30=W30</f>
        <v>1</v>
      </c>
    </row>
    <row r="31" customFormat="false" ht="12.8" hidden="false" customHeight="false" outlineLevel="0" collapsed="false">
      <c r="A31" s="1" t="s">
        <v>58</v>
      </c>
      <c r="B31" s="1" t="n">
        <v>230301</v>
      </c>
      <c r="C31" s="1" t="n">
        <v>142426</v>
      </c>
      <c r="D31" s="1" t="n">
        <v>80273</v>
      </c>
      <c r="E31" s="1" t="n">
        <v>50261</v>
      </c>
      <c r="F31" s="1" t="n">
        <v>174801</v>
      </c>
      <c r="G31" s="1" t="n">
        <v>75112</v>
      </c>
      <c r="H31" s="1" t="n">
        <v>42481</v>
      </c>
      <c r="I31" s="1" t="n">
        <v>200524</v>
      </c>
      <c r="J31" s="1" t="n">
        <v>101542</v>
      </c>
      <c r="K31" s="1" t="n">
        <v>61068</v>
      </c>
      <c r="L31" s="7" t="n">
        <f aca="false">(J31/G31*F31/I31)</f>
        <v>1.1784575433506</v>
      </c>
      <c r="M31" s="7" t="n">
        <f aca="false">(D31/G31*F31/C31)</f>
        <v>1.31164045536709</v>
      </c>
      <c r="N31" s="7" t="n">
        <f aca="false">(K31/H31*F31/I31)</f>
        <v>1.25313113084551</v>
      </c>
      <c r="O31" s="7" t="n">
        <f aca="false">(E31/H31*F31/C31)</f>
        <v>1.45208162263277</v>
      </c>
      <c r="P31" s="7" t="n">
        <f aca="false">(IF(L31&gt;1,L31,1/L31) - 1)*100</f>
        <v>17.8457543350598</v>
      </c>
      <c r="Q31" s="7" t="n">
        <f aca="false">(IF(M31&gt;1,M31,1/M31) - 1)*100</f>
        <v>31.1640455367085</v>
      </c>
      <c r="R31" s="7" t="n">
        <f aca="false">(IF(N31&gt;1,N31,1/N31) - 1)*100</f>
        <v>25.3131130845509</v>
      </c>
      <c r="S31" s="7" t="n">
        <f aca="false">(IF(O31&gt;1,O31,1/O31) - 1)*100</f>
        <v>45.2081622632767</v>
      </c>
      <c r="T31" s="9" t="n">
        <f aca="false">(P31+Q31) &lt; (R31+S31)</f>
        <v>1</v>
      </c>
      <c r="U31" s="10" t="n">
        <f aca="false">IF($T31,P31,R31)</f>
        <v>17.8457543350598</v>
      </c>
      <c r="V31" s="11" t="n">
        <f aca="false">IF($T31,Q31,S31)</f>
        <v>31.1640455367085</v>
      </c>
      <c r="W31" s="12" t="n">
        <f aca="false">P31 &lt; R31</f>
        <v>1</v>
      </c>
      <c r="X31" s="10" t="n">
        <f aca="false">IF($W31,P31,R31)</f>
        <v>17.8457543350598</v>
      </c>
      <c r="Y31" s="1" t="n">
        <v>230301</v>
      </c>
      <c r="Z31" s="1" t="s">
        <v>58</v>
      </c>
      <c r="AA31" s="12" t="n">
        <f aca="false">T31=W31</f>
        <v>1</v>
      </c>
    </row>
    <row r="32" customFormat="false" ht="12.8" hidden="false" customHeight="false" outlineLevel="0" collapsed="false">
      <c r="A32" s="1" t="s">
        <v>59</v>
      </c>
      <c r="B32" s="1" t="n">
        <v>230302</v>
      </c>
      <c r="C32" s="1" t="n">
        <v>67067</v>
      </c>
      <c r="D32" s="1" t="n">
        <v>38059</v>
      </c>
      <c r="E32" s="1" t="n">
        <v>23634</v>
      </c>
      <c r="F32" s="1" t="n">
        <v>68021</v>
      </c>
      <c r="G32" s="1" t="n">
        <v>28300</v>
      </c>
      <c r="H32" s="1" t="n">
        <v>15947</v>
      </c>
      <c r="I32" s="1" t="n">
        <v>80273</v>
      </c>
      <c r="J32" s="1" t="n">
        <v>44155</v>
      </c>
      <c r="K32" s="1" t="n">
        <v>27928</v>
      </c>
      <c r="L32" s="7" t="n">
        <f aca="false">(J32/G32*F32/I32)</f>
        <v>1.32210811832537</v>
      </c>
      <c r="M32" s="7" t="n">
        <f aca="false">(D32/G32*F32/C32)</f>
        <v>1.36397078950794</v>
      </c>
      <c r="N32" s="7" t="n">
        <f aca="false">(K32/H32*F32/I32)</f>
        <v>1.48400156860775</v>
      </c>
      <c r="O32" s="7" t="n">
        <f aca="false">(E32/H32*F32/C32)</f>
        <v>1.50311555506001</v>
      </c>
      <c r="P32" s="7" t="n">
        <f aca="false">(IF(L32&gt;1,L32,1/L32) - 1)*100</f>
        <v>32.2108118325367</v>
      </c>
      <c r="Q32" s="7" t="n">
        <f aca="false">(IF(M32&gt;1,M32,1/M32) - 1)*100</f>
        <v>36.3970789507945</v>
      </c>
      <c r="R32" s="7" t="n">
        <f aca="false">(IF(N32&gt;1,N32,1/N32) - 1)*100</f>
        <v>48.4001568607745</v>
      </c>
      <c r="S32" s="7" t="n">
        <f aca="false">(IF(O32&gt;1,O32,1/O32) - 1)*100</f>
        <v>50.3115555060009</v>
      </c>
      <c r="T32" s="9" t="n">
        <f aca="false">(P32+Q32) &lt; (R32+S32)</f>
        <v>1</v>
      </c>
      <c r="U32" s="10" t="n">
        <f aca="false">IF($T32,P32,R32)</f>
        <v>32.2108118325367</v>
      </c>
      <c r="V32" s="11" t="n">
        <f aca="false">IF($T32,Q32,S32)</f>
        <v>36.3970789507945</v>
      </c>
      <c r="W32" s="12" t="n">
        <f aca="false">P32 &lt; R32</f>
        <v>1</v>
      </c>
      <c r="X32" s="10" t="n">
        <f aca="false">IF($W32,P32,R32)</f>
        <v>32.2108118325367</v>
      </c>
      <c r="Y32" s="1" t="n">
        <v>230302</v>
      </c>
      <c r="Z32" s="1" t="s">
        <v>59</v>
      </c>
      <c r="AA32" s="12" t="n">
        <f aca="false">T32=W32</f>
        <v>1</v>
      </c>
    </row>
    <row r="33" customFormat="false" ht="12.8" hidden="false" customHeight="false" outlineLevel="0" collapsed="false">
      <c r="A33" s="1" t="s">
        <v>60</v>
      </c>
      <c r="B33" s="1" t="s">
        <v>61</v>
      </c>
      <c r="C33" s="1" t="n">
        <v>156515</v>
      </c>
      <c r="D33" s="1" t="n">
        <v>86993</v>
      </c>
      <c r="E33" s="1" t="n">
        <v>69312</v>
      </c>
      <c r="F33" s="1" t="n">
        <v>87148</v>
      </c>
      <c r="G33" s="1" t="n">
        <v>40618</v>
      </c>
      <c r="H33" s="1" t="n">
        <v>34228</v>
      </c>
      <c r="I33" s="1" t="n">
        <v>160242</v>
      </c>
      <c r="J33" s="1" t="n">
        <v>81219</v>
      </c>
      <c r="K33" s="1" t="n">
        <v>54088</v>
      </c>
      <c r="L33" s="7" t="n">
        <f aca="false">(J33/G33*F33/I33)</f>
        <v>1.08747722587731</v>
      </c>
      <c r="M33" s="7" t="n">
        <f aca="false">(D33/G33*F33/C33)</f>
        <v>1.19252428489878</v>
      </c>
      <c r="N33" s="7" t="n">
        <f aca="false">(K33/H33*F33/I33)</f>
        <v>0.859410128157555</v>
      </c>
      <c r="O33" s="7" t="n">
        <f aca="false">(E33/H33*F33/C33)</f>
        <v>1.12753067648968</v>
      </c>
      <c r="P33" s="7" t="n">
        <f aca="false">(IF(L33&gt;1,L33,1/L33) - 1)*100</f>
        <v>8.74772258773073</v>
      </c>
      <c r="Q33" s="7" t="n">
        <f aca="false">(IF(M33&gt;1,M33,1/M33) - 1)*100</f>
        <v>19.2524284898783</v>
      </c>
      <c r="R33" s="7" t="n">
        <f aca="false">(IF(N33&gt;1,N33,1/N33) - 1)*100</f>
        <v>16.3588800313359</v>
      </c>
      <c r="S33" s="7" t="n">
        <f aca="false">(IF(O33&gt;1,O33,1/O33) - 1)*100</f>
        <v>12.7530676489677</v>
      </c>
      <c r="T33" s="9" t="n">
        <f aca="false">(P33+Q33) &lt; (R33+S33)</f>
        <v>1</v>
      </c>
      <c r="U33" s="10" t="n">
        <f aca="false">IF($T33,P33,R33)</f>
        <v>8.74772258773073</v>
      </c>
      <c r="V33" s="11" t="n">
        <f aca="false">IF($T33,Q33,S33)</f>
        <v>19.2524284898783</v>
      </c>
      <c r="W33" s="12" t="n">
        <f aca="false">P33 &lt; R33</f>
        <v>1</v>
      </c>
      <c r="X33" s="10" t="n">
        <f aca="false">IF($W33,P33,R33)</f>
        <v>8.74772258773073</v>
      </c>
      <c r="Y33" s="1" t="s">
        <v>61</v>
      </c>
      <c r="Z33" s="1" t="s">
        <v>60</v>
      </c>
      <c r="AA33" s="12" t="n">
        <f aca="false">T33=W33</f>
        <v>1</v>
      </c>
    </row>
    <row r="34" customFormat="false" ht="12.8" hidden="false" customHeight="false" outlineLevel="0" collapsed="false">
      <c r="A34" s="1" t="s">
        <v>62</v>
      </c>
      <c r="B34" s="1" t="n">
        <v>233412</v>
      </c>
      <c r="C34" s="1" t="n">
        <v>51260</v>
      </c>
      <c r="D34" s="1" t="n">
        <v>25985</v>
      </c>
      <c r="E34" s="1" t="n">
        <v>10654</v>
      </c>
      <c r="F34" s="1" t="n">
        <v>25877</v>
      </c>
      <c r="G34" s="1" t="n">
        <v>20460</v>
      </c>
      <c r="H34" s="1" t="n">
        <v>15373</v>
      </c>
      <c r="I34" s="1" t="n">
        <v>75093</v>
      </c>
      <c r="J34" s="1" t="n">
        <v>40970</v>
      </c>
      <c r="K34" s="1" t="n">
        <v>25691</v>
      </c>
      <c r="L34" s="7" t="n">
        <f aca="false">(J34/G34*F34/I34)</f>
        <v>0.690040856343673</v>
      </c>
      <c r="M34" s="7" t="n">
        <f aca="false">(D34/G34*F34/C34)</f>
        <v>0.641139325173754</v>
      </c>
      <c r="N34" s="7" t="n">
        <f aca="false">(K34/H34*F34/I34)</f>
        <v>0.575886440288012</v>
      </c>
      <c r="O34" s="7" t="n">
        <f aca="false">(E34/H34*F34/C34)</f>
        <v>0.349856050604199</v>
      </c>
      <c r="P34" s="7" t="n">
        <f aca="false">(IF(L34&gt;1,L34,1/L34) - 1)*100</f>
        <v>44.9189552773311</v>
      </c>
      <c r="Q34" s="7" t="n">
        <f aca="false">(IF(M34&gt;1,M34,1/M34) - 1)*100</f>
        <v>55.9723387313656</v>
      </c>
      <c r="R34" s="7" t="n">
        <f aca="false">(IF(N34&gt;1,N34,1/N34) - 1)*100</f>
        <v>73.645345686535</v>
      </c>
      <c r="S34" s="7" t="n">
        <f aca="false">(IF(O34&gt;1,O34,1/O34) - 1)*100</f>
        <v>185.831843774892</v>
      </c>
      <c r="T34" s="9" t="n">
        <f aca="false">(P34+Q34) &lt; (R34+S34)</f>
        <v>1</v>
      </c>
      <c r="U34" s="10" t="n">
        <f aca="false">IF($T34,P34,R34)</f>
        <v>44.9189552773311</v>
      </c>
      <c r="V34" s="11" t="n">
        <f aca="false">IF($T34,Q34,S34)</f>
        <v>55.9723387313656</v>
      </c>
      <c r="W34" s="12" t="n">
        <f aca="false">P34 &lt; R34</f>
        <v>1</v>
      </c>
      <c r="X34" s="10" t="n">
        <f aca="false">IF($W34,P34,R34)</f>
        <v>44.9189552773311</v>
      </c>
      <c r="Y34" s="1" t="n">
        <v>233412</v>
      </c>
      <c r="Z34" s="1" t="s">
        <v>62</v>
      </c>
      <c r="AA34" s="12" t="n">
        <f aca="false">T34=W34</f>
        <v>1</v>
      </c>
    </row>
    <row r="35" customFormat="false" ht="12.8" hidden="false" customHeight="false" outlineLevel="0" collapsed="false">
      <c r="A35" s="1" t="s">
        <v>63</v>
      </c>
      <c r="B35" s="1" t="s">
        <v>64</v>
      </c>
      <c r="C35" s="1" t="n">
        <v>189745</v>
      </c>
      <c r="D35" s="1" t="n">
        <v>67419</v>
      </c>
      <c r="E35" s="1" t="n">
        <v>11482</v>
      </c>
      <c r="F35" s="1" t="n">
        <v>165137</v>
      </c>
      <c r="G35" s="1" t="n">
        <v>76234</v>
      </c>
      <c r="H35" s="1" t="n">
        <v>35539</v>
      </c>
      <c r="I35" s="1" t="n">
        <v>250167</v>
      </c>
      <c r="J35" s="1" t="n">
        <v>108252</v>
      </c>
      <c r="K35" s="1" t="n">
        <v>52475</v>
      </c>
      <c r="L35" s="7" t="n">
        <f aca="false">(J35/G35*F35/I35)</f>
        <v>0.93734958434968</v>
      </c>
      <c r="M35" s="7" t="n">
        <f aca="false">(D35/G35*F35/C35)</f>
        <v>0.769675475665232</v>
      </c>
      <c r="N35" s="7" t="n">
        <f aca="false">(K35/H35*F35/I35)</f>
        <v>0.974679010934385</v>
      </c>
      <c r="O35" s="7" t="n">
        <f aca="false">(E35/H35*F35/C35)</f>
        <v>0.281181270657493</v>
      </c>
      <c r="P35" s="7" t="n">
        <f aca="false">(IF(L35&gt;1,L35,1/L35) - 1)*100</f>
        <v>6.68378337136468</v>
      </c>
      <c r="Q35" s="7" t="n">
        <f aca="false">(IF(M35&gt;1,M35,1/M35) - 1)*100</f>
        <v>29.9248880361815</v>
      </c>
      <c r="R35" s="7" t="n">
        <f aca="false">(IF(N35&gt;1,N35,1/N35) - 1)*100</f>
        <v>2.59787979237809</v>
      </c>
      <c r="S35" s="7" t="n">
        <f aca="false">(IF(O35&gt;1,O35,1/O35) - 1)*100</f>
        <v>255.642464258617</v>
      </c>
      <c r="T35" s="9" t="n">
        <f aca="false">(P35+Q35) &lt; (R35+S35)</f>
        <v>1</v>
      </c>
      <c r="U35" s="10" t="n">
        <f aca="false">IF($T35,P35,R35)</f>
        <v>6.68378337136468</v>
      </c>
      <c r="V35" s="11" t="n">
        <f aca="false">IF($T35,Q35,S35)</f>
        <v>29.9248880361815</v>
      </c>
      <c r="W35" s="12" t="n">
        <f aca="false">P35 &lt; R35</f>
        <v>0</v>
      </c>
      <c r="X35" s="10" t="n">
        <f aca="false">IF($W35,P35,R35)</f>
        <v>2.59787979237809</v>
      </c>
      <c r="Y35" s="1" t="s">
        <v>64</v>
      </c>
      <c r="Z35" s="1" t="s">
        <v>63</v>
      </c>
      <c r="AA35" s="12" t="n">
        <f aca="false">T35=W35</f>
        <v>0</v>
      </c>
    </row>
    <row r="36" customFormat="false" ht="12.8" hidden="false" customHeight="false" outlineLevel="0" collapsed="false">
      <c r="A36" s="1" t="s">
        <v>65</v>
      </c>
      <c r="B36" s="1" t="n">
        <v>233230</v>
      </c>
      <c r="C36" s="1" t="n">
        <v>33387</v>
      </c>
      <c r="D36" s="1" t="n">
        <v>22738</v>
      </c>
      <c r="E36" s="1" t="n">
        <v>18844</v>
      </c>
      <c r="F36" s="1" t="n">
        <v>36402</v>
      </c>
      <c r="G36" s="1" t="n">
        <v>20760</v>
      </c>
      <c r="H36" s="1" t="n">
        <v>17414</v>
      </c>
      <c r="I36" s="1" t="n">
        <v>63523</v>
      </c>
      <c r="J36" s="1" t="n">
        <v>36302</v>
      </c>
      <c r="K36" s="1" t="n">
        <v>23542</v>
      </c>
      <c r="L36" s="7" t="n">
        <f aca="false">(J36/G36*F36/I36)</f>
        <v>1.00206858760092</v>
      </c>
      <c r="M36" s="7" t="n">
        <f aca="false">(D36/G36*F36/C36)</f>
        <v>1.19418816052976</v>
      </c>
      <c r="N36" s="7" t="n">
        <f aca="false">(K36/H36*F36/I36)</f>
        <v>0.77470981866704</v>
      </c>
      <c r="O36" s="7" t="n">
        <f aca="false">(E36/H36*F36/C36)</f>
        <v>1.17983806494193</v>
      </c>
      <c r="P36" s="7" t="n">
        <f aca="false">(IF(L36&gt;1,L36,1/L36) - 1)*100</f>
        <v>0.206858760092277</v>
      </c>
      <c r="Q36" s="7" t="n">
        <f aca="false">(IF(M36&gt;1,M36,1/M36) - 1)*100</f>
        <v>19.4188160529755</v>
      </c>
      <c r="R36" s="7" t="n">
        <f aca="false">(IF(N36&gt;1,N36,1/N36) - 1)*100</f>
        <v>29.0805893903077</v>
      </c>
      <c r="S36" s="7" t="n">
        <f aca="false">(IF(O36&gt;1,O36,1/O36) - 1)*100</f>
        <v>17.9838064941928</v>
      </c>
      <c r="T36" s="9" t="n">
        <f aca="false">(P36+Q36) &lt; (R36+S36)</f>
        <v>1</v>
      </c>
      <c r="U36" s="10" t="n">
        <f aca="false">IF($T36,P36,R36)</f>
        <v>0.206858760092277</v>
      </c>
      <c r="V36" s="11" t="n">
        <f aca="false">IF($T36,Q36,S36)</f>
        <v>19.4188160529755</v>
      </c>
      <c r="W36" s="12" t="n">
        <f aca="false">P36 &lt; R36</f>
        <v>1</v>
      </c>
      <c r="X36" s="10" t="n">
        <f aca="false">IF($W36,P36,R36)</f>
        <v>0.206858760092277</v>
      </c>
      <c r="Y36" s="1" t="n">
        <v>233230</v>
      </c>
      <c r="Z36" s="1" t="s">
        <v>65</v>
      </c>
      <c r="AA36" s="12" t="n">
        <f aca="false">T36=W36</f>
        <v>1</v>
      </c>
    </row>
    <row r="37" customFormat="false" ht="12.8" hidden="false" customHeight="false" outlineLevel="0" collapsed="false">
      <c r="A37" s="1" t="s">
        <v>66</v>
      </c>
      <c r="B37" s="1" t="s">
        <v>67</v>
      </c>
      <c r="C37" s="1" t="n">
        <v>113737</v>
      </c>
      <c r="D37" s="1" t="n">
        <v>72434</v>
      </c>
      <c r="E37" s="1" t="n">
        <v>53248</v>
      </c>
      <c r="F37" s="1" t="n">
        <v>80814</v>
      </c>
      <c r="G37" s="1" t="n">
        <v>37274</v>
      </c>
      <c r="H37" s="1" t="n">
        <v>28259</v>
      </c>
      <c r="I37" s="1" t="n">
        <v>114163</v>
      </c>
      <c r="J37" s="1" t="n">
        <v>65920</v>
      </c>
      <c r="K37" s="1" t="n">
        <v>42882</v>
      </c>
      <c r="L37" s="7" t="n">
        <f aca="false">(J37/G37*F37/I37)</f>
        <v>1.25190803944456</v>
      </c>
      <c r="M37" s="7" t="n">
        <f aca="false">(D37/G37*F37/C37)</f>
        <v>1.38076987219936</v>
      </c>
      <c r="N37" s="7" t="n">
        <f aca="false">(K37/H37*F37/I37)</f>
        <v>1.07418596477195</v>
      </c>
      <c r="O37" s="7" t="n">
        <f aca="false">(E37/H37*F37/C37)</f>
        <v>1.33884821932565</v>
      </c>
      <c r="P37" s="7" t="n">
        <f aca="false">(IF(L37&gt;1,L37,1/L37) - 1)*100</f>
        <v>25.1908039444562</v>
      </c>
      <c r="Q37" s="7" t="n">
        <f aca="false">(IF(M37&gt;1,M37,1/M37) - 1)*100</f>
        <v>38.0769872199356</v>
      </c>
      <c r="R37" s="7" t="n">
        <f aca="false">(IF(N37&gt;1,N37,1/N37) - 1)*100</f>
        <v>7.41859647719454</v>
      </c>
      <c r="S37" s="7" t="n">
        <f aca="false">(IF(O37&gt;1,O37,1/O37) - 1)*100</f>
        <v>33.8848219325646</v>
      </c>
      <c r="T37" s="9" t="n">
        <f aca="false">(P37+Q37) &lt; (R37+S37)</f>
        <v>0</v>
      </c>
      <c r="U37" s="10" t="n">
        <f aca="false">IF($T37,P37,R37)</f>
        <v>7.41859647719454</v>
      </c>
      <c r="V37" s="11" t="n">
        <f aca="false">IF($T37,Q37,S37)</f>
        <v>33.8848219325646</v>
      </c>
      <c r="W37" s="12" t="n">
        <f aca="false">P37 &lt; R37</f>
        <v>0</v>
      </c>
      <c r="X37" s="10" t="n">
        <f aca="false">IF($W37,P37,R37)</f>
        <v>7.41859647719454</v>
      </c>
      <c r="Y37" s="1" t="s">
        <v>67</v>
      </c>
      <c r="Z37" s="1" t="s">
        <v>66</v>
      </c>
      <c r="AA37" s="12" t="n">
        <f aca="false">T37=W37</f>
        <v>1</v>
      </c>
    </row>
    <row r="38" customFormat="false" ht="12.8" hidden="false" customHeight="false" outlineLevel="0" collapsed="false">
      <c r="A38" s="1" t="s">
        <v>68</v>
      </c>
      <c r="B38" s="1" t="n">
        <v>233240</v>
      </c>
      <c r="C38" s="1" t="n">
        <v>73261</v>
      </c>
      <c r="D38" s="1" t="n">
        <v>51895</v>
      </c>
      <c r="E38" s="1" t="n">
        <v>27787</v>
      </c>
      <c r="F38" s="1" t="n">
        <v>92767</v>
      </c>
      <c r="G38" s="1" t="n">
        <v>59081</v>
      </c>
      <c r="H38" s="1" t="n">
        <v>34440</v>
      </c>
      <c r="I38" s="1" t="n">
        <v>102085</v>
      </c>
      <c r="J38" s="1" t="n">
        <v>69439</v>
      </c>
      <c r="K38" s="1" t="n">
        <v>38811</v>
      </c>
      <c r="L38" s="7" t="n">
        <f aca="false">(J38/G38*F38/I38)</f>
        <v>1.06803921616434</v>
      </c>
      <c r="M38" s="7" t="n">
        <f aca="false">(D38/G38*F38/C38)</f>
        <v>1.11223958696667</v>
      </c>
      <c r="N38" s="7" t="n">
        <f aca="false">(K38/H38*F38/I38)</f>
        <v>1.02405496871074</v>
      </c>
      <c r="O38" s="7" t="n">
        <f aca="false">(E38/H38*F38/C38)</f>
        <v>1.02164305722142</v>
      </c>
      <c r="P38" s="7" t="n">
        <f aca="false">(IF(L38&gt;1,L38,1/L38) - 1)*100</f>
        <v>6.80392161643373</v>
      </c>
      <c r="Q38" s="7" t="n">
        <f aca="false">(IF(M38&gt;1,M38,1/M38) - 1)*100</f>
        <v>11.2239586966673</v>
      </c>
      <c r="R38" s="7" t="n">
        <f aca="false">(IF(N38&gt;1,N38,1/N38) - 1)*100</f>
        <v>2.40549687107432</v>
      </c>
      <c r="S38" s="7" t="n">
        <f aca="false">(IF(O38&gt;1,O38,1/O38) - 1)*100</f>
        <v>2.16430572214237</v>
      </c>
      <c r="T38" s="9" t="n">
        <f aca="false">(P38+Q38) &lt; (R38+S38)</f>
        <v>0</v>
      </c>
      <c r="U38" s="10" t="n">
        <f aca="false">IF($T38,P38,R38)</f>
        <v>2.40549687107432</v>
      </c>
      <c r="V38" s="11" t="n">
        <f aca="false">IF($T38,Q38,S38)</f>
        <v>2.16430572214237</v>
      </c>
      <c r="W38" s="12" t="n">
        <f aca="false">P38 &lt; R38</f>
        <v>0</v>
      </c>
      <c r="X38" s="10" t="n">
        <f aca="false">IF($W38,P38,R38)</f>
        <v>2.40549687107432</v>
      </c>
      <c r="Y38" s="1" t="n">
        <v>233240</v>
      </c>
      <c r="Z38" s="1" t="s">
        <v>68</v>
      </c>
      <c r="AA38" s="12" t="n">
        <f aca="false">T38=W38</f>
        <v>1</v>
      </c>
    </row>
    <row r="39" customFormat="false" ht="12.8" hidden="false" customHeight="false" outlineLevel="0" collapsed="false">
      <c r="A39" s="1" t="s">
        <v>69</v>
      </c>
      <c r="B39" s="1" t="n">
        <v>233411</v>
      </c>
      <c r="C39" s="1" t="n">
        <v>279970</v>
      </c>
      <c r="D39" s="1" t="n">
        <v>143397</v>
      </c>
      <c r="E39" s="1" t="n">
        <v>101285</v>
      </c>
      <c r="F39" s="1" t="n">
        <v>122034</v>
      </c>
      <c r="G39" s="1" t="n">
        <v>69995</v>
      </c>
      <c r="H39" s="1" t="n">
        <v>57225</v>
      </c>
      <c r="I39" s="1" t="n">
        <v>254640</v>
      </c>
      <c r="J39" s="1" t="n">
        <v>135891</v>
      </c>
      <c r="K39" s="1" t="n">
        <v>94603</v>
      </c>
      <c r="L39" s="7" t="n">
        <f aca="false">(J39/G39*F39/I39)</f>
        <v>0.930417558774058</v>
      </c>
      <c r="M39" s="7" t="n">
        <f aca="false">(D39/G39*F39/C39)</f>
        <v>0.892981367287669</v>
      </c>
      <c r="N39" s="7" t="n">
        <f aca="false">(K39/H39*F39/I39)</f>
        <v>0.792270213770815</v>
      </c>
      <c r="O39" s="7" t="n">
        <f aca="false">(E39/H39*F39/C39)</f>
        <v>0.771487121045688</v>
      </c>
      <c r="P39" s="7" t="n">
        <f aca="false">(IF(L39&gt;1,L39,1/L39) - 1)*100</f>
        <v>7.47862511511772</v>
      </c>
      <c r="Q39" s="7" t="n">
        <f aca="false">(IF(M39&gt;1,M39,1/M39) - 1)*100</f>
        <v>11.9844194551773</v>
      </c>
      <c r="R39" s="7" t="n">
        <f aca="false">(IF(N39&gt;1,N39,1/N39) - 1)*100</f>
        <v>26.2195627979619</v>
      </c>
      <c r="S39" s="7" t="n">
        <f aca="false">(IF(O39&gt;1,O39,1/O39) - 1)*100</f>
        <v>29.6197917918035</v>
      </c>
      <c r="T39" s="9" t="n">
        <f aca="false">(P39+Q39) &lt; (R39+S39)</f>
        <v>1</v>
      </c>
      <c r="U39" s="10" t="n">
        <f aca="false">IF($T39,P39,R39)</f>
        <v>7.47862511511772</v>
      </c>
      <c r="V39" s="11" t="n">
        <f aca="false">IF($T39,Q39,S39)</f>
        <v>11.9844194551773</v>
      </c>
      <c r="W39" s="12" t="n">
        <f aca="false">P39 &lt; R39</f>
        <v>1</v>
      </c>
      <c r="X39" s="10" t="n">
        <f aca="false">IF($W39,P39,R39)</f>
        <v>7.47862511511772</v>
      </c>
      <c r="Y39" s="1" t="n">
        <v>233411</v>
      </c>
      <c r="Z39" s="1" t="s">
        <v>69</v>
      </c>
      <c r="AA39" s="12" t="n">
        <f aca="false">T39=W39</f>
        <v>1</v>
      </c>
    </row>
    <row r="40" customFormat="false" ht="12.8" hidden="false" customHeight="false" outlineLevel="0" collapsed="false">
      <c r="A40" s="1" t="s">
        <v>70</v>
      </c>
      <c r="B40" s="1" t="s">
        <v>71</v>
      </c>
      <c r="C40" s="1" t="n">
        <v>100364</v>
      </c>
      <c r="D40" s="1" t="n">
        <v>55637</v>
      </c>
      <c r="E40" s="1" t="n">
        <v>33706</v>
      </c>
      <c r="F40" s="1" t="n">
        <v>111395</v>
      </c>
      <c r="G40" s="1" t="n">
        <v>59789</v>
      </c>
      <c r="H40" s="1" t="n">
        <v>39756</v>
      </c>
      <c r="I40" s="1" t="n">
        <v>135588</v>
      </c>
      <c r="J40" s="1" t="n">
        <v>71807</v>
      </c>
      <c r="K40" s="1" t="n">
        <v>44513</v>
      </c>
      <c r="L40" s="7" t="n">
        <f aca="false">(J40/G40*F40/I40)</f>
        <v>0.986710923891736</v>
      </c>
      <c r="M40" s="7" t="n">
        <f aca="false">(D40/G40*F40/C40)</f>
        <v>1.03283310736909</v>
      </c>
      <c r="N40" s="7" t="n">
        <f aca="false">(K40/H40*F40/I40)</f>
        <v>0.919874598141266</v>
      </c>
      <c r="O40" s="7" t="n">
        <f aca="false">(E40/H40*F40/C40)</f>
        <v>0.94100573570118</v>
      </c>
      <c r="P40" s="7" t="n">
        <f aca="false">(IF(L40&gt;1,L40,1/L40) - 1)*100</f>
        <v>1.3468054104286</v>
      </c>
      <c r="Q40" s="7" t="n">
        <f aca="false">(IF(M40&gt;1,M40,1/M40) - 1)*100</f>
        <v>3.28331073690875</v>
      </c>
      <c r="R40" s="7" t="n">
        <f aca="false">(IF(N40&gt;1,N40,1/N40) - 1)*100</f>
        <v>8.71047010327697</v>
      </c>
      <c r="S40" s="7" t="n">
        <f aca="false">(IF(O40&gt;1,O40,1/O40) - 1)*100</f>
        <v>6.26927786522584</v>
      </c>
      <c r="T40" s="9" t="n">
        <f aca="false">(P40+Q40) &lt; (R40+S40)</f>
        <v>1</v>
      </c>
      <c r="U40" s="10" t="n">
        <f aca="false">IF($T40,P40,R40)</f>
        <v>1.3468054104286</v>
      </c>
      <c r="V40" s="11" t="n">
        <f aca="false">IF($T40,Q40,S40)</f>
        <v>3.28331073690875</v>
      </c>
      <c r="W40" s="12" t="n">
        <f aca="false">P40 &lt; R40</f>
        <v>1</v>
      </c>
      <c r="X40" s="10" t="n">
        <f aca="false">IF($W40,P40,R40)</f>
        <v>1.3468054104286</v>
      </c>
      <c r="Y40" s="1" t="s">
        <v>71</v>
      </c>
      <c r="Z40" s="1" t="s">
        <v>70</v>
      </c>
      <c r="AA40" s="12" t="n">
        <f aca="false">T40=W40</f>
        <v>1</v>
      </c>
    </row>
    <row r="41" customFormat="false" ht="12.8" hidden="false" customHeight="false" outlineLevel="0" collapsed="false">
      <c r="A41" s="1" t="s">
        <v>72</v>
      </c>
      <c r="B41" s="1" t="n">
        <v>321100</v>
      </c>
      <c r="C41" s="1" t="n">
        <v>27913</v>
      </c>
      <c r="D41" s="1" t="n">
        <v>7014</v>
      </c>
      <c r="E41" s="1" t="n">
        <v>5839</v>
      </c>
      <c r="F41" s="1" t="n">
        <v>23378</v>
      </c>
      <c r="G41" s="1" t="n">
        <v>6598</v>
      </c>
      <c r="H41" s="1" t="n">
        <v>4345</v>
      </c>
      <c r="I41" s="1" t="n">
        <v>32968</v>
      </c>
      <c r="J41" s="1" t="n">
        <v>9256</v>
      </c>
      <c r="K41" s="1" t="n">
        <v>5479</v>
      </c>
      <c r="L41" s="7" t="n">
        <f aca="false">(J41/G41*F41/I41)</f>
        <v>0.994777119153782</v>
      </c>
      <c r="M41" s="7" t="n">
        <f aca="false">(D41/G41*F41/C41)</f>
        <v>0.890336727744774</v>
      </c>
      <c r="N41" s="7" t="n">
        <f aca="false">(K41/H41*F41/I41)</f>
        <v>0.894182719010016</v>
      </c>
      <c r="O41" s="7" t="n">
        <f aca="false">(E41/H41*F41/C41)</f>
        <v>1.12551045400518</v>
      </c>
      <c r="P41" s="7" t="n">
        <f aca="false">(IF(L41&gt;1,L41,1/L41) - 1)*100</f>
        <v>0.525030255084746</v>
      </c>
      <c r="Q41" s="7" t="n">
        <f aca="false">(IF(M41&gt;1,M41,1/M41) - 1)*100</f>
        <v>12.3170558776121</v>
      </c>
      <c r="R41" s="7" t="n">
        <f aca="false">(IF(N41&gt;1,N41,1/N41) - 1)*100</f>
        <v>11.8339662286404</v>
      </c>
      <c r="S41" s="7" t="n">
        <f aca="false">(IF(O41&gt;1,O41,1/O41) - 1)*100</f>
        <v>12.5510454005185</v>
      </c>
      <c r="T41" s="9" t="n">
        <f aca="false">(P41+Q41) &lt; (R41+S41)</f>
        <v>1</v>
      </c>
      <c r="U41" s="10" t="n">
        <f aca="false">IF($T41,P41,R41)</f>
        <v>0.525030255084746</v>
      </c>
      <c r="V41" s="11" t="n">
        <f aca="false">IF($T41,Q41,S41)</f>
        <v>12.3170558776121</v>
      </c>
      <c r="W41" s="12" t="n">
        <f aca="false">P41 &lt; R41</f>
        <v>1</v>
      </c>
      <c r="X41" s="10" t="n">
        <f aca="false">IF($W41,P41,R41)</f>
        <v>0.525030255084746</v>
      </c>
      <c r="Y41" s="1" t="n">
        <v>321100</v>
      </c>
      <c r="Z41" s="1" t="s">
        <v>72</v>
      </c>
      <c r="AA41" s="12" t="n">
        <f aca="false">T41=W41</f>
        <v>1</v>
      </c>
    </row>
    <row r="42" customFormat="false" ht="12.8" hidden="false" customHeight="false" outlineLevel="0" collapsed="false">
      <c r="A42" s="1" t="s">
        <v>73</v>
      </c>
      <c r="B42" s="1" t="n">
        <v>321200</v>
      </c>
      <c r="C42" s="1" t="n">
        <v>21672</v>
      </c>
      <c r="D42" s="1" t="n">
        <v>5663</v>
      </c>
      <c r="E42" s="1" t="n">
        <v>4611</v>
      </c>
      <c r="F42" s="1" t="n">
        <v>17126</v>
      </c>
      <c r="G42" s="1" t="n">
        <v>5424</v>
      </c>
      <c r="H42" s="1" t="n">
        <v>3526</v>
      </c>
      <c r="I42" s="1" t="n">
        <v>24547</v>
      </c>
      <c r="J42" s="1" t="n">
        <v>8754</v>
      </c>
      <c r="K42" s="1" t="n">
        <v>4885</v>
      </c>
      <c r="L42" s="7" t="n">
        <f aca="false">(J42/G42*F42/I42)</f>
        <v>1.12601552521062</v>
      </c>
      <c r="M42" s="7" t="n">
        <f aca="false">(D42/G42*F42/C42)</f>
        <v>0.825056762746488</v>
      </c>
      <c r="N42" s="7" t="n">
        <f aca="false">(K42/H42*F42/I42)</f>
        <v>0.96658439003224</v>
      </c>
      <c r="O42" s="7" t="n">
        <f aca="false">(E42/H42*F42/C42)</f>
        <v>1.03340310454406</v>
      </c>
      <c r="P42" s="7" t="n">
        <f aca="false">(IF(L42&gt;1,L42,1/L42) - 1)*100</f>
        <v>12.6015525210622</v>
      </c>
      <c r="Q42" s="7" t="n">
        <f aca="false">(IF(M42&gt;1,M42,1/M42) - 1)*100</f>
        <v>21.2037819884237</v>
      </c>
      <c r="R42" s="7" t="n">
        <f aca="false">(IF(N42&gt;1,N42,1/N42) - 1)*100</f>
        <v>3.45708148324699</v>
      </c>
      <c r="S42" s="7" t="n">
        <f aca="false">(IF(O42&gt;1,O42,1/O42) - 1)*100</f>
        <v>3.34031045440639</v>
      </c>
      <c r="T42" s="9" t="n">
        <f aca="false">(P42+Q42) &lt; (R42+S42)</f>
        <v>0</v>
      </c>
      <c r="U42" s="10" t="n">
        <f aca="false">IF($T42,P42,R42)</f>
        <v>3.45708148324699</v>
      </c>
      <c r="V42" s="11" t="n">
        <f aca="false">IF($T42,Q42,S42)</f>
        <v>3.34031045440639</v>
      </c>
      <c r="W42" s="12" t="n">
        <f aca="false">P42 &lt; R42</f>
        <v>0</v>
      </c>
      <c r="X42" s="10" t="n">
        <f aca="false">IF($W42,P42,R42)</f>
        <v>3.45708148324699</v>
      </c>
      <c r="Y42" s="1" t="n">
        <v>321200</v>
      </c>
      <c r="Z42" s="1" t="s">
        <v>73</v>
      </c>
      <c r="AA42" s="12" t="n">
        <f aca="false">T42=W42</f>
        <v>1</v>
      </c>
    </row>
    <row r="43" customFormat="false" ht="12.8" hidden="false" customHeight="false" outlineLevel="0" collapsed="false">
      <c r="A43" s="1" t="s">
        <v>74</v>
      </c>
      <c r="B43" s="1" t="n">
        <v>321910</v>
      </c>
      <c r="C43" s="1" t="n">
        <v>27911</v>
      </c>
      <c r="D43" s="1" t="n">
        <v>8429</v>
      </c>
      <c r="E43" s="1" t="n">
        <v>7026</v>
      </c>
      <c r="F43" s="1" t="n">
        <v>20543</v>
      </c>
      <c r="G43" s="1" t="n">
        <v>6993</v>
      </c>
      <c r="H43" s="1" t="n">
        <v>4656</v>
      </c>
      <c r="I43" s="1" t="n">
        <v>25614</v>
      </c>
      <c r="J43" s="1" t="n">
        <v>9235</v>
      </c>
      <c r="K43" s="1" t="n">
        <v>5811</v>
      </c>
      <c r="L43" s="7" t="n">
        <f aca="false">(J43/G43*F43/I43)</f>
        <v>1.05915576029576</v>
      </c>
      <c r="M43" s="7" t="n">
        <f aca="false">(D43/G43*F43/C43)</f>
        <v>0.887158044587015</v>
      </c>
      <c r="N43" s="7" t="n">
        <f aca="false">(K43/H43*F43/I43)</f>
        <v>1.00097761352321</v>
      </c>
      <c r="O43" s="7" t="n">
        <f aca="false">(E43/H43*F43/C43)</f>
        <v>1.11066642424171</v>
      </c>
      <c r="P43" s="7" t="n">
        <f aca="false">(IF(L43&gt;1,L43,1/L43) - 1)*100</f>
        <v>5.9155760295762</v>
      </c>
      <c r="Q43" s="7" t="n">
        <f aca="false">(IF(M43&gt;1,M43,1/M43) - 1)*100</f>
        <v>12.7194873677231</v>
      </c>
      <c r="R43" s="7" t="n">
        <f aca="false">(IF(N43&gt;1,N43,1/N43) - 1)*100</f>
        <v>0.0977613523210241</v>
      </c>
      <c r="S43" s="7" t="n">
        <f aca="false">(IF(O43&gt;1,O43,1/O43) - 1)*100</f>
        <v>11.0666424241708</v>
      </c>
      <c r="T43" s="9" t="n">
        <f aca="false">(P43+Q43) &lt; (R43+S43)</f>
        <v>0</v>
      </c>
      <c r="U43" s="10" t="n">
        <f aca="false">IF($T43,P43,R43)</f>
        <v>0.0977613523210241</v>
      </c>
      <c r="V43" s="11" t="n">
        <f aca="false">IF($T43,Q43,S43)</f>
        <v>11.0666424241708</v>
      </c>
      <c r="W43" s="12" t="n">
        <f aca="false">P43 &lt; R43</f>
        <v>0</v>
      </c>
      <c r="X43" s="10" t="n">
        <f aca="false">IF($W43,P43,R43)</f>
        <v>0.0977613523210241</v>
      </c>
      <c r="Y43" s="1" t="n">
        <v>321910</v>
      </c>
      <c r="Z43" s="1" t="s">
        <v>74</v>
      </c>
      <c r="AA43" s="12" t="n">
        <f aca="false">T43=W43</f>
        <v>1</v>
      </c>
    </row>
    <row r="44" customFormat="false" ht="12.8" hidden="false" customHeight="false" outlineLevel="0" collapsed="false">
      <c r="A44" s="1" t="s">
        <v>75</v>
      </c>
      <c r="B44" s="1" t="s">
        <v>76</v>
      </c>
      <c r="C44" s="1" t="n">
        <v>25232</v>
      </c>
      <c r="D44" s="1" t="n">
        <v>7861</v>
      </c>
      <c r="E44" s="1" t="n">
        <v>6127</v>
      </c>
      <c r="F44" s="1" t="n">
        <v>19266</v>
      </c>
      <c r="G44" s="1" t="n">
        <v>6719</v>
      </c>
      <c r="H44" s="1" t="n">
        <v>4129</v>
      </c>
      <c r="I44" s="1" t="n">
        <v>25206</v>
      </c>
      <c r="J44" s="1" t="n">
        <v>8323</v>
      </c>
      <c r="K44" s="1" t="n">
        <v>6087</v>
      </c>
      <c r="L44" s="7" t="n">
        <f aca="false">(J44/G44*F44/I44)</f>
        <v>0.946810090185049</v>
      </c>
      <c r="M44" s="7" t="n">
        <f aca="false">(D44/G44*F44/C44)</f>
        <v>0.893332296293374</v>
      </c>
      <c r="N44" s="7" t="n">
        <f aca="false">(K44/H44*F44/I44)</f>
        <v>1.12679793627658</v>
      </c>
      <c r="O44" s="7" t="n">
        <f aca="false">(E44/H44*F44/C44)</f>
        <v>1.13303383064834</v>
      </c>
      <c r="P44" s="7" t="n">
        <f aca="false">(IF(L44&gt;1,L44,1/L44) - 1)*100</f>
        <v>5.61780132746106</v>
      </c>
      <c r="Q44" s="7" t="n">
        <f aca="false">(IF(M44&gt;1,M44,1/M44) - 1)*100</f>
        <v>11.9404284552582</v>
      </c>
      <c r="R44" s="7" t="n">
        <f aca="false">(IF(N44&gt;1,N44,1/N44) - 1)*100</f>
        <v>12.6797936276575</v>
      </c>
      <c r="S44" s="7" t="n">
        <f aca="false">(IF(O44&gt;1,O44,1/O44) - 1)*100</f>
        <v>13.3033830648338</v>
      </c>
      <c r="T44" s="9" t="n">
        <f aca="false">(P44+Q44) &lt; (R44+S44)</f>
        <v>1</v>
      </c>
      <c r="U44" s="10" t="n">
        <f aca="false">IF($T44,P44,R44)</f>
        <v>5.61780132746106</v>
      </c>
      <c r="V44" s="11" t="n">
        <f aca="false">IF($T44,Q44,S44)</f>
        <v>11.9404284552582</v>
      </c>
      <c r="W44" s="12" t="n">
        <f aca="false">P44 &lt; R44</f>
        <v>1</v>
      </c>
      <c r="X44" s="10" t="n">
        <f aca="false">IF($W44,P44,R44)</f>
        <v>5.61780132746106</v>
      </c>
      <c r="Y44" s="1" t="s">
        <v>76</v>
      </c>
      <c r="Z44" s="1" t="s">
        <v>75</v>
      </c>
      <c r="AA44" s="12" t="n">
        <f aca="false">T44=W44</f>
        <v>1</v>
      </c>
    </row>
    <row r="45" customFormat="false" ht="12.8" hidden="false" customHeight="false" outlineLevel="0" collapsed="false">
      <c r="A45" s="1" t="s">
        <v>77</v>
      </c>
      <c r="B45" s="1" t="n">
        <v>327100</v>
      </c>
      <c r="C45" s="1" t="n">
        <v>9758</v>
      </c>
      <c r="D45" s="1" t="n">
        <v>5103</v>
      </c>
      <c r="E45" s="1" t="n">
        <v>3680</v>
      </c>
      <c r="F45" s="1" t="n">
        <v>7221</v>
      </c>
      <c r="G45" s="1" t="n">
        <v>3419</v>
      </c>
      <c r="H45" s="1" t="n">
        <v>2236</v>
      </c>
      <c r="I45" s="1" t="n">
        <v>8137</v>
      </c>
      <c r="J45" s="1" t="n">
        <v>4006</v>
      </c>
      <c r="K45" s="1" t="n">
        <v>2719</v>
      </c>
      <c r="L45" s="7" t="n">
        <f aca="false">(J45/G45*F45/I45)</f>
        <v>1.03978817273064</v>
      </c>
      <c r="M45" s="7" t="n">
        <f aca="false">(D45/G45*F45/C45)</f>
        <v>1.10449307880722</v>
      </c>
      <c r="N45" s="7" t="n">
        <f aca="false">(K45/H45*F45/I45)</f>
        <v>1.07912172867902</v>
      </c>
      <c r="O45" s="7" t="n">
        <f aca="false">(E45/H45*F45/C45)</f>
        <v>1.21790258055314</v>
      </c>
      <c r="P45" s="7" t="n">
        <f aca="false">(IF(L45&gt;1,L45,1/L45) - 1)*100</f>
        <v>3.97881727306395</v>
      </c>
      <c r="Q45" s="7" t="n">
        <f aca="false">(IF(M45&gt;1,M45,1/M45) - 1)*100</f>
        <v>10.4493078807223</v>
      </c>
      <c r="R45" s="7" t="n">
        <f aca="false">(IF(N45&gt;1,N45,1/N45) - 1)*100</f>
        <v>7.91217286790196</v>
      </c>
      <c r="S45" s="7" t="n">
        <f aca="false">(IF(O45&gt;1,O45,1/O45) - 1)*100</f>
        <v>21.7902580553143</v>
      </c>
      <c r="T45" s="9" t="n">
        <f aca="false">(P45+Q45) &lt; (R45+S45)</f>
        <v>1</v>
      </c>
      <c r="U45" s="10" t="n">
        <f aca="false">IF($T45,P45,R45)</f>
        <v>3.97881727306395</v>
      </c>
      <c r="V45" s="11" t="n">
        <f aca="false">IF($T45,Q45,S45)</f>
        <v>10.4493078807223</v>
      </c>
      <c r="W45" s="12" t="n">
        <f aca="false">P45 &lt; R45</f>
        <v>1</v>
      </c>
      <c r="X45" s="10" t="n">
        <f aca="false">IF($W45,P45,R45)</f>
        <v>3.97881727306395</v>
      </c>
      <c r="Y45" s="1" t="n">
        <v>327100</v>
      </c>
      <c r="Z45" s="1" t="s">
        <v>77</v>
      </c>
      <c r="AA45" s="12" t="n">
        <f aca="false">T45=W45</f>
        <v>1</v>
      </c>
    </row>
    <row r="46" customFormat="false" ht="12.8" hidden="false" customHeight="false" outlineLevel="0" collapsed="false">
      <c r="A46" s="1" t="s">
        <v>78</v>
      </c>
      <c r="B46" s="1" t="n">
        <v>327200</v>
      </c>
      <c r="C46" s="1" t="n">
        <v>23659</v>
      </c>
      <c r="D46" s="1" t="n">
        <v>11216</v>
      </c>
      <c r="E46" s="1" t="n">
        <v>6934</v>
      </c>
      <c r="F46" s="1" t="n">
        <v>23570</v>
      </c>
      <c r="G46" s="1" t="n">
        <v>10233</v>
      </c>
      <c r="H46" s="1" t="n">
        <v>5969</v>
      </c>
      <c r="I46" s="1" t="n">
        <v>26370</v>
      </c>
      <c r="J46" s="1" t="n">
        <v>11964</v>
      </c>
      <c r="K46" s="1" t="n">
        <v>6235</v>
      </c>
      <c r="L46" s="7" t="n">
        <f aca="false">(J46/G46*F46/I46)</f>
        <v>1.04501586304186</v>
      </c>
      <c r="M46" s="7" t="n">
        <f aca="false">(D46/G46*F46/C46)</f>
        <v>1.09193861558177</v>
      </c>
      <c r="N46" s="7" t="n">
        <f aca="false">(K46/H46*F46/I46)</f>
        <v>0.93365049469027</v>
      </c>
      <c r="O46" s="7" t="n">
        <f aca="false">(E46/H46*F46/C46)</f>
        <v>1.15729867711695</v>
      </c>
      <c r="P46" s="7" t="n">
        <f aca="false">(IF(L46&gt;1,L46,1/L46) - 1)*100</f>
        <v>4.5015863041864</v>
      </c>
      <c r="Q46" s="7" t="n">
        <f aca="false">(IF(M46&gt;1,M46,1/M46) - 1)*100</f>
        <v>9.19386155817685</v>
      </c>
      <c r="R46" s="7" t="n">
        <f aca="false">(IF(N46&gt;1,N46,1/N46) - 1)*100</f>
        <v>7.10646068170737</v>
      </c>
      <c r="S46" s="7" t="n">
        <f aca="false">(IF(O46&gt;1,O46,1/O46) - 1)*100</f>
        <v>15.7298677116948</v>
      </c>
      <c r="T46" s="9" t="n">
        <f aca="false">(P46+Q46) &lt; (R46+S46)</f>
        <v>1</v>
      </c>
      <c r="U46" s="10" t="n">
        <f aca="false">IF($T46,P46,R46)</f>
        <v>4.5015863041864</v>
      </c>
      <c r="V46" s="11" t="n">
        <f aca="false">IF($T46,Q46,S46)</f>
        <v>9.19386155817685</v>
      </c>
      <c r="W46" s="12" t="n">
        <f aca="false">P46 &lt; R46</f>
        <v>1</v>
      </c>
      <c r="X46" s="10" t="n">
        <f aca="false">IF($W46,P46,R46)</f>
        <v>4.5015863041864</v>
      </c>
      <c r="Y46" s="1" t="n">
        <v>327200</v>
      </c>
      <c r="Z46" s="1" t="s">
        <v>78</v>
      </c>
      <c r="AA46" s="12" t="n">
        <f aca="false">T46=W46</f>
        <v>1</v>
      </c>
    </row>
    <row r="47" customFormat="false" ht="12.8" hidden="false" customHeight="false" outlineLevel="0" collapsed="false">
      <c r="A47" s="1" t="s">
        <v>79</v>
      </c>
      <c r="B47" s="1" t="n">
        <v>327310</v>
      </c>
      <c r="C47" s="1" t="n">
        <v>10347</v>
      </c>
      <c r="D47" s="1" t="n">
        <v>3440</v>
      </c>
      <c r="E47" s="1" t="n">
        <v>1543</v>
      </c>
      <c r="F47" s="1" t="n">
        <v>5899</v>
      </c>
      <c r="G47" s="1" t="n">
        <v>2466</v>
      </c>
      <c r="H47" s="1" t="n">
        <v>1082</v>
      </c>
      <c r="I47" s="1" t="n">
        <v>8355</v>
      </c>
      <c r="J47" s="1" t="n">
        <v>4559</v>
      </c>
      <c r="K47" s="1" t="n">
        <v>1426</v>
      </c>
      <c r="L47" s="7" t="n">
        <f aca="false">(J47/G47*F47/I47)</f>
        <v>1.30529436118161</v>
      </c>
      <c r="M47" s="7" t="n">
        <f aca="false">(D47/G47*F47/C47)</f>
        <v>0.795296950873623</v>
      </c>
      <c r="N47" s="7" t="n">
        <f aca="false">(K47/H47*F47/I47)</f>
        <v>0.930516774685264</v>
      </c>
      <c r="O47" s="7" t="n">
        <f aca="false">(E47/H47*F47/C47)</f>
        <v>0.813022589347426</v>
      </c>
      <c r="P47" s="7" t="n">
        <f aca="false">(IF(L47&gt;1,L47,1/L47) - 1)*100</f>
        <v>30.5294361181609</v>
      </c>
      <c r="Q47" s="7" t="n">
        <f aca="false">(IF(M47&gt;1,M47,1/M47) - 1)*100</f>
        <v>25.7391970259051</v>
      </c>
      <c r="R47" s="7" t="n">
        <f aca="false">(IF(N47&gt;1,N47,1/N47) - 1)*100</f>
        <v>7.46716525752456</v>
      </c>
      <c r="S47" s="7" t="n">
        <f aca="false">(IF(O47&gt;1,O47,1/O47) - 1)*100</f>
        <v>22.9978124965324</v>
      </c>
      <c r="T47" s="9" t="n">
        <f aca="false">(P47+Q47) &lt; (R47+S47)</f>
        <v>0</v>
      </c>
      <c r="U47" s="10" t="n">
        <f aca="false">IF($T47,P47,R47)</f>
        <v>7.46716525752456</v>
      </c>
      <c r="V47" s="11" t="n">
        <f aca="false">IF($T47,Q47,S47)</f>
        <v>22.9978124965324</v>
      </c>
      <c r="W47" s="12" t="n">
        <f aca="false">P47 &lt; R47</f>
        <v>0</v>
      </c>
      <c r="X47" s="10" t="n">
        <f aca="false">IF($W47,P47,R47)</f>
        <v>7.46716525752456</v>
      </c>
      <c r="Y47" s="1" t="n">
        <v>327310</v>
      </c>
      <c r="Z47" s="1" t="s">
        <v>79</v>
      </c>
      <c r="AA47" s="12" t="n">
        <f aca="false">T47=W47</f>
        <v>1</v>
      </c>
    </row>
    <row r="48" customFormat="false" ht="12.8" hidden="false" customHeight="false" outlineLevel="0" collapsed="false">
      <c r="A48" s="1" t="s">
        <v>80</v>
      </c>
      <c r="B48" s="1" t="n">
        <v>327320</v>
      </c>
      <c r="C48" s="1" t="n">
        <v>34763</v>
      </c>
      <c r="D48" s="1" t="n">
        <v>8567</v>
      </c>
      <c r="E48" s="1" t="n">
        <v>6319</v>
      </c>
      <c r="F48" s="1" t="n">
        <v>20742</v>
      </c>
      <c r="G48" s="1" t="n">
        <v>7102</v>
      </c>
      <c r="H48" s="1" t="n">
        <v>5156</v>
      </c>
      <c r="I48" s="1" t="n">
        <v>31668</v>
      </c>
      <c r="J48" s="1" t="n">
        <v>11451</v>
      </c>
      <c r="K48" s="1" t="n">
        <v>7003</v>
      </c>
      <c r="L48" s="7" t="n">
        <f aca="false">(J48/G48*F48/I48)</f>
        <v>1.05607008427729</v>
      </c>
      <c r="M48" s="7" t="n">
        <f aca="false">(D48/G48*F48/C48)</f>
        <v>0.719749679960647</v>
      </c>
      <c r="N48" s="7" t="n">
        <f aca="false">(K48/H48*F48/I48)</f>
        <v>0.889613185696089</v>
      </c>
      <c r="O48" s="7" t="n">
        <f aca="false">(E48/H48*F48/C48)</f>
        <v>0.731254965603616</v>
      </c>
      <c r="P48" s="7" t="n">
        <f aca="false">(IF(L48&gt;1,L48,1/L48) - 1)*100</f>
        <v>5.60700842772917</v>
      </c>
      <c r="Q48" s="7" t="n">
        <f aca="false">(IF(M48&gt;1,M48,1/M48) - 1)*100</f>
        <v>38.9371927271542</v>
      </c>
      <c r="R48" s="7" t="n">
        <f aca="false">(IF(N48&gt;1,N48,1/N48) - 1)*100</f>
        <v>12.4084058193829</v>
      </c>
      <c r="S48" s="7" t="n">
        <f aca="false">(IF(O48&gt;1,O48,1/O48) - 1)*100</f>
        <v>36.7512081336156</v>
      </c>
      <c r="T48" s="9" t="n">
        <f aca="false">(P48+Q48) &lt; (R48+S48)</f>
        <v>1</v>
      </c>
      <c r="U48" s="10" t="n">
        <f aca="false">IF($T48,P48,R48)</f>
        <v>5.60700842772917</v>
      </c>
      <c r="V48" s="11" t="n">
        <f aca="false">IF($T48,Q48,S48)</f>
        <v>38.9371927271542</v>
      </c>
      <c r="W48" s="12" t="n">
        <f aca="false">P48 &lt; R48</f>
        <v>1</v>
      </c>
      <c r="X48" s="10" t="n">
        <f aca="false">IF($W48,P48,R48)</f>
        <v>5.60700842772917</v>
      </c>
      <c r="Y48" s="1" t="n">
        <v>327320</v>
      </c>
      <c r="Z48" s="1" t="s">
        <v>80</v>
      </c>
      <c r="AA48" s="12" t="n">
        <f aca="false">T48=W48</f>
        <v>1</v>
      </c>
    </row>
    <row r="49" customFormat="false" ht="12.8" hidden="false" customHeight="false" outlineLevel="0" collapsed="false">
      <c r="A49" s="1" t="s">
        <v>81</v>
      </c>
      <c r="B49" s="1" t="n">
        <v>327330</v>
      </c>
      <c r="C49" s="1" t="n">
        <v>8985</v>
      </c>
      <c r="D49" s="1" t="n">
        <v>3456</v>
      </c>
      <c r="E49" s="1" t="n">
        <v>1918</v>
      </c>
      <c r="F49" s="1" t="n">
        <v>5649</v>
      </c>
      <c r="G49" s="1" t="n">
        <v>2470</v>
      </c>
      <c r="H49" s="1" t="n">
        <v>1307</v>
      </c>
      <c r="I49" s="1" t="n">
        <v>6424</v>
      </c>
      <c r="J49" s="1" t="n">
        <v>3261</v>
      </c>
      <c r="K49" s="1" t="n">
        <v>1876</v>
      </c>
      <c r="L49" s="7" t="n">
        <f aca="false">(J49/G49*F49/I49)</f>
        <v>1.16096703404742</v>
      </c>
      <c r="M49" s="7" t="n">
        <f aca="false">(D49/G49*F49/C49)</f>
        <v>0.879691253303414</v>
      </c>
      <c r="N49" s="7" t="n">
        <f aca="false">(K49/H49*F49/I49)</f>
        <v>1.26218579713984</v>
      </c>
      <c r="O49" s="7" t="n">
        <f aca="false">(E49/H49*F49/C49)</f>
        <v>0.922627740955661</v>
      </c>
      <c r="P49" s="7" t="n">
        <f aca="false">(IF(L49&gt;1,L49,1/L49) - 1)*100</f>
        <v>16.0967034047423</v>
      </c>
      <c r="Q49" s="7" t="n">
        <f aca="false">(IF(M49&gt;1,M49,1/M49) - 1)*100</f>
        <v>13.6762467791743</v>
      </c>
      <c r="R49" s="7" t="n">
        <f aca="false">(IF(N49&gt;1,N49,1/N49) - 1)*100</f>
        <v>26.2185797139838</v>
      </c>
      <c r="S49" s="7" t="n">
        <f aca="false">(IF(O49&gt;1,O49,1/O49) - 1)*100</f>
        <v>8.38607551125625</v>
      </c>
      <c r="T49" s="9" t="n">
        <f aca="false">(P49+Q49) &lt; (R49+S49)</f>
        <v>1</v>
      </c>
      <c r="U49" s="10" t="n">
        <f aca="false">IF($T49,P49,R49)</f>
        <v>16.0967034047423</v>
      </c>
      <c r="V49" s="11" t="n">
        <f aca="false">IF($T49,Q49,S49)</f>
        <v>13.6762467791743</v>
      </c>
      <c r="W49" s="12" t="n">
        <f aca="false">P49 &lt; R49</f>
        <v>1</v>
      </c>
      <c r="X49" s="10" t="n">
        <f aca="false">IF($W49,P49,R49)</f>
        <v>16.0967034047423</v>
      </c>
      <c r="Y49" s="1" t="n">
        <v>327330</v>
      </c>
      <c r="Z49" s="1" t="s">
        <v>81</v>
      </c>
      <c r="AA49" s="12" t="n">
        <f aca="false">T49=W49</f>
        <v>1</v>
      </c>
    </row>
    <row r="50" customFormat="false" ht="12.8" hidden="false" customHeight="false" outlineLevel="0" collapsed="false">
      <c r="A50" s="1" t="s">
        <v>82</v>
      </c>
      <c r="B50" s="1" t="n">
        <v>327390</v>
      </c>
      <c r="C50" s="1" t="n">
        <v>12066</v>
      </c>
      <c r="D50" s="1" t="n">
        <v>4435</v>
      </c>
      <c r="E50" s="1" t="n">
        <v>3056</v>
      </c>
      <c r="F50" s="1" t="n">
        <v>8642</v>
      </c>
      <c r="G50" s="1" t="n">
        <v>3785</v>
      </c>
      <c r="H50" s="1" t="n">
        <v>2520</v>
      </c>
      <c r="I50" s="1" t="n">
        <v>12537</v>
      </c>
      <c r="J50" s="1" t="n">
        <v>6097</v>
      </c>
      <c r="K50" s="1" t="n">
        <v>3575</v>
      </c>
      <c r="L50" s="7" t="n">
        <f aca="false">(J50/G50*F50/I50)</f>
        <v>1.11037825263113</v>
      </c>
      <c r="M50" s="7" t="n">
        <f aca="false">(D50/G50*F50/C50)</f>
        <v>0.839225519002597</v>
      </c>
      <c r="N50" s="7" t="n">
        <f aca="false">(K50/H50*F50/I50)</f>
        <v>0.977903817398912</v>
      </c>
      <c r="O50" s="7" t="n">
        <f aca="false">(E50/H50*F50/C50)</f>
        <v>0.86856785036795</v>
      </c>
      <c r="P50" s="7" t="n">
        <f aca="false">(IF(L50&gt;1,L50,1/L50) - 1)*100</f>
        <v>11.0378252631129</v>
      </c>
      <c r="Q50" s="7" t="n">
        <f aca="false">(IF(M50&gt;1,M50,1/M50) - 1)*100</f>
        <v>19.1574823878664</v>
      </c>
      <c r="R50" s="7" t="n">
        <f aca="false">(IF(N50&gt;1,N50,1/N50) - 1)*100</f>
        <v>2.2595455921075</v>
      </c>
      <c r="S50" s="7" t="n">
        <f aca="false">(IF(O50&gt;1,O50,1/O50) - 1)*100</f>
        <v>15.1320532502293</v>
      </c>
      <c r="T50" s="9" t="n">
        <f aca="false">(P50+Q50) &lt; (R50+S50)</f>
        <v>0</v>
      </c>
      <c r="U50" s="10" t="n">
        <f aca="false">IF($T50,P50,R50)</f>
        <v>2.2595455921075</v>
      </c>
      <c r="V50" s="11" t="n">
        <f aca="false">IF($T50,Q50,S50)</f>
        <v>15.1320532502293</v>
      </c>
      <c r="W50" s="12" t="n">
        <f aca="false">P50 &lt; R50</f>
        <v>0</v>
      </c>
      <c r="X50" s="10" t="n">
        <f aca="false">IF($W50,P50,R50)</f>
        <v>2.2595455921075</v>
      </c>
      <c r="Y50" s="1" t="n">
        <v>327390</v>
      </c>
      <c r="Z50" s="1" t="s">
        <v>82</v>
      </c>
      <c r="AA50" s="12" t="n">
        <f aca="false">T50=W50</f>
        <v>1</v>
      </c>
    </row>
    <row r="51" customFormat="false" ht="12.8" hidden="false" customHeight="false" outlineLevel="0" collapsed="false">
      <c r="A51" s="1" t="s">
        <v>83</v>
      </c>
      <c r="B51" s="1" t="n">
        <v>327400</v>
      </c>
      <c r="C51" s="1" t="n">
        <v>7501</v>
      </c>
      <c r="D51" s="1" t="n">
        <v>2608</v>
      </c>
      <c r="E51" s="1" t="n">
        <v>1172</v>
      </c>
      <c r="F51" s="1" t="n">
        <v>5965</v>
      </c>
      <c r="G51" s="1" t="n">
        <v>2601</v>
      </c>
      <c r="H51" s="1" t="n">
        <v>1092</v>
      </c>
      <c r="I51" s="1" t="n">
        <v>8110</v>
      </c>
      <c r="J51" s="1" t="n">
        <v>4034</v>
      </c>
      <c r="K51" s="1" t="n">
        <v>1290</v>
      </c>
      <c r="L51" s="7" t="n">
        <f aca="false">(J51/G51*F51/I51)</f>
        <v>1.14073596847651</v>
      </c>
      <c r="M51" s="7" t="n">
        <f aca="false">(D51/G51*F51/C51)</f>
        <v>0.797367476467703</v>
      </c>
      <c r="N51" s="7" t="n">
        <f aca="false">(K51/H51*F51/I51)</f>
        <v>0.868873727998266</v>
      </c>
      <c r="O51" s="7" t="n">
        <f aca="false">(E51/H51*F51/C51)</f>
        <v>0.853485713504378</v>
      </c>
      <c r="P51" s="7" t="n">
        <f aca="false">(IF(L51&gt;1,L51,1/L51) - 1)*100</f>
        <v>14.0735968476508</v>
      </c>
      <c r="Q51" s="7" t="n">
        <f aca="false">(IF(M51&gt;1,M51,1/M51) - 1)*100</f>
        <v>25.4126898215048</v>
      </c>
      <c r="R51" s="7" t="n">
        <f aca="false">(IF(N51&gt;1,N51,1/N51) - 1)*100</f>
        <v>15.0915222518958</v>
      </c>
      <c r="S51" s="7" t="n">
        <f aca="false">(IF(O51&gt;1,O51,1/O51) - 1)*100</f>
        <v>17.1665775041554</v>
      </c>
      <c r="T51" s="9" t="n">
        <f aca="false">(P51+Q51) &lt; (R51+S51)</f>
        <v>0</v>
      </c>
      <c r="U51" s="10" t="n">
        <f aca="false">IF($T51,P51,R51)</f>
        <v>15.0915222518958</v>
      </c>
      <c r="V51" s="11" t="n">
        <f aca="false">IF($T51,Q51,S51)</f>
        <v>17.1665775041554</v>
      </c>
      <c r="W51" s="12" t="n">
        <f aca="false">P51 &lt; R51</f>
        <v>1</v>
      </c>
      <c r="X51" s="10" t="n">
        <f aca="false">IF($W51,P51,R51)</f>
        <v>14.0735968476508</v>
      </c>
      <c r="Y51" s="1" t="n">
        <v>327400</v>
      </c>
      <c r="Z51" s="1" t="s">
        <v>83</v>
      </c>
      <c r="AA51" s="12" t="n">
        <f aca="false">T51=W51</f>
        <v>0</v>
      </c>
    </row>
    <row r="52" customFormat="false" ht="12.8" hidden="false" customHeight="false" outlineLevel="0" collapsed="false">
      <c r="A52" s="1" t="s">
        <v>84</v>
      </c>
      <c r="B52" s="1" t="n">
        <v>327910</v>
      </c>
      <c r="C52" s="1" t="n">
        <v>4448</v>
      </c>
      <c r="D52" s="1" t="n">
        <v>3055</v>
      </c>
      <c r="E52" s="1" t="n">
        <v>779</v>
      </c>
      <c r="F52" s="1" t="n">
        <v>5289</v>
      </c>
      <c r="G52" s="1" t="n">
        <v>3219</v>
      </c>
      <c r="H52" s="1" t="n">
        <v>763</v>
      </c>
      <c r="I52" s="1" t="n">
        <v>4835</v>
      </c>
      <c r="J52" s="1" t="n">
        <v>3157</v>
      </c>
      <c r="K52" s="1" t="n">
        <v>776</v>
      </c>
      <c r="L52" s="7" t="n">
        <f aca="false">(J52/G52*F52/I52)</f>
        <v>1.07282946748767</v>
      </c>
      <c r="M52" s="7" t="n">
        <f aca="false">(D52/G52*F52/C52)</f>
        <v>1.12849340751071</v>
      </c>
      <c r="N52" s="7" t="n">
        <f aca="false">(K52/H52*F52/I52)</f>
        <v>1.1125365095328</v>
      </c>
      <c r="O52" s="7" t="n">
        <f aca="false">(E52/H52*F52/C52)</f>
        <v>1.21400844593002</v>
      </c>
      <c r="P52" s="7" t="n">
        <f aca="false">(IF(L52&gt;1,L52,1/L52) - 1)*100</f>
        <v>7.28294674876708</v>
      </c>
      <c r="Q52" s="7" t="n">
        <f aca="false">(IF(M52&gt;1,M52,1/M52) - 1)*100</f>
        <v>12.8493407510711</v>
      </c>
      <c r="R52" s="7" t="n">
        <f aca="false">(IF(N52&gt;1,N52,1/N52) - 1)*100</f>
        <v>11.25365095328</v>
      </c>
      <c r="S52" s="7" t="n">
        <f aca="false">(IF(O52&gt;1,O52,1/O52) - 1)*100</f>
        <v>21.4008445930019</v>
      </c>
      <c r="T52" s="9" t="n">
        <f aca="false">(P52+Q52) &lt; (R52+S52)</f>
        <v>1</v>
      </c>
      <c r="U52" s="10" t="n">
        <f aca="false">IF($T52,P52,R52)</f>
        <v>7.28294674876708</v>
      </c>
      <c r="V52" s="11" t="n">
        <f aca="false">IF($T52,Q52,S52)</f>
        <v>12.8493407510711</v>
      </c>
      <c r="W52" s="12" t="n">
        <f aca="false">P52 &lt; R52</f>
        <v>1</v>
      </c>
      <c r="X52" s="10" t="n">
        <f aca="false">IF($W52,P52,R52)</f>
        <v>7.28294674876708</v>
      </c>
      <c r="Y52" s="1" t="n">
        <v>327910</v>
      </c>
      <c r="Z52" s="1" t="s">
        <v>84</v>
      </c>
      <c r="AA52" s="12" t="n">
        <f aca="false">T52=W52</f>
        <v>1</v>
      </c>
    </row>
    <row r="53" customFormat="false" ht="12.8" hidden="false" customHeight="false" outlineLevel="0" collapsed="false">
      <c r="A53" s="1" t="s">
        <v>85</v>
      </c>
      <c r="B53" s="1" t="n">
        <v>327991</v>
      </c>
      <c r="C53" s="1" t="n">
        <v>4423</v>
      </c>
      <c r="D53" s="1" t="n">
        <v>2009</v>
      </c>
      <c r="E53" s="1" t="n">
        <v>1359</v>
      </c>
      <c r="F53" s="1" t="n">
        <v>3637</v>
      </c>
      <c r="G53" s="1" t="n">
        <v>1153</v>
      </c>
      <c r="H53" s="1" t="n">
        <v>572</v>
      </c>
      <c r="I53" s="1" t="n">
        <v>5026</v>
      </c>
      <c r="J53" s="1" t="n">
        <v>2236</v>
      </c>
      <c r="K53" s="1" t="n">
        <v>1699</v>
      </c>
      <c r="L53" s="7" t="n">
        <f aca="false">(J53/G53*F53/I53)</f>
        <v>1.40334130690401</v>
      </c>
      <c r="M53" s="7" t="n">
        <f aca="false">(D53/G53*F53/C53)</f>
        <v>1.43277168800869</v>
      </c>
      <c r="N53" s="7" t="n">
        <f aca="false">(K53/H53*F53/I53)</f>
        <v>2.14940456479454</v>
      </c>
      <c r="O53" s="7" t="n">
        <f aca="false">(E53/H53*F53/C53)</f>
        <v>1.9536636210274</v>
      </c>
      <c r="P53" s="7" t="n">
        <f aca="false">(IF(L53&gt;1,L53,1/L53) - 1)*100</f>
        <v>40.3341306904012</v>
      </c>
      <c r="Q53" s="7" t="n">
        <f aca="false">(IF(M53&gt;1,M53,1/M53) - 1)*100</f>
        <v>43.2771688008692</v>
      </c>
      <c r="R53" s="7" t="n">
        <f aca="false">(IF(N53&gt;1,N53,1/N53) - 1)*100</f>
        <v>114.940456479454</v>
      </c>
      <c r="S53" s="7" t="n">
        <f aca="false">(IF(O53&gt;1,O53,1/O53) - 1)*100</f>
        <v>95.3663621027401</v>
      </c>
      <c r="T53" s="9" t="n">
        <f aca="false">(P53+Q53) &lt; (R53+S53)</f>
        <v>1</v>
      </c>
      <c r="U53" s="10" t="n">
        <f aca="false">IF($T53,P53,R53)</f>
        <v>40.3341306904012</v>
      </c>
      <c r="V53" s="11" t="n">
        <f aca="false">IF($T53,Q53,S53)</f>
        <v>43.2771688008692</v>
      </c>
      <c r="W53" s="12" t="n">
        <f aca="false">P53 &lt; R53</f>
        <v>1</v>
      </c>
      <c r="X53" s="10" t="n">
        <f aca="false">IF($W53,P53,R53)</f>
        <v>40.3341306904012</v>
      </c>
      <c r="Y53" s="1" t="n">
        <v>327991</v>
      </c>
      <c r="Z53" s="1" t="s">
        <v>85</v>
      </c>
      <c r="AA53" s="12" t="n">
        <f aca="false">T53=W53</f>
        <v>1</v>
      </c>
    </row>
    <row r="54" customFormat="false" ht="12.8" hidden="false" customHeight="false" outlineLevel="0" collapsed="false">
      <c r="A54" s="1" t="s">
        <v>86</v>
      </c>
      <c r="B54" s="1" t="n">
        <v>327992</v>
      </c>
      <c r="C54" s="1" t="n">
        <v>3159</v>
      </c>
      <c r="D54" s="1" t="n">
        <v>1798</v>
      </c>
      <c r="E54" s="1" t="n">
        <v>745</v>
      </c>
      <c r="F54" s="1" t="n">
        <v>3562</v>
      </c>
      <c r="G54" s="1" t="n">
        <v>1762</v>
      </c>
      <c r="H54" s="1" t="n">
        <v>704</v>
      </c>
      <c r="I54" s="1" t="n">
        <v>4361</v>
      </c>
      <c r="J54" s="1" t="n">
        <v>2009</v>
      </c>
      <c r="K54" s="1" t="n">
        <v>571</v>
      </c>
      <c r="L54" s="7" t="n">
        <f aca="false">(J54/G54*F54/I54)</f>
        <v>0.931283398589448</v>
      </c>
      <c r="M54" s="7" t="n">
        <f aca="false">(D54/G54*F54/C54)</f>
        <v>1.1506098102138</v>
      </c>
      <c r="N54" s="7" t="n">
        <f aca="false">(K54/H54*F54/I54)</f>
        <v>0.662477720914719</v>
      </c>
      <c r="O54" s="7" t="n">
        <f aca="false">(E54/H54*F54/C54)</f>
        <v>1.19324027310138</v>
      </c>
      <c r="P54" s="7" t="n">
        <f aca="false">(IF(L54&gt;1,L54,1/L54) - 1)*100</f>
        <v>7.3786992782898</v>
      </c>
      <c r="Q54" s="7" t="n">
        <f aca="false">(IF(M54&gt;1,M54,1/M54) - 1)*100</f>
        <v>15.0609810213796</v>
      </c>
      <c r="R54" s="7" t="n">
        <f aca="false">(IF(N54&gt;1,N54,1/N54) - 1)*100</f>
        <v>50.9484724436084</v>
      </c>
      <c r="S54" s="7" t="n">
        <f aca="false">(IF(O54&gt;1,O54,1/O54) - 1)*100</f>
        <v>19.3240273101384</v>
      </c>
      <c r="T54" s="9" t="n">
        <f aca="false">(P54+Q54) &lt; (R54+S54)</f>
        <v>1</v>
      </c>
      <c r="U54" s="10" t="n">
        <f aca="false">IF($T54,P54,R54)</f>
        <v>7.3786992782898</v>
      </c>
      <c r="V54" s="11" t="n">
        <f aca="false">IF($T54,Q54,S54)</f>
        <v>15.0609810213796</v>
      </c>
      <c r="W54" s="12" t="n">
        <f aca="false">P54 &lt; R54</f>
        <v>1</v>
      </c>
      <c r="X54" s="10" t="n">
        <f aca="false">IF($W54,P54,R54)</f>
        <v>7.3786992782898</v>
      </c>
      <c r="Y54" s="1" t="n">
        <v>327992</v>
      </c>
      <c r="Z54" s="1" t="s">
        <v>86</v>
      </c>
      <c r="AA54" s="12" t="n">
        <f aca="false">T54=W54</f>
        <v>1</v>
      </c>
    </row>
    <row r="55" customFormat="false" ht="12.8" hidden="false" customHeight="false" outlineLevel="0" collapsed="false">
      <c r="A55" s="1" t="s">
        <v>87</v>
      </c>
      <c r="B55" s="1" t="n">
        <v>327993</v>
      </c>
      <c r="C55" s="1" t="n">
        <v>5997</v>
      </c>
      <c r="D55" s="1" t="n">
        <v>2872</v>
      </c>
      <c r="E55" s="1" t="n">
        <v>1536</v>
      </c>
      <c r="F55" s="1" t="n">
        <v>4911</v>
      </c>
      <c r="G55" s="1" t="n">
        <v>2362</v>
      </c>
      <c r="H55" s="1" t="n">
        <v>1212</v>
      </c>
      <c r="I55" s="1" t="n">
        <v>6293</v>
      </c>
      <c r="J55" s="1" t="n">
        <v>3202</v>
      </c>
      <c r="K55" s="1" t="n">
        <v>1435</v>
      </c>
      <c r="L55" s="7" t="n">
        <f aca="false">(J55/G55*F55/I55)</f>
        <v>1.05792197101385</v>
      </c>
      <c r="M55" s="7" t="n">
        <f aca="false">(D55/G55*F55/C55)</f>
        <v>0.995727330218878</v>
      </c>
      <c r="N55" s="7" t="n">
        <f aca="false">(K55/H55*F55/I55)</f>
        <v>0.923977686978932</v>
      </c>
      <c r="O55" s="7" t="n">
        <f aca="false">(E55/H55*F55/C55)</f>
        <v>1.03782584361488</v>
      </c>
      <c r="P55" s="7" t="n">
        <f aca="false">(IF(L55&gt;1,L55,1/L55) - 1)*100</f>
        <v>5.7921971013853</v>
      </c>
      <c r="Q55" s="7" t="n">
        <f aca="false">(IF(M55&gt;1,M55,1/M55) - 1)*100</f>
        <v>0.429100382348979</v>
      </c>
      <c r="R55" s="7" t="n">
        <f aca="false">(IF(N55&gt;1,N55,1/N55) - 1)*100</f>
        <v>8.22772173964868</v>
      </c>
      <c r="S55" s="7" t="n">
        <f aca="false">(IF(O55&gt;1,O55,1/O55) - 1)*100</f>
        <v>3.78258436148766</v>
      </c>
      <c r="T55" s="9" t="n">
        <f aca="false">(P55+Q55) &lt; (R55+S55)</f>
        <v>1</v>
      </c>
      <c r="U55" s="10" t="n">
        <f aca="false">IF($T55,P55,R55)</f>
        <v>5.7921971013853</v>
      </c>
      <c r="V55" s="11" t="n">
        <f aca="false">IF($T55,Q55,S55)</f>
        <v>0.429100382348979</v>
      </c>
      <c r="W55" s="12" t="n">
        <f aca="false">P55 &lt; R55</f>
        <v>1</v>
      </c>
      <c r="X55" s="10" t="n">
        <f aca="false">IF($W55,P55,R55)</f>
        <v>5.7921971013853</v>
      </c>
      <c r="Y55" s="1" t="n">
        <v>327993</v>
      </c>
      <c r="Z55" s="1" t="s">
        <v>87</v>
      </c>
      <c r="AA55" s="12" t="n">
        <f aca="false">T55=W55</f>
        <v>1</v>
      </c>
    </row>
    <row r="56" customFormat="false" ht="12.8" hidden="false" customHeight="false" outlineLevel="0" collapsed="false">
      <c r="A56" s="1" t="s">
        <v>88</v>
      </c>
      <c r="B56" s="1" t="n">
        <v>327999</v>
      </c>
      <c r="C56" s="1" t="n">
        <v>3269</v>
      </c>
      <c r="D56" s="1" t="n">
        <v>1600</v>
      </c>
      <c r="E56" s="1" t="n">
        <v>642</v>
      </c>
      <c r="F56" s="1" t="n">
        <v>4106</v>
      </c>
      <c r="G56" s="1" t="n">
        <v>2042</v>
      </c>
      <c r="H56" s="1" t="n">
        <v>766</v>
      </c>
      <c r="I56" s="1" t="n">
        <v>5067</v>
      </c>
      <c r="J56" s="1" t="n">
        <v>2376</v>
      </c>
      <c r="K56" s="1" t="n">
        <v>864</v>
      </c>
      <c r="L56" s="7" t="n">
        <f aca="false">(J56/G56*F56/I56)</f>
        <v>0.942885027217074</v>
      </c>
      <c r="M56" s="7" t="n">
        <f aca="false">(D56/G56*F56/C56)</f>
        <v>0.984165800538043</v>
      </c>
      <c r="N56" s="7" t="n">
        <f aca="false">(K56/H56*F56/I56)</f>
        <v>0.914014348719328</v>
      </c>
      <c r="O56" s="7" t="n">
        <f aca="false">(E56/H56*F56/C56)</f>
        <v>1.05271371943257</v>
      </c>
      <c r="P56" s="7" t="n">
        <f aca="false">(IF(L56&gt;1,L56,1/L56) - 1)*100</f>
        <v>6.05746948294441</v>
      </c>
      <c r="Q56" s="7" t="n">
        <f aca="false">(IF(M56&gt;1,M56,1/M56) - 1)*100</f>
        <v>1.60889551875305</v>
      </c>
      <c r="R56" s="7" t="n">
        <f aca="false">(IF(N56&gt;1,N56,1/N56) - 1)*100</f>
        <v>9.40747280402663</v>
      </c>
      <c r="S56" s="7" t="n">
        <f aca="false">(IF(O56&gt;1,O56,1/O56) - 1)*100</f>
        <v>5.2713719432568</v>
      </c>
      <c r="T56" s="9" t="n">
        <f aca="false">(P56+Q56) &lt; (R56+S56)</f>
        <v>1</v>
      </c>
      <c r="U56" s="10" t="n">
        <f aca="false">IF($T56,P56,R56)</f>
        <v>6.05746948294441</v>
      </c>
      <c r="V56" s="11" t="n">
        <f aca="false">IF($T56,Q56,S56)</f>
        <v>1.60889551875305</v>
      </c>
      <c r="W56" s="12" t="n">
        <f aca="false">P56 &lt; R56</f>
        <v>1</v>
      </c>
      <c r="X56" s="10" t="n">
        <f aca="false">IF($W56,P56,R56)</f>
        <v>6.05746948294441</v>
      </c>
      <c r="Y56" s="1" t="n">
        <v>327999</v>
      </c>
      <c r="Z56" s="1" t="s">
        <v>88</v>
      </c>
      <c r="AA56" s="12" t="n">
        <f aca="false">T56=W56</f>
        <v>1</v>
      </c>
    </row>
    <row r="57" customFormat="false" ht="12.8" hidden="false" customHeight="false" outlineLevel="0" collapsed="false">
      <c r="A57" s="1" t="s">
        <v>89</v>
      </c>
      <c r="B57" s="1" t="n">
        <v>331110</v>
      </c>
      <c r="C57" s="1" t="n">
        <v>101958</v>
      </c>
      <c r="D57" s="1" t="n">
        <v>22926</v>
      </c>
      <c r="E57" s="1" t="n">
        <v>9270</v>
      </c>
      <c r="F57" s="1" t="n">
        <v>112936</v>
      </c>
      <c r="G57" s="1" t="n">
        <v>22460</v>
      </c>
      <c r="H57" s="1" t="n">
        <v>7853</v>
      </c>
      <c r="I57" s="1" t="n">
        <v>88108</v>
      </c>
      <c r="J57" s="1" t="n">
        <v>21164</v>
      </c>
      <c r="K57" s="1" t="n">
        <v>9112</v>
      </c>
      <c r="L57" s="7" t="n">
        <f aca="false">(J57/G57*F57/I57)</f>
        <v>1.20782790617893</v>
      </c>
      <c r="M57" s="7" t="n">
        <f aca="false">(D57/G57*F57/C57)</f>
        <v>1.13065375670114</v>
      </c>
      <c r="N57" s="7" t="n">
        <f aca="false">(K57/H57*F57/I57)</f>
        <v>1.48728833663276</v>
      </c>
      <c r="O57" s="7" t="n">
        <f aca="false">(E57/H57*F57/C57)</f>
        <v>1.30754074368148</v>
      </c>
      <c r="P57" s="7" t="n">
        <f aca="false">(IF(L57&gt;1,L57,1/L57) - 1)*100</f>
        <v>20.7827906178934</v>
      </c>
      <c r="Q57" s="7" t="n">
        <f aca="false">(IF(M57&gt;1,M57,1/M57) - 1)*100</f>
        <v>13.0653756701138</v>
      </c>
      <c r="R57" s="7" t="n">
        <f aca="false">(IF(N57&gt;1,N57,1/N57) - 1)*100</f>
        <v>48.728833663276</v>
      </c>
      <c r="S57" s="7" t="n">
        <f aca="false">(IF(O57&gt;1,O57,1/O57) - 1)*100</f>
        <v>30.7540743681477</v>
      </c>
      <c r="T57" s="9" t="n">
        <f aca="false">(P57+Q57) &lt; (R57+S57)</f>
        <v>1</v>
      </c>
      <c r="U57" s="10" t="n">
        <f aca="false">IF($T57,P57,R57)</f>
        <v>20.7827906178934</v>
      </c>
      <c r="V57" s="11" t="n">
        <f aca="false">IF($T57,Q57,S57)</f>
        <v>13.0653756701138</v>
      </c>
      <c r="W57" s="12" t="n">
        <f aca="false">P57 &lt; R57</f>
        <v>1</v>
      </c>
      <c r="X57" s="10" t="n">
        <f aca="false">IF($W57,P57,R57)</f>
        <v>20.7827906178934</v>
      </c>
      <c r="Y57" s="1" t="n">
        <v>331110</v>
      </c>
      <c r="Z57" s="1" t="s">
        <v>89</v>
      </c>
      <c r="AA57" s="12" t="n">
        <f aca="false">T57=W57</f>
        <v>1</v>
      </c>
    </row>
    <row r="58" customFormat="false" ht="12.8" hidden="false" customHeight="false" outlineLevel="0" collapsed="false">
      <c r="A58" s="1" t="s">
        <v>90</v>
      </c>
      <c r="B58" s="1" t="n">
        <v>331200</v>
      </c>
      <c r="C58" s="1" t="n">
        <v>22355</v>
      </c>
      <c r="D58" s="1" t="n">
        <v>6421</v>
      </c>
      <c r="E58" s="1" t="n">
        <v>4223</v>
      </c>
      <c r="F58" s="1" t="n">
        <v>25878</v>
      </c>
      <c r="G58" s="1" t="n">
        <v>7273</v>
      </c>
      <c r="H58" s="1" t="n">
        <v>4321</v>
      </c>
      <c r="I58" s="1" t="n">
        <v>22941</v>
      </c>
      <c r="J58" s="1" t="n">
        <v>6776</v>
      </c>
      <c r="K58" s="1" t="n">
        <v>4560</v>
      </c>
      <c r="L58" s="7" t="n">
        <f aca="false">(J58/G58*F58/I58)</f>
        <v>1.05094060803503</v>
      </c>
      <c r="M58" s="7" t="n">
        <f aca="false">(D58/G58*F58/C58)</f>
        <v>1.02198640040374</v>
      </c>
      <c r="N58" s="7" t="n">
        <f aca="false">(K58/H58*F58/I58)</f>
        <v>1.1904165057763</v>
      </c>
      <c r="O58" s="7" t="n">
        <f aca="false">(E58/H58*F58/C58)</f>
        <v>1.13133923672063</v>
      </c>
      <c r="P58" s="7" t="n">
        <f aca="false">(IF(L58&gt;1,L58,1/L58) - 1)*100</f>
        <v>5.09406080350319</v>
      </c>
      <c r="Q58" s="7" t="n">
        <f aca="false">(IF(M58&gt;1,M58,1/M58) - 1)*100</f>
        <v>2.19864004037447</v>
      </c>
      <c r="R58" s="7" t="n">
        <f aca="false">(IF(N58&gt;1,N58,1/N58) - 1)*100</f>
        <v>19.0416505776301</v>
      </c>
      <c r="S58" s="7" t="n">
        <f aca="false">(IF(O58&gt;1,O58,1/O58) - 1)*100</f>
        <v>13.1339236720627</v>
      </c>
      <c r="T58" s="9" t="n">
        <f aca="false">(P58+Q58) &lt; (R58+S58)</f>
        <v>1</v>
      </c>
      <c r="U58" s="10" t="n">
        <f aca="false">IF($T58,P58,R58)</f>
        <v>5.09406080350319</v>
      </c>
      <c r="V58" s="11" t="n">
        <f aca="false">IF($T58,Q58,S58)</f>
        <v>2.19864004037447</v>
      </c>
      <c r="W58" s="12" t="n">
        <f aca="false">P58 &lt; R58</f>
        <v>1</v>
      </c>
      <c r="X58" s="10" t="n">
        <f aca="false">IF($W58,P58,R58)</f>
        <v>5.09406080350319</v>
      </c>
      <c r="Y58" s="1" t="n">
        <v>331200</v>
      </c>
      <c r="Z58" s="1" t="s">
        <v>90</v>
      </c>
      <c r="AA58" s="12" t="n">
        <f aca="false">T58=W58</f>
        <v>1</v>
      </c>
    </row>
    <row r="59" customFormat="false" ht="12.8" hidden="false" customHeight="false" outlineLevel="0" collapsed="false">
      <c r="A59" s="1" t="s">
        <v>91</v>
      </c>
      <c r="B59" s="1" t="n">
        <v>331314</v>
      </c>
      <c r="C59" s="1" t="n">
        <v>7764</v>
      </c>
      <c r="D59" s="1" t="n">
        <v>562</v>
      </c>
      <c r="E59" s="1" t="n">
        <v>236</v>
      </c>
      <c r="F59" s="1" t="n">
        <v>5777</v>
      </c>
      <c r="G59" s="1" t="n">
        <v>740</v>
      </c>
      <c r="H59" s="1" t="n">
        <v>325</v>
      </c>
      <c r="I59" s="1" t="n">
        <v>5889</v>
      </c>
      <c r="J59" s="1" t="n">
        <v>791</v>
      </c>
      <c r="K59" s="1" t="n">
        <v>378</v>
      </c>
      <c r="L59" s="7" t="n">
        <f aca="false">(J59/G59*F59/I59)</f>
        <v>1.04858967474862</v>
      </c>
      <c r="M59" s="7" t="n">
        <f aca="false">(D59/G59*F59/C59)</f>
        <v>0.565094963588008</v>
      </c>
      <c r="N59" s="7" t="n">
        <f aca="false">(K59/H59*F59/I59)</f>
        <v>1.14095693404914</v>
      </c>
      <c r="O59" s="7" t="n">
        <f aca="false">(E59/H59*F59/C59)</f>
        <v>0.54031308207506</v>
      </c>
      <c r="P59" s="7" t="n">
        <f aca="false">(IF(L59&gt;1,L59,1/L59) - 1)*100</f>
        <v>4.85896747486152</v>
      </c>
      <c r="Q59" s="7" t="n">
        <f aca="false">(IF(M59&gt;1,M59,1/M59) - 1)*100</f>
        <v>76.9614072740288</v>
      </c>
      <c r="R59" s="7" t="n">
        <f aca="false">(IF(N59&gt;1,N59,1/N59) - 1)*100</f>
        <v>14.095693404914</v>
      </c>
      <c r="S59" s="7" t="n">
        <f aca="false">(IF(O59&gt;1,O59,1/O59) - 1)*100</f>
        <v>85.0778804317531</v>
      </c>
      <c r="T59" s="9" t="n">
        <f aca="false">(P59+Q59) &lt; (R59+S59)</f>
        <v>1</v>
      </c>
      <c r="U59" s="10" t="n">
        <f aca="false">IF($T59,P59,R59)</f>
        <v>4.85896747486152</v>
      </c>
      <c r="V59" s="11" t="n">
        <f aca="false">IF($T59,Q59,S59)</f>
        <v>76.9614072740288</v>
      </c>
      <c r="W59" s="12" t="n">
        <f aca="false">P59 &lt; R59</f>
        <v>1</v>
      </c>
      <c r="X59" s="10" t="n">
        <f aca="false">IF($W59,P59,R59)</f>
        <v>4.85896747486152</v>
      </c>
      <c r="Y59" s="1" t="n">
        <v>331314</v>
      </c>
      <c r="Z59" s="1" t="s">
        <v>91</v>
      </c>
      <c r="AA59" s="12" t="n">
        <f aca="false">T59=W59</f>
        <v>1</v>
      </c>
    </row>
    <row r="60" customFormat="false" ht="12.8" hidden="false" customHeight="false" outlineLevel="0" collapsed="false">
      <c r="A60" s="1" t="s">
        <v>92</v>
      </c>
      <c r="B60" s="1" t="n">
        <v>331313</v>
      </c>
      <c r="C60" s="1" t="n">
        <v>7842</v>
      </c>
      <c r="D60" s="1" t="n">
        <v>1638</v>
      </c>
      <c r="E60" s="1" t="n">
        <v>1100</v>
      </c>
      <c r="F60" s="1" t="n">
        <v>6510</v>
      </c>
      <c r="G60" s="1" t="n">
        <v>1483</v>
      </c>
      <c r="H60" s="1" t="n">
        <v>994</v>
      </c>
      <c r="I60" s="1" t="n">
        <v>2796</v>
      </c>
      <c r="J60" s="1" t="n">
        <v>676</v>
      </c>
      <c r="K60" s="1" t="n">
        <v>489</v>
      </c>
      <c r="L60" s="7" t="n">
        <f aca="false">(J60/G60*F60/I60)</f>
        <v>1.06132737549162</v>
      </c>
      <c r="M60" s="7" t="n">
        <f aca="false">(D60/G60*F60/C60)</f>
        <v>0.916910396376996</v>
      </c>
      <c r="N60" s="7" t="n">
        <f aca="false">(K60/H60*F60/I60)</f>
        <v>1.14542404642447</v>
      </c>
      <c r="O60" s="7" t="n">
        <f aca="false">(E60/H60*F60/C60)</f>
        <v>0.918671939825641</v>
      </c>
      <c r="P60" s="7" t="n">
        <f aca="false">(IF(L60&gt;1,L60,1/L60) - 1)*100</f>
        <v>6.13273754916233</v>
      </c>
      <c r="Q60" s="7" t="n">
        <f aca="false">(IF(M60&gt;1,M60,1/M60) - 1)*100</f>
        <v>9.06191095131188</v>
      </c>
      <c r="R60" s="7" t="n">
        <f aca="false">(IF(N60&gt;1,N60,1/N60) - 1)*100</f>
        <v>14.542404642447</v>
      </c>
      <c r="S60" s="7" t="n">
        <f aca="false">(IF(O60&gt;1,O60,1/O60) - 1)*100</f>
        <v>8.85278592375367</v>
      </c>
      <c r="T60" s="9" t="n">
        <f aca="false">(P60+Q60) &lt; (R60+S60)</f>
        <v>1</v>
      </c>
      <c r="U60" s="10" t="n">
        <f aca="false">IF($T60,P60,R60)</f>
        <v>6.13273754916233</v>
      </c>
      <c r="V60" s="11" t="n">
        <f aca="false">IF($T60,Q60,S60)</f>
        <v>9.06191095131188</v>
      </c>
      <c r="W60" s="12" t="n">
        <f aca="false">P60 &lt; R60</f>
        <v>1</v>
      </c>
      <c r="X60" s="10" t="n">
        <f aca="false">IF($W60,P60,R60)</f>
        <v>6.13273754916233</v>
      </c>
      <c r="Y60" s="1" t="n">
        <v>331313</v>
      </c>
      <c r="Z60" s="1" t="s">
        <v>92</v>
      </c>
      <c r="AA60" s="12" t="n">
        <f aca="false">T60=W60</f>
        <v>1</v>
      </c>
    </row>
    <row r="61" customFormat="false" ht="12.8" hidden="false" customHeight="false" outlineLevel="0" collapsed="false">
      <c r="A61" s="1" t="s">
        <v>93</v>
      </c>
      <c r="B61" s="1" t="s">
        <v>94</v>
      </c>
      <c r="C61" s="1" t="n">
        <v>25895</v>
      </c>
      <c r="D61" s="1" t="n">
        <v>4710</v>
      </c>
      <c r="E61" s="1" t="n">
        <v>2801</v>
      </c>
      <c r="F61" s="1" t="n">
        <v>25349</v>
      </c>
      <c r="G61" s="1" t="n">
        <v>5786</v>
      </c>
      <c r="H61" s="1" t="n">
        <v>3384</v>
      </c>
      <c r="I61" s="1" t="n">
        <v>26934</v>
      </c>
      <c r="J61" s="1" t="n">
        <v>6513</v>
      </c>
      <c r="K61" s="1" t="n">
        <v>3665</v>
      </c>
      <c r="L61" s="7" t="n">
        <f aca="false">(J61/G61*F61/I61)</f>
        <v>1.05940647865501</v>
      </c>
      <c r="M61" s="7" t="n">
        <f aca="false">(D61/G61*F61/C61)</f>
        <v>0.796869847232639</v>
      </c>
      <c r="N61" s="7" t="n">
        <f aca="false">(K61/H61*F61/I61)</f>
        <v>1.01930369894643</v>
      </c>
      <c r="O61" s="7" t="n">
        <f aca="false">(E61/H61*F61/C61)</f>
        <v>0.810266102376528</v>
      </c>
      <c r="P61" s="7" t="n">
        <f aca="false">(IF(L61&gt;1,L61,1/L61) - 1)*100</f>
        <v>5.94064786550093</v>
      </c>
      <c r="Q61" s="7" t="n">
        <f aca="false">(IF(M61&gt;1,M61,1/M61) - 1)*100</f>
        <v>25.4910075306262</v>
      </c>
      <c r="R61" s="7" t="n">
        <f aca="false">(IF(N61&gt;1,N61,1/N61) - 1)*100</f>
        <v>1.93036989464308</v>
      </c>
      <c r="S61" s="7" t="n">
        <f aca="false">(IF(O61&gt;1,O61,1/O61) - 1)*100</f>
        <v>23.4162452393082</v>
      </c>
      <c r="T61" s="9" t="n">
        <f aca="false">(P61+Q61) &lt; (R61+S61)</f>
        <v>0</v>
      </c>
      <c r="U61" s="10" t="n">
        <f aca="false">IF($T61,P61,R61)</f>
        <v>1.93036989464308</v>
      </c>
      <c r="V61" s="11" t="n">
        <f aca="false">IF($T61,Q61,S61)</f>
        <v>23.4162452393082</v>
      </c>
      <c r="W61" s="12" t="n">
        <f aca="false">P61 &lt; R61</f>
        <v>0</v>
      </c>
      <c r="X61" s="10" t="n">
        <f aca="false">IF($W61,P61,R61)</f>
        <v>1.93036989464308</v>
      </c>
      <c r="Y61" s="1" t="s">
        <v>94</v>
      </c>
      <c r="Z61" s="1" t="s">
        <v>93</v>
      </c>
      <c r="AA61" s="12" t="n">
        <f aca="false">T61=W61</f>
        <v>1</v>
      </c>
    </row>
    <row r="62" customFormat="false" ht="12.8" hidden="false" customHeight="false" outlineLevel="0" collapsed="false">
      <c r="A62" s="1" t="s">
        <v>95</v>
      </c>
      <c r="B62" s="1" t="n">
        <v>331410</v>
      </c>
      <c r="C62" s="1" t="n">
        <v>13559</v>
      </c>
      <c r="D62" s="1" t="n">
        <v>5010</v>
      </c>
      <c r="E62" s="1" t="n">
        <v>1059</v>
      </c>
      <c r="F62" s="1" t="n">
        <v>14837</v>
      </c>
      <c r="G62" s="1" t="n">
        <v>5702</v>
      </c>
      <c r="H62" s="1" t="n">
        <v>1173</v>
      </c>
      <c r="I62" s="1" t="n">
        <v>10252</v>
      </c>
      <c r="J62" s="1" t="n">
        <v>3064</v>
      </c>
      <c r="K62" s="1" t="n">
        <v>798</v>
      </c>
      <c r="L62" s="7" t="n">
        <f aca="false">(J62/G62*F62/I62)</f>
        <v>0.777676628238813</v>
      </c>
      <c r="M62" s="7" t="n">
        <f aca="false">(D62/G62*F62/C62)</f>
        <v>0.961454970209699</v>
      </c>
      <c r="N62" s="7" t="n">
        <f aca="false">(K62/H62*F62/I62)</f>
        <v>0.98456043259727</v>
      </c>
      <c r="O62" s="7" t="n">
        <f aca="false">(E62/H62*F62/C62)</f>
        <v>0.987907730711418</v>
      </c>
      <c r="P62" s="7" t="n">
        <f aca="false">(IF(L62&gt;1,L62,1/L62) - 1)*100</f>
        <v>28.5881513842942</v>
      </c>
      <c r="Q62" s="7" t="n">
        <f aca="false">(IF(M62&gt;1,M62,1/M62) - 1)*100</f>
        <v>4.00903120630747</v>
      </c>
      <c r="R62" s="7" t="n">
        <f aca="false">(IF(N62&gt;1,N62,1/N62) - 1)*100</f>
        <v>1.56816858483744</v>
      </c>
      <c r="S62" s="7" t="n">
        <f aca="false">(IF(O62&gt;1,O62,1/O62) - 1)*100</f>
        <v>1.22402820756087</v>
      </c>
      <c r="T62" s="9" t="n">
        <f aca="false">(P62+Q62) &lt; (R62+S62)</f>
        <v>0</v>
      </c>
      <c r="U62" s="10" t="n">
        <f aca="false">IF($T62,P62,R62)</f>
        <v>1.56816858483744</v>
      </c>
      <c r="V62" s="11" t="n">
        <f aca="false">IF($T62,Q62,S62)</f>
        <v>1.22402820756087</v>
      </c>
      <c r="W62" s="12" t="n">
        <f aca="false">P62 &lt; R62</f>
        <v>0</v>
      </c>
      <c r="X62" s="10" t="n">
        <f aca="false">IF($W62,P62,R62)</f>
        <v>1.56816858483744</v>
      </c>
      <c r="Y62" s="1" t="n">
        <v>331410</v>
      </c>
      <c r="Z62" s="1" t="s">
        <v>95</v>
      </c>
      <c r="AA62" s="12" t="n">
        <f aca="false">T62=W62</f>
        <v>1</v>
      </c>
    </row>
    <row r="63" customFormat="false" ht="12.8" hidden="false" customHeight="false" outlineLevel="0" collapsed="false">
      <c r="A63" s="1" t="s">
        <v>96</v>
      </c>
      <c r="B63" s="1" t="n">
        <v>331420</v>
      </c>
      <c r="C63" s="1" t="n">
        <v>25563</v>
      </c>
      <c r="D63" s="1" t="n">
        <v>2858</v>
      </c>
      <c r="E63" s="1" t="n">
        <v>2336</v>
      </c>
      <c r="F63" s="1" t="n">
        <v>23323</v>
      </c>
      <c r="G63" s="1" t="n">
        <v>3080</v>
      </c>
      <c r="H63" s="1" t="n">
        <v>2473</v>
      </c>
      <c r="I63" s="1" t="n">
        <v>21923</v>
      </c>
      <c r="J63" s="1" t="n">
        <v>3923</v>
      </c>
      <c r="K63" s="1" t="n">
        <v>2489</v>
      </c>
      <c r="L63" s="7" t="n">
        <f aca="false">(J63/G63*F63/I63)</f>
        <v>1.35503970212153</v>
      </c>
      <c r="M63" s="7" t="n">
        <f aca="false">(D63/G63*F63/C63)</f>
        <v>0.846611376731081</v>
      </c>
      <c r="N63" s="7" t="n">
        <f aca="false">(K63/H63*F63/I63)</f>
        <v>1.07074291321319</v>
      </c>
      <c r="O63" s="7" t="n">
        <f aca="false">(E63/H63*F63/C63)</f>
        <v>0.861829417925622</v>
      </c>
      <c r="P63" s="7" t="n">
        <f aca="false">(IF(L63&gt;1,L63,1/L63) - 1)*100</f>
        <v>35.5039702121534</v>
      </c>
      <c r="Q63" s="7" t="n">
        <f aca="false">(IF(M63&gt;1,M63,1/M63) - 1)*100</f>
        <v>18.1179496856255</v>
      </c>
      <c r="R63" s="7" t="n">
        <f aca="false">(IF(N63&gt;1,N63,1/N63) - 1)*100</f>
        <v>7.07429132131927</v>
      </c>
      <c r="S63" s="7" t="n">
        <f aca="false">(IF(O63&gt;1,O63,1/O63) - 1)*100</f>
        <v>16.032242483315</v>
      </c>
      <c r="T63" s="9" t="n">
        <f aca="false">(P63+Q63) &lt; (R63+S63)</f>
        <v>0</v>
      </c>
      <c r="U63" s="10" t="n">
        <f aca="false">IF($T63,P63,R63)</f>
        <v>7.07429132131927</v>
      </c>
      <c r="V63" s="11" t="n">
        <f aca="false">IF($T63,Q63,S63)</f>
        <v>16.032242483315</v>
      </c>
      <c r="W63" s="12" t="n">
        <f aca="false">P63 &lt; R63</f>
        <v>0</v>
      </c>
      <c r="X63" s="10" t="n">
        <f aca="false">IF($W63,P63,R63)</f>
        <v>7.07429132131927</v>
      </c>
      <c r="Y63" s="1" t="n">
        <v>331420</v>
      </c>
      <c r="Z63" s="1" t="s">
        <v>96</v>
      </c>
      <c r="AA63" s="12" t="n">
        <f aca="false">T63=W63</f>
        <v>1</v>
      </c>
    </row>
    <row r="64" customFormat="false" ht="12.8" hidden="false" customHeight="false" outlineLevel="0" collapsed="false">
      <c r="A64" s="1" t="s">
        <v>97</v>
      </c>
      <c r="B64" s="1" t="n">
        <v>331490</v>
      </c>
      <c r="C64" s="1" t="n">
        <v>18188</v>
      </c>
      <c r="D64" s="1" t="n">
        <v>6011</v>
      </c>
      <c r="E64" s="1" t="n">
        <v>2344</v>
      </c>
      <c r="F64" s="1" t="n">
        <v>22789</v>
      </c>
      <c r="G64" s="1" t="n">
        <v>5544</v>
      </c>
      <c r="H64" s="1" t="n">
        <v>2129</v>
      </c>
      <c r="I64" s="1" t="n">
        <v>14050</v>
      </c>
      <c r="J64" s="1" t="n">
        <v>4516</v>
      </c>
      <c r="K64" s="1" t="n">
        <v>2057</v>
      </c>
      <c r="L64" s="7" t="n">
        <f aca="false">(J64/G64*F64/I64)</f>
        <v>1.32123374055758</v>
      </c>
      <c r="M64" s="7" t="n">
        <f aca="false">(D64/G64*F64/C64)</f>
        <v>1.35851309562685</v>
      </c>
      <c r="N64" s="7" t="n">
        <f aca="false">(K64/H64*F64/I64)</f>
        <v>1.56713920123561</v>
      </c>
      <c r="O64" s="7" t="n">
        <f aca="false">(E64/H64*F64/C64)</f>
        <v>1.37950179137308</v>
      </c>
      <c r="P64" s="7" t="n">
        <f aca="false">(IF(L64&gt;1,L64,1/L64) - 1)*100</f>
        <v>32.1233740557584</v>
      </c>
      <c r="Q64" s="7" t="n">
        <f aca="false">(IF(M64&gt;1,M64,1/M64) - 1)*100</f>
        <v>35.8513095626852</v>
      </c>
      <c r="R64" s="7" t="n">
        <f aca="false">(IF(N64&gt;1,N64,1/N64) - 1)*100</f>
        <v>56.7139201235606</v>
      </c>
      <c r="S64" s="7" t="n">
        <f aca="false">(IF(O64&gt;1,O64,1/O64) - 1)*100</f>
        <v>37.9501791373084</v>
      </c>
      <c r="T64" s="9" t="n">
        <f aca="false">(P64+Q64) &lt; (R64+S64)</f>
        <v>1</v>
      </c>
      <c r="U64" s="10" t="n">
        <f aca="false">IF($T64,P64,R64)</f>
        <v>32.1233740557584</v>
      </c>
      <c r="V64" s="11" t="n">
        <f aca="false">IF($T64,Q64,S64)</f>
        <v>35.8513095626852</v>
      </c>
      <c r="W64" s="12" t="n">
        <f aca="false">P64 &lt; R64</f>
        <v>1</v>
      </c>
      <c r="X64" s="10" t="n">
        <f aca="false">IF($W64,P64,R64)</f>
        <v>32.1233740557584</v>
      </c>
      <c r="Y64" s="1" t="n">
        <v>331490</v>
      </c>
      <c r="Z64" s="1" t="s">
        <v>97</v>
      </c>
      <c r="AA64" s="12" t="n">
        <f aca="false">T64=W64</f>
        <v>1</v>
      </c>
    </row>
    <row r="65" customFormat="false" ht="12.8" hidden="false" customHeight="false" outlineLevel="0" collapsed="false">
      <c r="A65" s="1" t="s">
        <v>98</v>
      </c>
      <c r="B65" s="1" t="n">
        <v>331510</v>
      </c>
      <c r="C65" s="1" t="n">
        <v>19284</v>
      </c>
      <c r="D65" s="1" t="n">
        <v>9214</v>
      </c>
      <c r="E65" s="1" t="n">
        <v>5654</v>
      </c>
      <c r="F65" s="1" t="n">
        <v>18883</v>
      </c>
      <c r="G65" s="1" t="n">
        <v>8572</v>
      </c>
      <c r="H65" s="1" t="n">
        <v>5184</v>
      </c>
      <c r="I65" s="1" t="n">
        <v>17089</v>
      </c>
      <c r="J65" s="1" t="n">
        <v>7030</v>
      </c>
      <c r="K65" s="1" t="n">
        <v>4608</v>
      </c>
      <c r="L65" s="7" t="n">
        <f aca="false">(J65/G65*F65/I65)</f>
        <v>0.906207194980182</v>
      </c>
      <c r="M65" s="7" t="n">
        <f aca="false">(D65/G65*F65/C65)</f>
        <v>1.05254316620889</v>
      </c>
      <c r="N65" s="7" t="n">
        <f aca="false">(K65/H65*F65/I65)</f>
        <v>0.982204276955286</v>
      </c>
      <c r="O65" s="7" t="n">
        <f aca="false">(E65/H65*F65/C65)</f>
        <v>1.06798384079042</v>
      </c>
      <c r="P65" s="7" t="n">
        <f aca="false">(IF(L65&gt;1,L65,1/L65) - 1)*100</f>
        <v>10.3500397634637</v>
      </c>
      <c r="Q65" s="7" t="n">
        <f aca="false">(IF(M65&gt;1,M65,1/M65) - 1)*100</f>
        <v>5.25431662088876</v>
      </c>
      <c r="R65" s="7" t="n">
        <f aca="false">(IF(N65&gt;1,N65,1/N65) - 1)*100</f>
        <v>1.81181485992694</v>
      </c>
      <c r="S65" s="7" t="n">
        <f aca="false">(IF(O65&gt;1,O65,1/O65) - 1)*100</f>
        <v>6.79838407904205</v>
      </c>
      <c r="T65" s="9" t="n">
        <f aca="false">(P65+Q65) &lt; (R65+S65)</f>
        <v>0</v>
      </c>
      <c r="U65" s="10" t="n">
        <f aca="false">IF($T65,P65,R65)</f>
        <v>1.81181485992694</v>
      </c>
      <c r="V65" s="11" t="n">
        <f aca="false">IF($T65,Q65,S65)</f>
        <v>6.79838407904205</v>
      </c>
      <c r="W65" s="12" t="n">
        <f aca="false">P65 &lt; R65</f>
        <v>0</v>
      </c>
      <c r="X65" s="10" t="n">
        <f aca="false">IF($W65,P65,R65)</f>
        <v>1.81181485992694</v>
      </c>
      <c r="Y65" s="1" t="n">
        <v>331510</v>
      </c>
      <c r="Z65" s="1" t="s">
        <v>98</v>
      </c>
      <c r="AA65" s="12" t="n">
        <f aca="false">T65=W65</f>
        <v>1</v>
      </c>
    </row>
    <row r="66" customFormat="false" ht="12.8" hidden="false" customHeight="false" outlineLevel="0" collapsed="false">
      <c r="A66" s="1" t="s">
        <v>99</v>
      </c>
      <c r="B66" s="1" t="n">
        <v>331520</v>
      </c>
      <c r="C66" s="1" t="n">
        <v>13881</v>
      </c>
      <c r="D66" s="1" t="n">
        <v>5082</v>
      </c>
      <c r="E66" s="1" t="n">
        <v>3475</v>
      </c>
      <c r="F66" s="1" t="n">
        <v>12828</v>
      </c>
      <c r="G66" s="1" t="n">
        <v>5010</v>
      </c>
      <c r="H66" s="1" t="n">
        <v>3384</v>
      </c>
      <c r="I66" s="1" t="n">
        <v>12768</v>
      </c>
      <c r="J66" s="1" t="n">
        <v>5186</v>
      </c>
      <c r="K66" s="1" t="n">
        <v>3607</v>
      </c>
      <c r="L66" s="7" t="n">
        <f aca="false">(J66/G66*F66/I66)</f>
        <v>1.03999407200636</v>
      </c>
      <c r="M66" s="7" t="n">
        <f aca="false">(D66/G66*F66/C66)</f>
        <v>0.937421979037387</v>
      </c>
      <c r="N66" s="7" t="n">
        <f aca="false">(K66/H66*F66/I66)</f>
        <v>1.07090726594856</v>
      </c>
      <c r="O66" s="7" t="n">
        <f aca="false">(E66/H66*F66/C66)</f>
        <v>0.948992219069793</v>
      </c>
      <c r="P66" s="7" t="n">
        <f aca="false">(IF(L66&gt;1,L66,1/L66) - 1)*100</f>
        <v>3.99940720063632</v>
      </c>
      <c r="Q66" s="7" t="n">
        <f aca="false">(IF(M66&gt;1,M66,1/M66) - 1)*100</f>
        <v>6.67554445724359</v>
      </c>
      <c r="R66" s="7" t="n">
        <f aca="false">(IF(N66&gt;1,N66,1/N66) - 1)*100</f>
        <v>7.09072659485595</v>
      </c>
      <c r="S66" s="7" t="n">
        <f aca="false">(IF(O66&gt;1,O66,1/O66) - 1)*100</f>
        <v>5.37494195476174</v>
      </c>
      <c r="T66" s="9" t="n">
        <f aca="false">(P66+Q66) &lt; (R66+S66)</f>
        <v>1</v>
      </c>
      <c r="U66" s="10" t="n">
        <f aca="false">IF($T66,P66,R66)</f>
        <v>3.99940720063632</v>
      </c>
      <c r="V66" s="11" t="n">
        <f aca="false">IF($T66,Q66,S66)</f>
        <v>6.67554445724359</v>
      </c>
      <c r="W66" s="12" t="n">
        <f aca="false">P66 &lt; R66</f>
        <v>1</v>
      </c>
      <c r="X66" s="10" t="n">
        <f aca="false">IF($W66,P66,R66)</f>
        <v>3.99940720063632</v>
      </c>
      <c r="Y66" s="1" t="n">
        <v>331520</v>
      </c>
      <c r="Z66" s="1" t="s">
        <v>99</v>
      </c>
      <c r="AA66" s="12" t="n">
        <f aca="false">T66=W66</f>
        <v>1</v>
      </c>
    </row>
    <row r="67" customFormat="false" ht="12.8" hidden="false" customHeight="false" outlineLevel="0" collapsed="false">
      <c r="A67" s="1" t="s">
        <v>100</v>
      </c>
      <c r="B67" s="1" t="n">
        <v>332114</v>
      </c>
      <c r="C67" s="1" t="n">
        <v>8051</v>
      </c>
      <c r="D67" s="1" t="n">
        <v>1818</v>
      </c>
      <c r="E67" s="1" t="n">
        <v>371</v>
      </c>
      <c r="F67" s="1" t="n">
        <v>8342</v>
      </c>
      <c r="G67" s="1" t="n">
        <v>1967</v>
      </c>
      <c r="H67" s="1" t="n">
        <v>398</v>
      </c>
      <c r="I67" s="1" t="n">
        <v>6790</v>
      </c>
      <c r="J67" s="1" t="n">
        <v>1876</v>
      </c>
      <c r="K67" s="1" t="n">
        <v>675</v>
      </c>
      <c r="L67" s="7" t="n">
        <f aca="false">(J67/G67*F67/I67)</f>
        <v>1.17173360447382</v>
      </c>
      <c r="M67" s="7" t="n">
        <f aca="false">(D67/G67*F67/C67)</f>
        <v>0.957656758196997</v>
      </c>
      <c r="N67" s="7" t="n">
        <f aca="false">(K67/H67*F67/I67)</f>
        <v>2.08363244795406</v>
      </c>
      <c r="O67" s="7" t="n">
        <f aca="false">(E67/H67*F67/C67)</f>
        <v>0.96585336320155</v>
      </c>
      <c r="P67" s="7" t="n">
        <f aca="false">(IF(L67&gt;1,L67,1/L67) - 1)*100</f>
        <v>17.1733604473818</v>
      </c>
      <c r="Q67" s="7" t="n">
        <f aca="false">(IF(M67&gt;1,M67,1/M67) - 1)*100</f>
        <v>4.42154680584339</v>
      </c>
      <c r="R67" s="7" t="n">
        <f aca="false">(IF(N67&gt;1,N67,1/N67) - 1)*100</f>
        <v>108.363244795406</v>
      </c>
      <c r="S67" s="7" t="n">
        <f aca="false">(IF(O67&gt;1,O67,1/O67) - 1)*100</f>
        <v>3.5353851940074</v>
      </c>
      <c r="T67" s="9" t="n">
        <f aca="false">(P67+Q67) &lt; (R67+S67)</f>
        <v>1</v>
      </c>
      <c r="U67" s="10" t="n">
        <f aca="false">IF($T67,P67,R67)</f>
        <v>17.1733604473818</v>
      </c>
      <c r="V67" s="11" t="n">
        <f aca="false">IF($T67,Q67,S67)</f>
        <v>4.42154680584339</v>
      </c>
      <c r="W67" s="12" t="n">
        <f aca="false">P67 &lt; R67</f>
        <v>1</v>
      </c>
      <c r="X67" s="10" t="n">
        <f aca="false">IF($W67,P67,R67)</f>
        <v>17.1733604473818</v>
      </c>
      <c r="Y67" s="1" t="n">
        <v>332114</v>
      </c>
      <c r="Z67" s="1" t="s">
        <v>100</v>
      </c>
      <c r="AA67" s="12" t="n">
        <f aca="false">T67=W67</f>
        <v>1</v>
      </c>
    </row>
    <row r="68" customFormat="false" ht="12.8" hidden="false" customHeight="false" outlineLevel="0" collapsed="false">
      <c r="A68" s="1" t="s">
        <v>101</v>
      </c>
      <c r="B68" s="1" t="s">
        <v>102</v>
      </c>
      <c r="C68" s="1" t="n">
        <v>12435</v>
      </c>
      <c r="D68" s="1" t="n">
        <v>4272</v>
      </c>
      <c r="E68" s="1" t="n">
        <v>2824</v>
      </c>
      <c r="F68" s="1" t="n">
        <v>14316</v>
      </c>
      <c r="G68" s="1" t="n">
        <v>4778</v>
      </c>
      <c r="H68" s="1" t="n">
        <v>3204</v>
      </c>
      <c r="I68" s="1" t="n">
        <v>12960</v>
      </c>
      <c r="J68" s="1" t="n">
        <v>4526</v>
      </c>
      <c r="K68" s="1" t="n">
        <v>3145</v>
      </c>
      <c r="L68" s="7" t="n">
        <f aca="false">(J68/G68*F68/I68)</f>
        <v>1.04636954870316</v>
      </c>
      <c r="M68" s="7" t="n">
        <f aca="false">(D68/G68*F68/C68)</f>
        <v>1.02934509343942</v>
      </c>
      <c r="N68" s="7" t="n">
        <f aca="false">(K68/H68*F68/I68)</f>
        <v>1.08428844731123</v>
      </c>
      <c r="O68" s="7" t="n">
        <f aca="false">(E68/H68*F68/C68)</f>
        <v>1.01472435691815</v>
      </c>
      <c r="P68" s="7" t="n">
        <f aca="false">(IF(L68&gt;1,L68,1/L68) - 1)*100</f>
        <v>4.63695487031612</v>
      </c>
      <c r="Q68" s="7" t="n">
        <f aca="false">(IF(M68&gt;1,M68,1/M68) - 1)*100</f>
        <v>2.93450934394219</v>
      </c>
      <c r="R68" s="7" t="n">
        <f aca="false">(IF(N68&gt;1,N68,1/N68) - 1)*100</f>
        <v>8.42884473112313</v>
      </c>
      <c r="S68" s="7" t="n">
        <f aca="false">(IF(O68&gt;1,O68,1/O68) - 1)*100</f>
        <v>1.47243569181468</v>
      </c>
      <c r="T68" s="9" t="n">
        <f aca="false">(P68+Q68) &lt; (R68+S68)</f>
        <v>1</v>
      </c>
      <c r="U68" s="10" t="n">
        <f aca="false">IF($T68,P68,R68)</f>
        <v>4.63695487031612</v>
      </c>
      <c r="V68" s="11" t="n">
        <f aca="false">IF($T68,Q68,S68)</f>
        <v>2.93450934394219</v>
      </c>
      <c r="W68" s="12" t="n">
        <f aca="false">P68 &lt; R68</f>
        <v>1</v>
      </c>
      <c r="X68" s="10" t="n">
        <f aca="false">IF($W68,P68,R68)</f>
        <v>4.63695487031612</v>
      </c>
      <c r="Y68" s="1" t="s">
        <v>102</v>
      </c>
      <c r="Z68" s="1" t="s">
        <v>101</v>
      </c>
      <c r="AA68" s="12" t="n">
        <f aca="false">T68=W68</f>
        <v>1</v>
      </c>
    </row>
    <row r="69" customFormat="false" ht="12.8" hidden="false" customHeight="false" outlineLevel="0" collapsed="false">
      <c r="A69" s="1" t="s">
        <v>103</v>
      </c>
      <c r="B69" s="1" t="n">
        <v>332119</v>
      </c>
      <c r="C69" s="1" t="n">
        <v>12750</v>
      </c>
      <c r="D69" s="1" t="n">
        <v>5078</v>
      </c>
      <c r="E69" s="1" t="n">
        <v>3580</v>
      </c>
      <c r="F69" s="1" t="n">
        <v>11912</v>
      </c>
      <c r="G69" s="1" t="n">
        <v>4366</v>
      </c>
      <c r="H69" s="1" t="n">
        <v>3056</v>
      </c>
      <c r="I69" s="1" t="n">
        <v>11231</v>
      </c>
      <c r="J69" s="1" t="n">
        <v>4605</v>
      </c>
      <c r="K69" s="1" t="n">
        <v>3491</v>
      </c>
      <c r="L69" s="7" t="n">
        <f aca="false">(J69/G69*F69/I69)</f>
        <v>1.11869619431166</v>
      </c>
      <c r="M69" s="7" t="n">
        <f aca="false">(D69/G69*F69/C69)</f>
        <v>1.08663443902527</v>
      </c>
      <c r="N69" s="7" t="n">
        <f aca="false">(K69/H69*F69/I69)</f>
        <v>1.21160974136191</v>
      </c>
      <c r="O69" s="7" t="n">
        <f aca="false">(E69/H69*F69/C69)</f>
        <v>1.09447079355302</v>
      </c>
      <c r="P69" s="7" t="n">
        <f aca="false">(IF(L69&gt;1,L69,1/L69) - 1)*100</f>
        <v>11.869619431166</v>
      </c>
      <c r="Q69" s="7" t="n">
        <f aca="false">(IF(M69&gt;1,M69,1/M69) - 1)*100</f>
        <v>8.66344390252665</v>
      </c>
      <c r="R69" s="7" t="n">
        <f aca="false">(IF(N69&gt;1,N69,1/N69) - 1)*100</f>
        <v>21.1609741361909</v>
      </c>
      <c r="S69" s="7" t="n">
        <f aca="false">(IF(O69&gt;1,O69,1/O69) - 1)*100</f>
        <v>9.44707935530234</v>
      </c>
      <c r="T69" s="9" t="n">
        <f aca="false">(P69+Q69) &lt; (R69+S69)</f>
        <v>1</v>
      </c>
      <c r="U69" s="10" t="n">
        <f aca="false">IF($T69,P69,R69)</f>
        <v>11.869619431166</v>
      </c>
      <c r="V69" s="11" t="n">
        <f aca="false">IF($T69,Q69,S69)</f>
        <v>8.66344390252665</v>
      </c>
      <c r="W69" s="12" t="n">
        <f aca="false">P69 &lt; R69</f>
        <v>1</v>
      </c>
      <c r="X69" s="10" t="n">
        <f aca="false">IF($W69,P69,R69)</f>
        <v>11.869619431166</v>
      </c>
      <c r="Y69" s="1" t="n">
        <v>332119</v>
      </c>
      <c r="Z69" s="1" t="s">
        <v>103</v>
      </c>
      <c r="AA69" s="12" t="n">
        <f aca="false">T69=W69</f>
        <v>1</v>
      </c>
    </row>
    <row r="70" customFormat="false" ht="12.8" hidden="false" customHeight="false" outlineLevel="0" collapsed="false">
      <c r="A70" s="1" t="s">
        <v>104</v>
      </c>
      <c r="B70" s="1" t="n">
        <v>332200</v>
      </c>
      <c r="C70" s="1" t="n">
        <v>11446</v>
      </c>
      <c r="D70" s="1" t="n">
        <v>5800</v>
      </c>
      <c r="E70" s="1" t="n">
        <v>3735</v>
      </c>
      <c r="F70" s="1" t="n">
        <v>9738</v>
      </c>
      <c r="G70" s="1" t="n">
        <v>4835</v>
      </c>
      <c r="H70" s="1" t="n">
        <v>3207</v>
      </c>
      <c r="I70" s="1" t="n">
        <v>9451</v>
      </c>
      <c r="J70" s="1" t="n">
        <v>4398</v>
      </c>
      <c r="K70" s="1" t="n">
        <v>2858</v>
      </c>
      <c r="L70" s="7" t="n">
        <f aca="false">(J70/G70*F70/I70)</f>
        <v>0.937239866827397</v>
      </c>
      <c r="M70" s="7" t="n">
        <f aca="false">(D70/G70*F70/C70)</f>
        <v>1.02058115252213</v>
      </c>
      <c r="N70" s="7" t="n">
        <f aca="false">(K70/H70*F70/I70)</f>
        <v>0.918238021347665</v>
      </c>
      <c r="O70" s="7" t="n">
        <f aca="false">(E70/H70*F70/C70)</f>
        <v>0.990849455048777</v>
      </c>
      <c r="P70" s="7" t="n">
        <f aca="false">(IF(L70&gt;1,L70,1/L70) - 1)*100</f>
        <v>6.69627225579392</v>
      </c>
      <c r="Q70" s="7" t="n">
        <f aca="false">(IF(M70&gt;1,M70,1/M70) - 1)*100</f>
        <v>2.05811525221349</v>
      </c>
      <c r="R70" s="7" t="n">
        <f aca="false">(IF(N70&gt;1,N70,1/N70) - 1)*100</f>
        <v>8.90422491244001</v>
      </c>
      <c r="S70" s="7" t="n">
        <f aca="false">(IF(O70&gt;1,O70,1/O70) - 1)*100</f>
        <v>0.923505069775943</v>
      </c>
      <c r="T70" s="9" t="n">
        <f aca="false">(P70+Q70) &lt; (R70+S70)</f>
        <v>1</v>
      </c>
      <c r="U70" s="10" t="n">
        <f aca="false">IF($T70,P70,R70)</f>
        <v>6.69627225579392</v>
      </c>
      <c r="V70" s="11" t="n">
        <f aca="false">IF($T70,Q70,S70)</f>
        <v>2.05811525221349</v>
      </c>
      <c r="W70" s="12" t="n">
        <f aca="false">P70 &lt; R70</f>
        <v>1</v>
      </c>
      <c r="X70" s="10" t="n">
        <f aca="false">IF($W70,P70,R70)</f>
        <v>6.69627225579392</v>
      </c>
      <c r="Y70" s="1" t="n">
        <v>332200</v>
      </c>
      <c r="Z70" s="1" t="s">
        <v>104</v>
      </c>
      <c r="AA70" s="12" t="n">
        <f aca="false">T70=W70</f>
        <v>1</v>
      </c>
    </row>
    <row r="71" customFormat="false" ht="12.8" hidden="false" customHeight="false" outlineLevel="0" collapsed="false">
      <c r="A71" s="1" t="s">
        <v>105</v>
      </c>
      <c r="B71" s="1" t="n">
        <v>332310</v>
      </c>
      <c r="C71" s="1" t="n">
        <v>45500</v>
      </c>
      <c r="D71" s="1" t="n">
        <v>14734</v>
      </c>
      <c r="E71" s="1" t="n">
        <v>11096</v>
      </c>
      <c r="F71" s="1" t="n">
        <v>40315</v>
      </c>
      <c r="G71" s="1" t="n">
        <v>13946</v>
      </c>
      <c r="H71" s="1" t="n">
        <v>10291</v>
      </c>
      <c r="I71" s="1" t="n">
        <v>46725</v>
      </c>
      <c r="J71" s="1" t="n">
        <v>16007</v>
      </c>
      <c r="K71" s="1" t="n">
        <v>11440</v>
      </c>
      <c r="L71" s="7" t="n">
        <f aca="false">(J71/G71*F71/I71)</f>
        <v>0.990324761786596</v>
      </c>
      <c r="M71" s="7" t="n">
        <f aca="false">(D71/G71*F71/C71)</f>
        <v>0.936108679790022</v>
      </c>
      <c r="N71" s="7" t="n">
        <f aca="false">(K71/H71*F71/I71)</f>
        <v>0.959148386032791</v>
      </c>
      <c r="O71" s="7" t="n">
        <f aca="false">(E71/H71*F71/C71)</f>
        <v>0.955353584322586</v>
      </c>
      <c r="P71" s="7" t="n">
        <f aca="false">(IF(L71&gt;1,L71,1/L71) - 1)*100</f>
        <v>0.976976299769516</v>
      </c>
      <c r="Q71" s="7" t="n">
        <f aca="false">(IF(M71&gt;1,M71,1/M71) - 1)*100</f>
        <v>6.82520326852534</v>
      </c>
      <c r="R71" s="7" t="n">
        <f aca="false">(IF(N71&gt;1,N71,1/N71) - 1)*100</f>
        <v>4.25915474207053</v>
      </c>
      <c r="S71" s="7" t="n">
        <f aca="false">(IF(O71&gt;1,O71,1/O71) - 1)*100</f>
        <v>4.67328708554238</v>
      </c>
      <c r="T71" s="9" t="n">
        <f aca="false">(P71+Q71) &lt; (R71+S71)</f>
        <v>1</v>
      </c>
      <c r="U71" s="10" t="n">
        <f aca="false">IF($T71,P71,R71)</f>
        <v>0.976976299769516</v>
      </c>
      <c r="V71" s="11" t="n">
        <f aca="false">IF($T71,Q71,S71)</f>
        <v>6.82520326852534</v>
      </c>
      <c r="W71" s="12" t="n">
        <f aca="false">P71 &lt; R71</f>
        <v>1</v>
      </c>
      <c r="X71" s="10" t="n">
        <f aca="false">IF($W71,P71,R71)</f>
        <v>0.976976299769516</v>
      </c>
      <c r="Y71" s="1" t="n">
        <v>332310</v>
      </c>
      <c r="Z71" s="1" t="s">
        <v>105</v>
      </c>
      <c r="AA71" s="12" t="n">
        <f aca="false">T71=W71</f>
        <v>1</v>
      </c>
    </row>
    <row r="72" customFormat="false" ht="12.8" hidden="false" customHeight="false" outlineLevel="0" collapsed="false">
      <c r="A72" s="1" t="s">
        <v>106</v>
      </c>
      <c r="B72" s="1" t="n">
        <v>332320</v>
      </c>
      <c r="C72" s="1" t="n">
        <v>43721</v>
      </c>
      <c r="D72" s="1" t="n">
        <v>14664</v>
      </c>
      <c r="E72" s="1" t="n">
        <v>11163</v>
      </c>
      <c r="F72" s="1" t="n">
        <v>36397</v>
      </c>
      <c r="G72" s="1" t="n">
        <v>14386</v>
      </c>
      <c r="H72" s="1" t="n">
        <v>10894</v>
      </c>
      <c r="I72" s="1" t="n">
        <v>43479</v>
      </c>
      <c r="J72" s="1" t="n">
        <v>17867</v>
      </c>
      <c r="K72" s="1" t="n">
        <v>13208</v>
      </c>
      <c r="L72" s="7" t="n">
        <f aca="false">(J72/G72*F72/I72)</f>
        <v>1.03967505296745</v>
      </c>
      <c r="M72" s="7" t="n">
        <f aca="false">(D72/G72*F72/C72)</f>
        <v>0.848570437918257</v>
      </c>
      <c r="N72" s="7" t="n">
        <f aca="false">(K72/H72*F72/I72)</f>
        <v>1.01492916147872</v>
      </c>
      <c r="O72" s="7" t="n">
        <f aca="false">(E72/H72*F72/C72)</f>
        <v>0.853039331330567</v>
      </c>
      <c r="P72" s="7" t="n">
        <f aca="false">(IF(L72&gt;1,L72,1/L72) - 1)*100</f>
        <v>3.96750529674472</v>
      </c>
      <c r="Q72" s="7" t="n">
        <f aca="false">(IF(M72&gt;1,M72,1/M72) - 1)*100</f>
        <v>17.8452554219583</v>
      </c>
      <c r="R72" s="7" t="n">
        <f aca="false">(IF(N72&gt;1,N72,1/N72) - 1)*100</f>
        <v>1.49291614787179</v>
      </c>
      <c r="S72" s="7" t="n">
        <f aca="false">(IF(O72&gt;1,O72,1/O72) - 1)*100</f>
        <v>17.2278889462464</v>
      </c>
      <c r="T72" s="9" t="n">
        <f aca="false">(P72+Q72) &lt; (R72+S72)</f>
        <v>0</v>
      </c>
      <c r="U72" s="10" t="n">
        <f aca="false">IF($T72,P72,R72)</f>
        <v>1.49291614787179</v>
      </c>
      <c r="V72" s="11" t="n">
        <f aca="false">IF($T72,Q72,S72)</f>
        <v>17.2278889462464</v>
      </c>
      <c r="W72" s="12" t="n">
        <f aca="false">P72 &lt; R72</f>
        <v>0</v>
      </c>
      <c r="X72" s="10" t="n">
        <f aca="false">IF($W72,P72,R72)</f>
        <v>1.49291614787179</v>
      </c>
      <c r="Y72" s="1" t="n">
        <v>332320</v>
      </c>
      <c r="Z72" s="1" t="s">
        <v>106</v>
      </c>
      <c r="AA72" s="12" t="n">
        <f aca="false">T72=W72</f>
        <v>1</v>
      </c>
    </row>
    <row r="73" customFormat="false" ht="12.8" hidden="false" customHeight="false" outlineLevel="0" collapsed="false">
      <c r="A73" s="1" t="s">
        <v>107</v>
      </c>
      <c r="B73" s="1" t="n">
        <v>332410</v>
      </c>
      <c r="C73" s="1" t="n">
        <v>5868</v>
      </c>
      <c r="D73" s="1" t="n">
        <v>2943</v>
      </c>
      <c r="E73" s="1" t="n">
        <v>2029</v>
      </c>
      <c r="F73" s="1" t="n">
        <v>7009</v>
      </c>
      <c r="G73" s="1" t="n">
        <v>2982</v>
      </c>
      <c r="H73" s="1" t="n">
        <v>2028</v>
      </c>
      <c r="I73" s="1" t="n">
        <v>7144</v>
      </c>
      <c r="J73" s="1" t="n">
        <v>2960</v>
      </c>
      <c r="K73" s="1" t="n">
        <v>1850</v>
      </c>
      <c r="L73" s="7" t="n">
        <f aca="false">(J73/G73*F73/I73)</f>
        <v>0.973864838902771</v>
      </c>
      <c r="M73" s="7" t="n">
        <f aca="false">(D73/G73*F73/C73)</f>
        <v>1.17882293762575</v>
      </c>
      <c r="N73" s="7" t="n">
        <f aca="false">(K73/H73*F73/I73)</f>
        <v>0.894990430722406</v>
      </c>
      <c r="O73" s="7" t="n">
        <f aca="false">(E73/H73*F73/C73)</f>
        <v>1.19503342099496</v>
      </c>
      <c r="P73" s="7" t="n">
        <f aca="false">(IF(L73&gt;1,L73,1/L73) - 1)*100</f>
        <v>2.68365383503064</v>
      </c>
      <c r="Q73" s="7" t="n">
        <f aca="false">(IF(M73&gt;1,M73,1/M73) - 1)*100</f>
        <v>17.8822937625754</v>
      </c>
      <c r="R73" s="7" t="n">
        <f aca="false">(IF(N73&gt;1,N73,1/N73) - 1)*100</f>
        <v>11.7330382172728</v>
      </c>
      <c r="S73" s="7" t="n">
        <f aca="false">(IF(O73&gt;1,O73,1/O73) - 1)*100</f>
        <v>19.5033420994959</v>
      </c>
      <c r="T73" s="9" t="n">
        <f aca="false">(P73+Q73) &lt; (R73+S73)</f>
        <v>1</v>
      </c>
      <c r="U73" s="10" t="n">
        <f aca="false">IF($T73,P73,R73)</f>
        <v>2.68365383503064</v>
      </c>
      <c r="V73" s="11" t="n">
        <f aca="false">IF($T73,Q73,S73)</f>
        <v>17.8822937625754</v>
      </c>
      <c r="W73" s="12" t="n">
        <f aca="false">P73 &lt; R73</f>
        <v>1</v>
      </c>
      <c r="X73" s="10" t="n">
        <f aca="false">IF($W73,P73,R73)</f>
        <v>2.68365383503064</v>
      </c>
      <c r="Y73" s="1" t="n">
        <v>332410</v>
      </c>
      <c r="Z73" s="1" t="s">
        <v>107</v>
      </c>
      <c r="AA73" s="12" t="n">
        <f aca="false">T73=W73</f>
        <v>1</v>
      </c>
    </row>
    <row r="74" customFormat="false" ht="12.8" hidden="false" customHeight="false" outlineLevel="0" collapsed="false">
      <c r="A74" s="1" t="s">
        <v>108</v>
      </c>
      <c r="B74" s="1" t="n">
        <v>332420</v>
      </c>
      <c r="C74" s="1" t="n">
        <v>8693</v>
      </c>
      <c r="D74" s="1" t="n">
        <v>3053</v>
      </c>
      <c r="E74" s="1" t="n">
        <v>1906</v>
      </c>
      <c r="F74" s="1" t="n">
        <v>9404</v>
      </c>
      <c r="G74" s="1" t="n">
        <v>3400</v>
      </c>
      <c r="H74" s="1" t="n">
        <v>2124</v>
      </c>
      <c r="I74" s="1" t="n">
        <v>8392</v>
      </c>
      <c r="J74" s="1" t="n">
        <v>3634</v>
      </c>
      <c r="K74" s="1" t="n">
        <v>2549</v>
      </c>
      <c r="L74" s="7" t="n">
        <f aca="false">(J74/G74*F74/I74)</f>
        <v>1.19771406942186</v>
      </c>
      <c r="M74" s="7" t="n">
        <f aca="false">(D74/G74*F74/C74)</f>
        <v>0.97138373674559</v>
      </c>
      <c r="N74" s="7" t="n">
        <f aca="false">(K74/H74*F74/I74)</f>
        <v>1.34481476394881</v>
      </c>
      <c r="O74" s="7" t="n">
        <f aca="false">(E74/H74*F74/C74)</f>
        <v>0.970758774458225</v>
      </c>
      <c r="P74" s="7" t="n">
        <f aca="false">(IF(L74&gt;1,L74,1/L74) - 1)*100</f>
        <v>19.7714069421858</v>
      </c>
      <c r="Q74" s="7" t="n">
        <f aca="false">(IF(M74&gt;1,M74,1/M74) - 1)*100</f>
        <v>2.94592777003688</v>
      </c>
      <c r="R74" s="7" t="n">
        <f aca="false">(IF(N74&gt;1,N74,1/N74) - 1)*100</f>
        <v>34.4814763948806</v>
      </c>
      <c r="S74" s="7" t="n">
        <f aca="false">(IF(O74&gt;1,O74,1/O74) - 1)*100</f>
        <v>3.01220306332999</v>
      </c>
      <c r="T74" s="9" t="n">
        <f aca="false">(P74+Q74) &lt; (R74+S74)</f>
        <v>1</v>
      </c>
      <c r="U74" s="10" t="n">
        <f aca="false">IF($T74,P74,R74)</f>
        <v>19.7714069421858</v>
      </c>
      <c r="V74" s="11" t="n">
        <f aca="false">IF($T74,Q74,S74)</f>
        <v>2.94592777003688</v>
      </c>
      <c r="W74" s="12" t="n">
        <f aca="false">P74 &lt; R74</f>
        <v>1</v>
      </c>
      <c r="X74" s="10" t="n">
        <f aca="false">IF($W74,P74,R74)</f>
        <v>19.7714069421858</v>
      </c>
      <c r="Y74" s="1" t="n">
        <v>332420</v>
      </c>
      <c r="Z74" s="1" t="s">
        <v>108</v>
      </c>
      <c r="AA74" s="12" t="n">
        <f aca="false">T74=W74</f>
        <v>1</v>
      </c>
    </row>
    <row r="75" customFormat="false" ht="12.8" hidden="false" customHeight="false" outlineLevel="0" collapsed="false">
      <c r="A75" s="1" t="s">
        <v>109</v>
      </c>
      <c r="B75" s="1" t="n">
        <v>332430</v>
      </c>
      <c r="C75" s="1" t="n">
        <v>17153</v>
      </c>
      <c r="D75" s="1" t="n">
        <v>4822</v>
      </c>
      <c r="E75" s="1" t="n">
        <v>2719</v>
      </c>
      <c r="F75" s="1" t="n">
        <v>18845</v>
      </c>
      <c r="G75" s="1" t="n">
        <v>5029</v>
      </c>
      <c r="H75" s="1" t="n">
        <v>2818</v>
      </c>
      <c r="I75" s="1" t="n">
        <v>17955</v>
      </c>
      <c r="J75" s="1" t="n">
        <v>6167</v>
      </c>
      <c r="K75" s="1" t="n">
        <v>3908</v>
      </c>
      <c r="L75" s="7" t="n">
        <f aca="false">(J75/G75*F75/I75)</f>
        <v>1.28707260074802</v>
      </c>
      <c r="M75" s="7" t="n">
        <f aca="false">(D75/G75*F75/C75)</f>
        <v>1.05342015783765</v>
      </c>
      <c r="N75" s="7" t="n">
        <f aca="false">(K75/H75*F75/I75)</f>
        <v>1.45554051519462</v>
      </c>
      <c r="O75" s="7" t="n">
        <f aca="false">(E75/H75*F75/C75)</f>
        <v>1.06004492941392</v>
      </c>
      <c r="P75" s="7" t="n">
        <f aca="false">(IF(L75&gt;1,L75,1/L75) - 1)*100</f>
        <v>28.707260074802</v>
      </c>
      <c r="Q75" s="7" t="n">
        <f aca="false">(IF(M75&gt;1,M75,1/M75) - 1)*100</f>
        <v>5.34201578376461</v>
      </c>
      <c r="R75" s="7" t="n">
        <f aca="false">(IF(N75&gt;1,N75,1/N75) - 1)*100</f>
        <v>45.5540515194619</v>
      </c>
      <c r="S75" s="7" t="n">
        <f aca="false">(IF(O75&gt;1,O75,1/O75) - 1)*100</f>
        <v>6.00449294139245</v>
      </c>
      <c r="T75" s="9" t="n">
        <f aca="false">(P75+Q75) &lt; (R75+S75)</f>
        <v>1</v>
      </c>
      <c r="U75" s="10" t="n">
        <f aca="false">IF($T75,P75,R75)</f>
        <v>28.707260074802</v>
      </c>
      <c r="V75" s="11" t="n">
        <f aca="false">IF($T75,Q75,S75)</f>
        <v>5.34201578376461</v>
      </c>
      <c r="W75" s="12" t="n">
        <f aca="false">P75 &lt; R75</f>
        <v>1</v>
      </c>
      <c r="X75" s="10" t="n">
        <f aca="false">IF($W75,P75,R75)</f>
        <v>28.707260074802</v>
      </c>
      <c r="Y75" s="1" t="n">
        <v>332430</v>
      </c>
      <c r="Z75" s="1" t="s">
        <v>109</v>
      </c>
      <c r="AA75" s="12" t="n">
        <f aca="false">T75=W75</f>
        <v>1</v>
      </c>
    </row>
    <row r="76" customFormat="false" ht="12.8" hidden="false" customHeight="false" outlineLevel="0" collapsed="false">
      <c r="A76" s="1" t="s">
        <v>110</v>
      </c>
      <c r="B76" s="1" t="n">
        <v>332500</v>
      </c>
      <c r="C76" s="1" t="n">
        <v>9237</v>
      </c>
      <c r="D76" s="1" t="n">
        <v>3126</v>
      </c>
      <c r="E76" s="1" t="n">
        <v>1759</v>
      </c>
      <c r="F76" s="1" t="n">
        <v>7308</v>
      </c>
      <c r="G76" s="1" t="n">
        <v>2710</v>
      </c>
      <c r="H76" s="1" t="n">
        <v>1575</v>
      </c>
      <c r="I76" s="1" t="n">
        <v>8650</v>
      </c>
      <c r="J76" s="1" t="n">
        <v>2985</v>
      </c>
      <c r="K76" s="1" t="n">
        <v>1987</v>
      </c>
      <c r="L76" s="7" t="n">
        <f aca="false">(J76/G76*F76/I76)</f>
        <v>0.930588059637822</v>
      </c>
      <c r="M76" s="7" t="n">
        <f aca="false">(D76/G76*F76/C76)</f>
        <v>0.91261431743905</v>
      </c>
      <c r="N76" s="7" t="n">
        <f aca="false">(K76/H76*F76/I76)</f>
        <v>1.06585895953757</v>
      </c>
      <c r="O76" s="7" t="n">
        <f aca="false">(E76/H76*F76/C76)</f>
        <v>0.883594240554293</v>
      </c>
      <c r="P76" s="7" t="n">
        <f aca="false">(IF(L76&gt;1,L76,1/L76) - 1)*100</f>
        <v>7.45893305241772</v>
      </c>
      <c r="Q76" s="7" t="n">
        <f aca="false">(IF(M76&gt;1,M76,1/M76) - 1)*100</f>
        <v>9.57531356796697</v>
      </c>
      <c r="R76" s="7" t="n">
        <f aca="false">(IF(N76&gt;1,N76,1/N76) - 1)*100</f>
        <v>6.58589595375723</v>
      </c>
      <c r="S76" s="7" t="n">
        <f aca="false">(IF(O76&gt;1,O76,1/O76) - 1)*100</f>
        <v>13.1741193076003</v>
      </c>
      <c r="T76" s="9" t="n">
        <f aca="false">(P76+Q76) &lt; (R76+S76)</f>
        <v>1</v>
      </c>
      <c r="U76" s="10" t="n">
        <f aca="false">IF($T76,P76,R76)</f>
        <v>7.45893305241772</v>
      </c>
      <c r="V76" s="11" t="n">
        <f aca="false">IF($T76,Q76,S76)</f>
        <v>9.57531356796697</v>
      </c>
      <c r="W76" s="12" t="n">
        <f aca="false">P76 &lt; R76</f>
        <v>0</v>
      </c>
      <c r="X76" s="10" t="n">
        <f aca="false">IF($W76,P76,R76)</f>
        <v>6.58589595375723</v>
      </c>
      <c r="Y76" s="1" t="n">
        <v>332500</v>
      </c>
      <c r="Z76" s="1" t="s">
        <v>110</v>
      </c>
      <c r="AA76" s="12" t="n">
        <f aca="false">T76=W76</f>
        <v>0</v>
      </c>
    </row>
    <row r="77" customFormat="false" ht="12.8" hidden="false" customHeight="false" outlineLevel="0" collapsed="false">
      <c r="A77" s="1" t="s">
        <v>111</v>
      </c>
      <c r="B77" s="1" t="n">
        <v>332600</v>
      </c>
      <c r="C77" s="1" t="n">
        <v>9148</v>
      </c>
      <c r="D77" s="1" t="n">
        <v>3129</v>
      </c>
      <c r="E77" s="1" t="n">
        <v>2314</v>
      </c>
      <c r="F77" s="1" t="n">
        <v>8444</v>
      </c>
      <c r="G77" s="1" t="n">
        <v>3009</v>
      </c>
      <c r="H77" s="1" t="n">
        <v>2289</v>
      </c>
      <c r="I77" s="1" t="n">
        <v>9202</v>
      </c>
      <c r="J77" s="1" t="n">
        <v>3800</v>
      </c>
      <c r="K77" s="1" t="n">
        <v>2849</v>
      </c>
      <c r="L77" s="7" t="n">
        <f aca="false">(J77/G77*F77/I77)</f>
        <v>1.15885047891896</v>
      </c>
      <c r="M77" s="7" t="n">
        <f aca="false">(D77/G77*F77/C77)</f>
        <v>0.959854585783533</v>
      </c>
      <c r="N77" s="7" t="n">
        <f aca="false">(K77/H77*F77/I77)</f>
        <v>1.14212240790627</v>
      </c>
      <c r="O77" s="7" t="n">
        <f aca="false">(E77/H77*F77/C77)</f>
        <v>0.933124582254286</v>
      </c>
      <c r="P77" s="7" t="n">
        <f aca="false">(IF(L77&gt;1,L77,1/L77) - 1)*100</f>
        <v>15.8850478918963</v>
      </c>
      <c r="Q77" s="7" t="n">
        <f aca="false">(IF(M77&gt;1,M77,1/M77) - 1)*100</f>
        <v>4.18244750934815</v>
      </c>
      <c r="R77" s="7" t="n">
        <f aca="false">(IF(N77&gt;1,N77,1/N77) - 1)*100</f>
        <v>14.2122407906272</v>
      </c>
      <c r="S77" s="7" t="n">
        <f aca="false">(IF(O77&gt;1,O77,1/O77) - 1)*100</f>
        <v>7.1668262756676</v>
      </c>
      <c r="T77" s="9" t="n">
        <f aca="false">(P77+Q77) &lt; (R77+S77)</f>
        <v>1</v>
      </c>
      <c r="U77" s="10" t="n">
        <f aca="false">IF($T77,P77,R77)</f>
        <v>15.8850478918963</v>
      </c>
      <c r="V77" s="11" t="n">
        <f aca="false">IF($T77,Q77,S77)</f>
        <v>4.18244750934815</v>
      </c>
      <c r="W77" s="12" t="n">
        <f aca="false">P77 &lt; R77</f>
        <v>0</v>
      </c>
      <c r="X77" s="10" t="n">
        <f aca="false">IF($W77,P77,R77)</f>
        <v>14.2122407906272</v>
      </c>
      <c r="Y77" s="1" t="n">
        <v>332600</v>
      </c>
      <c r="Z77" s="1" t="s">
        <v>111</v>
      </c>
      <c r="AA77" s="12" t="n">
        <f aca="false">T77=W77</f>
        <v>0</v>
      </c>
    </row>
    <row r="78" customFormat="false" ht="12.8" hidden="false" customHeight="false" outlineLevel="0" collapsed="false">
      <c r="A78" s="1" t="s">
        <v>112</v>
      </c>
      <c r="B78" s="1" t="n">
        <v>332710</v>
      </c>
      <c r="C78" s="1" t="n">
        <v>37170</v>
      </c>
      <c r="D78" s="1" t="n">
        <v>18367</v>
      </c>
      <c r="E78" s="1" t="n">
        <v>15436</v>
      </c>
      <c r="F78" s="1" t="n">
        <v>39897</v>
      </c>
      <c r="G78" s="1" t="n">
        <v>19975</v>
      </c>
      <c r="H78" s="1" t="n">
        <v>16705</v>
      </c>
      <c r="I78" s="1" t="n">
        <v>37941</v>
      </c>
      <c r="J78" s="1" t="n">
        <v>19433</v>
      </c>
      <c r="K78" s="1" t="n">
        <v>16680</v>
      </c>
      <c r="L78" s="7" t="n">
        <f aca="false">(J78/G78*F78/I78)</f>
        <v>1.02302095615883</v>
      </c>
      <c r="M78" s="7" t="n">
        <f aca="false">(D78/G78*F78/C78)</f>
        <v>0.986959013536897</v>
      </c>
      <c r="N78" s="7" t="n">
        <f aca="false">(K78/H78*F78/I78)</f>
        <v>1.04998001710007</v>
      </c>
      <c r="O78" s="7" t="n">
        <f aca="false">(E78/H78*F78/C78)</f>
        <v>0.991827097916922</v>
      </c>
      <c r="P78" s="7" t="n">
        <f aca="false">(IF(L78&gt;1,L78,1/L78) - 1)*100</f>
        <v>2.30209561588262</v>
      </c>
      <c r="Q78" s="7" t="n">
        <f aca="false">(IF(M78&gt;1,M78,1/M78) - 1)*100</f>
        <v>1.32133009418185</v>
      </c>
      <c r="R78" s="7" t="n">
        <f aca="false">(IF(N78&gt;1,N78,1/N78) - 1)*100</f>
        <v>4.99800171000704</v>
      </c>
      <c r="S78" s="7" t="n">
        <f aca="false">(IF(O78&gt;1,O78,1/O78) - 1)*100</f>
        <v>0.824024882990515</v>
      </c>
      <c r="T78" s="9" t="n">
        <f aca="false">(P78+Q78) &lt; (R78+S78)</f>
        <v>1</v>
      </c>
      <c r="U78" s="10" t="n">
        <f aca="false">IF($T78,P78,R78)</f>
        <v>2.30209561588262</v>
      </c>
      <c r="V78" s="11" t="n">
        <f aca="false">IF($T78,Q78,S78)</f>
        <v>1.32133009418185</v>
      </c>
      <c r="W78" s="12" t="n">
        <f aca="false">P78 &lt; R78</f>
        <v>1</v>
      </c>
      <c r="X78" s="10" t="n">
        <f aca="false">IF($W78,P78,R78)</f>
        <v>2.30209561588262</v>
      </c>
      <c r="Y78" s="1" t="n">
        <v>332710</v>
      </c>
      <c r="Z78" s="1" t="s">
        <v>112</v>
      </c>
      <c r="AA78" s="12" t="n">
        <f aca="false">T78=W78</f>
        <v>1</v>
      </c>
    </row>
    <row r="79" customFormat="false" ht="12.8" hidden="false" customHeight="false" outlineLevel="0" collapsed="false">
      <c r="A79" s="1" t="s">
        <v>113</v>
      </c>
      <c r="B79" s="1" t="n">
        <v>332720</v>
      </c>
      <c r="C79" s="1" t="n">
        <v>24268</v>
      </c>
      <c r="D79" s="1" t="n">
        <v>11298</v>
      </c>
      <c r="E79" s="1" t="n">
        <v>4745</v>
      </c>
      <c r="F79" s="1" t="n">
        <v>28011</v>
      </c>
      <c r="G79" s="1" t="n">
        <v>11461</v>
      </c>
      <c r="H79" s="1" t="n">
        <v>4738</v>
      </c>
      <c r="I79" s="1" t="n">
        <v>29569</v>
      </c>
      <c r="J79" s="1" t="n">
        <v>11942</v>
      </c>
      <c r="K79" s="1" t="n">
        <v>5736</v>
      </c>
      <c r="L79" s="7" t="n">
        <f aca="false">(J79/G79*F79/I79)</f>
        <v>0.987066767967095</v>
      </c>
      <c r="M79" s="7" t="n">
        <f aca="false">(D79/G79*F79/C79)</f>
        <v>1.13782031917761</v>
      </c>
      <c r="N79" s="7" t="n">
        <f aca="false">(K79/H79*F79/I79)</f>
        <v>1.14684853070126</v>
      </c>
      <c r="O79" s="7" t="n">
        <f aca="false">(E79/H79*F79/C79)</f>
        <v>1.15594131849615</v>
      </c>
      <c r="P79" s="7" t="n">
        <f aca="false">(IF(L79&gt;1,L79,1/L79) - 1)*100</f>
        <v>1.31026921912709</v>
      </c>
      <c r="Q79" s="7" t="n">
        <f aca="false">(IF(M79&gt;1,M79,1/M79) - 1)*100</f>
        <v>13.7820319177612</v>
      </c>
      <c r="R79" s="7" t="n">
        <f aca="false">(IF(N79&gt;1,N79,1/N79) - 1)*100</f>
        <v>14.6848530701262</v>
      </c>
      <c r="S79" s="7" t="n">
        <f aca="false">(IF(O79&gt;1,O79,1/O79) - 1)*100</f>
        <v>15.5941318496154</v>
      </c>
      <c r="T79" s="9" t="n">
        <f aca="false">(P79+Q79) &lt; (R79+S79)</f>
        <v>1</v>
      </c>
      <c r="U79" s="10" t="n">
        <f aca="false">IF($T79,P79,R79)</f>
        <v>1.31026921912709</v>
      </c>
      <c r="V79" s="11" t="n">
        <f aca="false">IF($T79,Q79,S79)</f>
        <v>13.7820319177612</v>
      </c>
      <c r="W79" s="12" t="n">
        <f aca="false">P79 &lt; R79</f>
        <v>1</v>
      </c>
      <c r="X79" s="10" t="n">
        <f aca="false">IF($W79,P79,R79)</f>
        <v>1.31026921912709</v>
      </c>
      <c r="Y79" s="1" t="n">
        <v>332720</v>
      </c>
      <c r="Z79" s="1" t="s">
        <v>113</v>
      </c>
      <c r="AA79" s="12" t="n">
        <f aca="false">T79=W79</f>
        <v>1</v>
      </c>
    </row>
    <row r="80" customFormat="false" ht="12.8" hidden="false" customHeight="false" outlineLevel="0" collapsed="false">
      <c r="A80" s="1" t="s">
        <v>114</v>
      </c>
      <c r="B80" s="1" t="n">
        <v>332800</v>
      </c>
      <c r="C80" s="1" t="n">
        <v>26838</v>
      </c>
      <c r="D80" s="1" t="n">
        <v>12224</v>
      </c>
      <c r="E80" s="1" t="n">
        <v>7528</v>
      </c>
      <c r="F80" s="1" t="n">
        <v>27227</v>
      </c>
      <c r="G80" s="1" t="n">
        <v>12158</v>
      </c>
      <c r="H80" s="1" t="n">
        <v>7389</v>
      </c>
      <c r="I80" s="1" t="n">
        <v>25930</v>
      </c>
      <c r="J80" s="1" t="n">
        <v>12471</v>
      </c>
      <c r="K80" s="1" t="n">
        <v>8249</v>
      </c>
      <c r="L80" s="7" t="n">
        <f aca="false">(J80/G80*F80/I80)</f>
        <v>1.07705136324675</v>
      </c>
      <c r="M80" s="7" t="n">
        <f aca="false">(D80/G80*F80/C80)</f>
        <v>1.02000158113909</v>
      </c>
      <c r="N80" s="7" t="n">
        <f aca="false">(K80/H80*F80/I80)</f>
        <v>1.17223021557201</v>
      </c>
      <c r="O80" s="7" t="n">
        <f aca="false">(E80/H80*F80/C80)</f>
        <v>1.03357878533387</v>
      </c>
      <c r="P80" s="7" t="n">
        <f aca="false">(IF(L80&gt;1,L80,1/L80) - 1)*100</f>
        <v>7.70513632467536</v>
      </c>
      <c r="Q80" s="7" t="n">
        <f aca="false">(IF(M80&gt;1,M80,1/M80) - 1)*100</f>
        <v>2.00015811390921</v>
      </c>
      <c r="R80" s="7" t="n">
        <f aca="false">(IF(N80&gt;1,N80,1/N80) - 1)*100</f>
        <v>17.2230215572006</v>
      </c>
      <c r="S80" s="7" t="n">
        <f aca="false">(IF(O80&gt;1,O80,1/O80) - 1)*100</f>
        <v>3.35787853338685</v>
      </c>
      <c r="T80" s="9" t="n">
        <f aca="false">(P80+Q80) &lt; (R80+S80)</f>
        <v>1</v>
      </c>
      <c r="U80" s="10" t="n">
        <f aca="false">IF($T80,P80,R80)</f>
        <v>7.70513632467536</v>
      </c>
      <c r="V80" s="11" t="n">
        <f aca="false">IF($T80,Q80,S80)</f>
        <v>2.00015811390921</v>
      </c>
      <c r="W80" s="12" t="n">
        <f aca="false">P80 &lt; R80</f>
        <v>1</v>
      </c>
      <c r="X80" s="10" t="n">
        <f aca="false">IF($W80,P80,R80)</f>
        <v>7.70513632467536</v>
      </c>
      <c r="Y80" s="1" t="n">
        <v>332800</v>
      </c>
      <c r="Z80" s="1" t="s">
        <v>114</v>
      </c>
      <c r="AA80" s="12" t="n">
        <f aca="false">T80=W80</f>
        <v>1</v>
      </c>
    </row>
    <row r="81" customFormat="false" ht="12.8" hidden="false" customHeight="false" outlineLevel="0" collapsed="false">
      <c r="A81" s="1" t="s">
        <v>115</v>
      </c>
      <c r="B81" s="1" t="n">
        <v>332913</v>
      </c>
      <c r="C81" s="1" t="n">
        <v>4380</v>
      </c>
      <c r="D81" s="1" t="n">
        <v>1505</v>
      </c>
      <c r="E81" s="1" t="n">
        <v>687</v>
      </c>
      <c r="F81" s="1" t="n">
        <v>3499</v>
      </c>
      <c r="G81" s="1" t="n">
        <v>1388</v>
      </c>
      <c r="H81" s="1" t="n">
        <v>617</v>
      </c>
      <c r="I81" s="1" t="n">
        <v>4851</v>
      </c>
      <c r="J81" s="1" t="n">
        <v>1739</v>
      </c>
      <c r="K81" s="1" t="n">
        <v>836</v>
      </c>
      <c r="L81" s="7" t="n">
        <f aca="false">(J81/G81*F81/I81)</f>
        <v>0.90369688177428</v>
      </c>
      <c r="M81" s="7" t="n">
        <f aca="false">(D81/G81*F81/C81)</f>
        <v>0.866197380021844</v>
      </c>
      <c r="N81" s="7" t="n">
        <f aca="false">(K81/H81*F81/I81)</f>
        <v>0.977313237558665</v>
      </c>
      <c r="O81" s="7" t="n">
        <f aca="false">(E81/H81*F81/C81)</f>
        <v>0.889490686263626</v>
      </c>
      <c r="P81" s="7" t="n">
        <f aca="false">(IF(L81&gt;1,L81,1/L81) - 1)*100</f>
        <v>10.6565730354898</v>
      </c>
      <c r="Q81" s="7" t="n">
        <f aca="false">(IF(M81&gt;1,M81,1/M81) - 1)*100</f>
        <v>15.44712822553</v>
      </c>
      <c r="R81" s="7" t="n">
        <f aca="false">(IF(N81&gt;1,N81,1/N81) - 1)*100</f>
        <v>2.32133993170982</v>
      </c>
      <c r="S81" s="7" t="n">
        <f aca="false">(IF(O81&gt;1,O81,1/O81) - 1)*100</f>
        <v>12.4238865502433</v>
      </c>
      <c r="T81" s="9" t="n">
        <f aca="false">(P81+Q81) &lt; (R81+S81)</f>
        <v>0</v>
      </c>
      <c r="U81" s="10" t="n">
        <f aca="false">IF($T81,P81,R81)</f>
        <v>2.32133993170982</v>
      </c>
      <c r="V81" s="11" t="n">
        <f aca="false">IF($T81,Q81,S81)</f>
        <v>12.4238865502433</v>
      </c>
      <c r="W81" s="12" t="n">
        <f aca="false">P81 &lt; R81</f>
        <v>0</v>
      </c>
      <c r="X81" s="10" t="n">
        <f aca="false">IF($W81,P81,R81)</f>
        <v>2.32133993170982</v>
      </c>
      <c r="Y81" s="1" t="n">
        <v>332913</v>
      </c>
      <c r="Z81" s="1" t="s">
        <v>115</v>
      </c>
      <c r="AA81" s="12" t="n">
        <f aca="false">T81=W81</f>
        <v>1</v>
      </c>
    </row>
    <row r="82" customFormat="false" ht="12.8" hidden="false" customHeight="false" outlineLevel="0" collapsed="false">
      <c r="A82" s="1" t="s">
        <v>116</v>
      </c>
      <c r="B82" s="1" t="s">
        <v>117</v>
      </c>
      <c r="C82" s="1" t="n">
        <v>24343</v>
      </c>
      <c r="D82" s="1" t="n">
        <v>11431</v>
      </c>
      <c r="E82" s="1" t="n">
        <v>6510</v>
      </c>
      <c r="F82" s="1" t="n">
        <v>28389</v>
      </c>
      <c r="G82" s="1" t="n">
        <v>11947</v>
      </c>
      <c r="H82" s="1" t="n">
        <v>6695</v>
      </c>
      <c r="I82" s="1" t="n">
        <v>26070</v>
      </c>
      <c r="J82" s="1" t="n">
        <v>11751</v>
      </c>
      <c r="K82" s="1" t="n">
        <v>7179</v>
      </c>
      <c r="L82" s="7" t="n">
        <f aca="false">(J82/G82*F82/I82)</f>
        <v>1.07108768560952</v>
      </c>
      <c r="M82" s="7" t="n">
        <f aca="false">(D82/G82*F82/C82)</f>
        <v>1.1158385382844</v>
      </c>
      <c r="N82" s="7" t="n">
        <f aca="false">(K82/H82*F82/I82)</f>
        <v>1.16767621956512</v>
      </c>
      <c r="O82" s="7" t="n">
        <f aca="false">(E82/H82*F82/C82)</f>
        <v>1.13398263190093</v>
      </c>
      <c r="P82" s="7" t="n">
        <f aca="false">(IF(L82&gt;1,L82,1/L82) - 1)*100</f>
        <v>7.10876856095242</v>
      </c>
      <c r="Q82" s="7" t="n">
        <f aca="false">(IF(M82&gt;1,M82,1/M82) - 1)*100</f>
        <v>11.5838538284398</v>
      </c>
      <c r="R82" s="7" t="n">
        <f aca="false">(IF(N82&gt;1,N82,1/N82) - 1)*100</f>
        <v>16.7676219565122</v>
      </c>
      <c r="S82" s="7" t="n">
        <f aca="false">(IF(O82&gt;1,O82,1/O82) - 1)*100</f>
        <v>13.3982631900935</v>
      </c>
      <c r="T82" s="9" t="n">
        <f aca="false">(P82+Q82) &lt; (R82+S82)</f>
        <v>1</v>
      </c>
      <c r="U82" s="10" t="n">
        <f aca="false">IF($T82,P82,R82)</f>
        <v>7.10876856095242</v>
      </c>
      <c r="V82" s="11" t="n">
        <f aca="false">IF($T82,Q82,S82)</f>
        <v>11.5838538284398</v>
      </c>
      <c r="W82" s="12" t="n">
        <f aca="false">P82 &lt; R82</f>
        <v>1</v>
      </c>
      <c r="X82" s="10" t="n">
        <f aca="false">IF($W82,P82,R82)</f>
        <v>7.10876856095242</v>
      </c>
      <c r="Y82" s="1" t="s">
        <v>117</v>
      </c>
      <c r="Z82" s="1" t="s">
        <v>116</v>
      </c>
      <c r="AA82" s="12" t="n">
        <f aca="false">T82=W82</f>
        <v>1</v>
      </c>
    </row>
    <row r="83" customFormat="false" ht="12.8" hidden="false" customHeight="false" outlineLevel="0" collapsed="false">
      <c r="A83" s="1" t="s">
        <v>118</v>
      </c>
      <c r="B83" s="1" t="n">
        <v>332991</v>
      </c>
      <c r="C83" s="1" t="n">
        <v>7488</v>
      </c>
      <c r="D83" s="1" t="n">
        <v>4095</v>
      </c>
      <c r="E83" s="1" t="n">
        <v>2769</v>
      </c>
      <c r="F83" s="1" t="n">
        <v>7016</v>
      </c>
      <c r="G83" s="1" t="n">
        <v>3262</v>
      </c>
      <c r="H83" s="1" t="n">
        <v>2205</v>
      </c>
      <c r="I83" s="1" t="n">
        <v>6198</v>
      </c>
      <c r="J83" s="1" t="n">
        <v>3061</v>
      </c>
      <c r="K83" s="1" t="n">
        <v>2122</v>
      </c>
      <c r="L83" s="7" t="n">
        <f aca="false">(J83/G83*F83/I83)</f>
        <v>1.06222711030575</v>
      </c>
      <c r="M83" s="7" t="n">
        <f aca="false">(D83/G83*F83/C83)</f>
        <v>1.1762339055794</v>
      </c>
      <c r="N83" s="7" t="n">
        <f aca="false">(K83/H83*F83/I83)</f>
        <v>1.08936845255473</v>
      </c>
      <c r="O83" s="7" t="n">
        <f aca="false">(E83/H83*F83/C83)</f>
        <v>1.17662509448224</v>
      </c>
      <c r="P83" s="7" t="n">
        <f aca="false">(IF(L83&gt;1,L83,1/L83) - 1)*100</f>
        <v>6.22271103057512</v>
      </c>
      <c r="Q83" s="7" t="n">
        <f aca="false">(IF(M83&gt;1,M83,1/M83) - 1)*100</f>
        <v>17.6233905579399</v>
      </c>
      <c r="R83" s="7" t="n">
        <f aca="false">(IF(N83&gt;1,N83,1/N83) - 1)*100</f>
        <v>8.93684525547338</v>
      </c>
      <c r="S83" s="7" t="n">
        <f aca="false">(IF(O83&gt;1,O83,1/O83) - 1)*100</f>
        <v>17.6625094482238</v>
      </c>
      <c r="T83" s="9" t="n">
        <f aca="false">(P83+Q83) &lt; (R83+S83)</f>
        <v>1</v>
      </c>
      <c r="U83" s="10" t="n">
        <f aca="false">IF($T83,P83,R83)</f>
        <v>6.22271103057512</v>
      </c>
      <c r="V83" s="11" t="n">
        <f aca="false">IF($T83,Q83,S83)</f>
        <v>17.6233905579399</v>
      </c>
      <c r="W83" s="12" t="n">
        <f aca="false">P83 &lt; R83</f>
        <v>1</v>
      </c>
      <c r="X83" s="10" t="n">
        <f aca="false">IF($W83,P83,R83)</f>
        <v>6.22271103057512</v>
      </c>
      <c r="Y83" s="1" t="n">
        <v>332991</v>
      </c>
      <c r="Z83" s="1" t="s">
        <v>118</v>
      </c>
      <c r="AA83" s="12" t="n">
        <f aca="false">T83=W83</f>
        <v>1</v>
      </c>
    </row>
    <row r="84" customFormat="false" ht="12.8" hidden="false" customHeight="false" outlineLevel="0" collapsed="false">
      <c r="A84" s="1" t="s">
        <v>119</v>
      </c>
      <c r="B84" s="1" t="n">
        <v>332996</v>
      </c>
      <c r="C84" s="1" t="n">
        <v>7340</v>
      </c>
      <c r="D84" s="1" t="n">
        <v>3278</v>
      </c>
      <c r="E84" s="1" t="n">
        <v>2104</v>
      </c>
      <c r="F84" s="1" t="n">
        <v>8170</v>
      </c>
      <c r="G84" s="1" t="n">
        <v>3256</v>
      </c>
      <c r="H84" s="1" t="n">
        <v>2120</v>
      </c>
      <c r="I84" s="1" t="n">
        <v>6195</v>
      </c>
      <c r="J84" s="1" t="n">
        <v>3036</v>
      </c>
      <c r="K84" s="1" t="n">
        <v>2316</v>
      </c>
      <c r="L84" s="7" t="n">
        <f aca="false">(J84/G84*F84/I84)</f>
        <v>1.22969700935803</v>
      </c>
      <c r="M84" s="7" t="n">
        <f aca="false">(D84/G84*F84/C84)</f>
        <v>1.1205998232565</v>
      </c>
      <c r="N84" s="7" t="n">
        <f aca="false">(K84/H84*F84/I84)</f>
        <v>1.44073278815844</v>
      </c>
      <c r="O84" s="7" t="n">
        <f aca="false">(E84/H84*F84/C84)</f>
        <v>1.1046784227032</v>
      </c>
      <c r="P84" s="7" t="n">
        <f aca="false">(IF(L84&gt;1,L84,1/L84) - 1)*100</f>
        <v>22.9697009358026</v>
      </c>
      <c r="Q84" s="7" t="n">
        <f aca="false">(IF(M84&gt;1,M84,1/M84) - 1)*100</f>
        <v>12.0599823256499</v>
      </c>
      <c r="R84" s="7" t="n">
        <f aca="false">(IF(N84&gt;1,N84,1/N84) - 1)*100</f>
        <v>44.0732788158436</v>
      </c>
      <c r="S84" s="7" t="n">
        <f aca="false">(IF(O84&gt;1,O84,1/O84) - 1)*100</f>
        <v>10.4678422703203</v>
      </c>
      <c r="T84" s="9" t="n">
        <f aca="false">(P84+Q84) &lt; (R84+S84)</f>
        <v>1</v>
      </c>
      <c r="U84" s="10" t="n">
        <f aca="false">IF($T84,P84,R84)</f>
        <v>22.9697009358026</v>
      </c>
      <c r="V84" s="11" t="n">
        <f aca="false">IF($T84,Q84,S84)</f>
        <v>12.0599823256499</v>
      </c>
      <c r="W84" s="12" t="n">
        <f aca="false">P84 &lt; R84</f>
        <v>1</v>
      </c>
      <c r="X84" s="10" t="n">
        <f aca="false">IF($W84,P84,R84)</f>
        <v>22.9697009358026</v>
      </c>
      <c r="Y84" s="1" t="n">
        <v>332996</v>
      </c>
      <c r="Z84" s="1" t="s">
        <v>119</v>
      </c>
      <c r="AA84" s="12" t="n">
        <f aca="false">T84=W84</f>
        <v>1</v>
      </c>
    </row>
    <row r="85" customFormat="false" ht="12.8" hidden="false" customHeight="false" outlineLevel="0" collapsed="false">
      <c r="A85" s="1" t="s">
        <v>120</v>
      </c>
      <c r="B85" s="1" t="s">
        <v>121</v>
      </c>
      <c r="C85" s="1" t="n">
        <v>8510</v>
      </c>
      <c r="D85" s="1" t="n">
        <v>5045</v>
      </c>
      <c r="E85" s="1" t="n">
        <v>2927</v>
      </c>
      <c r="F85" s="1" t="n">
        <v>14026</v>
      </c>
      <c r="G85" s="1" t="n">
        <v>7010</v>
      </c>
      <c r="H85" s="1" t="n">
        <v>3824</v>
      </c>
      <c r="I85" s="1" t="n">
        <v>13043</v>
      </c>
      <c r="J85" s="1" t="n">
        <v>6261</v>
      </c>
      <c r="K85" s="1" t="n">
        <v>3885</v>
      </c>
      <c r="L85" s="7" t="n">
        <f aca="false">(J85/G85*F85/I85)</f>
        <v>0.960466067303115</v>
      </c>
      <c r="M85" s="7" t="n">
        <f aca="false">(D85/G85*F85/C85)</f>
        <v>1.18617134159527</v>
      </c>
      <c r="N85" s="7" t="n">
        <f aca="false">(K85/H85*F85/I85)</f>
        <v>1.09252021074803</v>
      </c>
      <c r="O85" s="7" t="n">
        <f aca="false">(E85/H85*F85/C85)</f>
        <v>1.2615634940926</v>
      </c>
      <c r="P85" s="7" t="n">
        <f aca="false">(IF(L85&gt;1,L85,1/L85) - 1)*100</f>
        <v>4.11611966759977</v>
      </c>
      <c r="Q85" s="7" t="n">
        <f aca="false">(IF(M85&gt;1,M85,1/M85) - 1)*100</f>
        <v>18.617134159527</v>
      </c>
      <c r="R85" s="7" t="n">
        <f aca="false">(IF(N85&gt;1,N85,1/N85) - 1)*100</f>
        <v>9.25202107480343</v>
      </c>
      <c r="S85" s="7" t="n">
        <f aca="false">(IF(O85&gt;1,O85,1/O85) - 1)*100</f>
        <v>26.1563494092601</v>
      </c>
      <c r="T85" s="9" t="n">
        <f aca="false">(P85+Q85) &lt; (R85+S85)</f>
        <v>1</v>
      </c>
      <c r="U85" s="10" t="n">
        <f aca="false">IF($T85,P85,R85)</f>
        <v>4.11611966759977</v>
      </c>
      <c r="V85" s="11" t="n">
        <f aca="false">IF($T85,Q85,S85)</f>
        <v>18.617134159527</v>
      </c>
      <c r="W85" s="12" t="n">
        <f aca="false">P85 &lt; R85</f>
        <v>1</v>
      </c>
      <c r="X85" s="10" t="n">
        <f aca="false">IF($W85,P85,R85)</f>
        <v>4.11611966759977</v>
      </c>
      <c r="Y85" s="1" t="s">
        <v>121</v>
      </c>
      <c r="Z85" s="1" t="s">
        <v>120</v>
      </c>
      <c r="AA85" s="12" t="n">
        <f aca="false">T85=W85</f>
        <v>1</v>
      </c>
    </row>
    <row r="86" customFormat="false" ht="12.8" hidden="false" customHeight="false" outlineLevel="0" collapsed="false">
      <c r="A86" s="1" t="s">
        <v>122</v>
      </c>
      <c r="B86" s="1" t="n">
        <v>332999</v>
      </c>
      <c r="C86" s="1" t="n">
        <v>18289</v>
      </c>
      <c r="D86" s="1" t="n">
        <v>4032</v>
      </c>
      <c r="E86" s="1" t="n">
        <v>2707</v>
      </c>
      <c r="F86" s="1" t="n">
        <v>14549</v>
      </c>
      <c r="G86" s="1" t="n">
        <v>5853</v>
      </c>
      <c r="H86" s="1" t="n">
        <v>4100</v>
      </c>
      <c r="I86" s="1" t="n">
        <v>13875</v>
      </c>
      <c r="J86" s="1" t="n">
        <v>5621</v>
      </c>
      <c r="K86" s="1" t="n">
        <v>4378</v>
      </c>
      <c r="L86" s="7" t="n">
        <f aca="false">(J86/G86*F86/I86)</f>
        <v>1.00701331572475</v>
      </c>
      <c r="M86" s="7" t="n">
        <f aca="false">(D86/G86*F86/C86)</f>
        <v>0.548005835685767</v>
      </c>
      <c r="N86" s="7" t="n">
        <f aca="false">(K86/H86*F86/I86)</f>
        <v>1.11967518347616</v>
      </c>
      <c r="O86" s="7" t="n">
        <f aca="false">(E86/H86*F86/C86)</f>
        <v>0.525227652500704</v>
      </c>
      <c r="P86" s="7" t="n">
        <f aca="false">(IF(L86&gt;1,L86,1/L86) - 1)*100</f>
        <v>0.701331572474584</v>
      </c>
      <c r="Q86" s="7" t="n">
        <f aca="false">(IF(M86&gt;1,M86,1/M86) - 1)*100</f>
        <v>82.4798085860917</v>
      </c>
      <c r="R86" s="7" t="n">
        <f aca="false">(IF(N86&gt;1,N86,1/N86) - 1)*100</f>
        <v>11.9675183476159</v>
      </c>
      <c r="S86" s="7" t="n">
        <f aca="false">(IF(O86&gt;1,O86,1/O86) - 1)*100</f>
        <v>90.3936312642375</v>
      </c>
      <c r="T86" s="9" t="n">
        <f aca="false">(P86+Q86) &lt; (R86+S86)</f>
        <v>1</v>
      </c>
      <c r="U86" s="10" t="n">
        <f aca="false">IF($T86,P86,R86)</f>
        <v>0.701331572474584</v>
      </c>
      <c r="V86" s="11" t="n">
        <f aca="false">IF($T86,Q86,S86)</f>
        <v>82.4798085860917</v>
      </c>
      <c r="W86" s="12" t="n">
        <f aca="false">P86 &lt; R86</f>
        <v>1</v>
      </c>
      <c r="X86" s="10" t="n">
        <f aca="false">IF($W86,P86,R86)</f>
        <v>0.701331572474584</v>
      </c>
      <c r="Y86" s="1" t="n">
        <v>332999</v>
      </c>
      <c r="Z86" s="1" t="s">
        <v>122</v>
      </c>
      <c r="AA86" s="12" t="n">
        <f aca="false">T86=W86</f>
        <v>1</v>
      </c>
    </row>
    <row r="87" customFormat="false" ht="12.8" hidden="false" customHeight="false" outlineLevel="0" collapsed="false">
      <c r="A87" s="1" t="s">
        <v>123</v>
      </c>
      <c r="B87" s="1" t="n">
        <v>333111</v>
      </c>
      <c r="C87" s="1" t="n">
        <v>21273</v>
      </c>
      <c r="D87" s="1" t="n">
        <v>8760</v>
      </c>
      <c r="E87" s="1" t="n">
        <v>3976</v>
      </c>
      <c r="F87" s="1" t="n">
        <v>34774</v>
      </c>
      <c r="G87" s="1" t="n">
        <v>9938</v>
      </c>
      <c r="H87" s="1" t="n">
        <v>4527</v>
      </c>
      <c r="I87" s="1" t="n">
        <v>25067</v>
      </c>
      <c r="J87" s="1" t="n">
        <v>9733</v>
      </c>
      <c r="K87" s="1" t="n">
        <v>5737</v>
      </c>
      <c r="L87" s="7" t="n">
        <f aca="false">(J87/G87*F87/I87)</f>
        <v>1.35862630753726</v>
      </c>
      <c r="M87" s="7" t="n">
        <f aca="false">(D87/G87*F87/C87)</f>
        <v>1.44089065078966</v>
      </c>
      <c r="N87" s="7" t="n">
        <f aca="false">(K87/H87*F87/I87)</f>
        <v>1.75803146661271</v>
      </c>
      <c r="O87" s="7" t="n">
        <f aca="false">(E87/H87*F87/C87)</f>
        <v>1.43569368767832</v>
      </c>
      <c r="P87" s="7" t="n">
        <f aca="false">(IF(L87&gt;1,L87,1/L87) - 1)*100</f>
        <v>35.8626307537257</v>
      </c>
      <c r="Q87" s="7" t="n">
        <f aca="false">(IF(M87&gt;1,M87,1/M87) - 1)*100</f>
        <v>44.0890650789655</v>
      </c>
      <c r="R87" s="7" t="n">
        <f aca="false">(IF(N87&gt;1,N87,1/N87) - 1)*100</f>
        <v>75.8031466612707</v>
      </c>
      <c r="S87" s="7" t="n">
        <f aca="false">(IF(O87&gt;1,O87,1/O87) - 1)*100</f>
        <v>43.5693687678325</v>
      </c>
      <c r="T87" s="9" t="n">
        <f aca="false">(P87+Q87) &lt; (R87+S87)</f>
        <v>1</v>
      </c>
      <c r="U87" s="10" t="n">
        <f aca="false">IF($T87,P87,R87)</f>
        <v>35.8626307537257</v>
      </c>
      <c r="V87" s="11" t="n">
        <f aca="false">IF($T87,Q87,S87)</f>
        <v>44.0890650789655</v>
      </c>
      <c r="W87" s="12" t="n">
        <f aca="false">P87 &lt; R87</f>
        <v>1</v>
      </c>
      <c r="X87" s="10" t="n">
        <f aca="false">IF($W87,P87,R87)</f>
        <v>35.8626307537257</v>
      </c>
      <c r="Y87" s="1" t="n">
        <v>333111</v>
      </c>
      <c r="Z87" s="1" t="s">
        <v>123</v>
      </c>
      <c r="AA87" s="12" t="n">
        <f aca="false">T87=W87</f>
        <v>1</v>
      </c>
    </row>
    <row r="88" customFormat="false" ht="12.8" hidden="false" customHeight="false" outlineLevel="0" collapsed="false">
      <c r="A88" s="1" t="s">
        <v>124</v>
      </c>
      <c r="B88" s="1" t="n">
        <v>333112</v>
      </c>
      <c r="C88" s="1" t="n">
        <v>7131</v>
      </c>
      <c r="D88" s="1" t="n">
        <v>1640</v>
      </c>
      <c r="E88" s="1" t="n">
        <v>748</v>
      </c>
      <c r="F88" s="1" t="n">
        <v>7721</v>
      </c>
      <c r="G88" s="1" t="n">
        <v>1749</v>
      </c>
      <c r="H88" s="1" t="n">
        <v>809</v>
      </c>
      <c r="I88" s="1" t="n">
        <v>7948</v>
      </c>
      <c r="J88" s="1" t="n">
        <v>2768</v>
      </c>
      <c r="K88" s="1" t="n">
        <v>2002</v>
      </c>
      <c r="L88" s="7" t="n">
        <f aca="false">(J88/G88*F88/I88)</f>
        <v>1.53741803138352</v>
      </c>
      <c r="M88" s="7" t="n">
        <f aca="false">(D88/G88*F88/C88)</f>
        <v>1.01525971649244</v>
      </c>
      <c r="N88" s="7" t="n">
        <f aca="false">(K88/H88*F88/I88)</f>
        <v>2.40398218830308</v>
      </c>
      <c r="O88" s="7" t="n">
        <f aca="false">(E88/H88*F88/C88)</f>
        <v>1.001097074543</v>
      </c>
      <c r="P88" s="7" t="n">
        <f aca="false">(IF(L88&gt;1,L88,1/L88) - 1)*100</f>
        <v>53.7418031383524</v>
      </c>
      <c r="Q88" s="7" t="n">
        <f aca="false">(IF(M88&gt;1,M88,1/M88) - 1)*100</f>
        <v>1.52597164924422</v>
      </c>
      <c r="R88" s="7" t="n">
        <f aca="false">(IF(N88&gt;1,N88,1/N88) - 1)*100</f>
        <v>140.398218830308</v>
      </c>
      <c r="S88" s="7" t="n">
        <f aca="false">(IF(O88&gt;1,O88,1/O88) - 1)*100</f>
        <v>0.109707454299968</v>
      </c>
      <c r="T88" s="9" t="n">
        <f aca="false">(P88+Q88) &lt; (R88+S88)</f>
        <v>1</v>
      </c>
      <c r="U88" s="10" t="n">
        <f aca="false">IF($T88,P88,R88)</f>
        <v>53.7418031383524</v>
      </c>
      <c r="V88" s="11" t="n">
        <f aca="false">IF($T88,Q88,S88)</f>
        <v>1.52597164924422</v>
      </c>
      <c r="W88" s="12" t="n">
        <f aca="false">P88 &lt; R88</f>
        <v>1</v>
      </c>
      <c r="X88" s="10" t="n">
        <f aca="false">IF($W88,P88,R88)</f>
        <v>53.7418031383524</v>
      </c>
      <c r="Y88" s="1" t="n">
        <v>333112</v>
      </c>
      <c r="Z88" s="1" t="s">
        <v>124</v>
      </c>
      <c r="AA88" s="12" t="n">
        <f aca="false">T88=W88</f>
        <v>1</v>
      </c>
    </row>
    <row r="89" customFormat="false" ht="12.8" hidden="false" customHeight="false" outlineLevel="0" collapsed="false">
      <c r="A89" s="1" t="s">
        <v>125</v>
      </c>
      <c r="B89" s="1" t="n">
        <v>333120</v>
      </c>
      <c r="C89" s="1" t="n">
        <v>33377</v>
      </c>
      <c r="D89" s="1" t="n">
        <v>10905</v>
      </c>
      <c r="E89" s="1" t="n">
        <v>6414</v>
      </c>
      <c r="F89" s="1" t="n">
        <v>40225</v>
      </c>
      <c r="G89" s="1" t="n">
        <v>15105</v>
      </c>
      <c r="H89" s="1" t="n">
        <v>7445</v>
      </c>
      <c r="I89" s="1" t="n">
        <v>32486</v>
      </c>
      <c r="J89" s="1" t="n">
        <v>12405</v>
      </c>
      <c r="K89" s="1" t="n">
        <v>6412</v>
      </c>
      <c r="L89" s="7" t="n">
        <f aca="false">(J89/G89*F89/I89)</f>
        <v>1.01689439086769</v>
      </c>
      <c r="M89" s="7" t="n">
        <f aca="false">(D89/G89*F89/C89)</f>
        <v>0.870068998093134</v>
      </c>
      <c r="N89" s="7" t="n">
        <f aca="false">(K89/H89*F89/I89)</f>
        <v>1.06642084225609</v>
      </c>
      <c r="O89" s="7" t="n">
        <f aca="false">(E89/H89*F89/C89)</f>
        <v>1.03827645958408</v>
      </c>
      <c r="P89" s="7" t="n">
        <f aca="false">(IF(L89&gt;1,L89,1/L89) - 1)*100</f>
        <v>1.68943908676942</v>
      </c>
      <c r="Q89" s="7" t="n">
        <f aca="false">(IF(M89&gt;1,M89,1/M89) - 1)*100</f>
        <v>14.9334135788801</v>
      </c>
      <c r="R89" s="7" t="n">
        <f aca="false">(IF(N89&gt;1,N89,1/N89) - 1)*100</f>
        <v>6.64208422560866</v>
      </c>
      <c r="S89" s="7" t="n">
        <f aca="false">(IF(O89&gt;1,O89,1/O89) - 1)*100</f>
        <v>3.82764595840832</v>
      </c>
      <c r="T89" s="9" t="n">
        <f aca="false">(P89+Q89) &lt; (R89+S89)</f>
        <v>0</v>
      </c>
      <c r="U89" s="10" t="n">
        <f aca="false">IF($T89,P89,R89)</f>
        <v>6.64208422560866</v>
      </c>
      <c r="V89" s="11" t="n">
        <f aca="false">IF($T89,Q89,S89)</f>
        <v>3.82764595840832</v>
      </c>
      <c r="W89" s="12" t="n">
        <f aca="false">P89 &lt; R89</f>
        <v>1</v>
      </c>
      <c r="X89" s="10" t="n">
        <f aca="false">IF($W89,P89,R89)</f>
        <v>1.68943908676942</v>
      </c>
      <c r="Y89" s="1" t="n">
        <v>333120</v>
      </c>
      <c r="Z89" s="1" t="s">
        <v>125</v>
      </c>
      <c r="AA89" s="12" t="n">
        <f aca="false">T89=W89</f>
        <v>0</v>
      </c>
    </row>
    <row r="90" customFormat="false" ht="12.8" hidden="false" customHeight="false" outlineLevel="0" collapsed="false">
      <c r="A90" s="1" t="s">
        <v>126</v>
      </c>
      <c r="B90" s="1" t="n">
        <v>333130</v>
      </c>
      <c r="C90" s="1" t="n">
        <v>20639</v>
      </c>
      <c r="D90" s="1" t="n">
        <v>7536</v>
      </c>
      <c r="E90" s="1" t="n">
        <v>5955</v>
      </c>
      <c r="F90" s="1" t="n">
        <v>32778</v>
      </c>
      <c r="G90" s="1" t="n">
        <v>12974</v>
      </c>
      <c r="H90" s="1" t="n">
        <v>9752</v>
      </c>
      <c r="I90" s="1" t="n">
        <v>17586</v>
      </c>
      <c r="J90" s="1" t="n">
        <v>6158</v>
      </c>
      <c r="K90" s="1" t="n">
        <v>5349</v>
      </c>
      <c r="L90" s="7" t="n">
        <f aca="false">(J90/G90*F90/I90)</f>
        <v>0.884669741025236</v>
      </c>
      <c r="M90" s="7" t="n">
        <f aca="false">(D90/G90*F90/C90)</f>
        <v>0.922488149977869</v>
      </c>
      <c r="N90" s="7" t="n">
        <f aca="false">(K90/H90*F90/I90)</f>
        <v>1.02233749075328</v>
      </c>
      <c r="O90" s="7" t="n">
        <f aca="false">(E90/H90*F90/C90)</f>
        <v>0.969799315082459</v>
      </c>
      <c r="P90" s="7" t="n">
        <f aca="false">(IF(L90&gt;1,L90,1/L90) - 1)*100</f>
        <v>13.0365325755472</v>
      </c>
      <c r="Q90" s="7" t="n">
        <f aca="false">(IF(M90&gt;1,M90,1/M90) - 1)*100</f>
        <v>8.40247650053718</v>
      </c>
      <c r="R90" s="7" t="n">
        <f aca="false">(IF(N90&gt;1,N90,1/N90) - 1)*100</f>
        <v>2.23374907532812</v>
      </c>
      <c r="S90" s="7" t="n">
        <f aca="false">(IF(O90&gt;1,O90,1/O90) - 1)*100</f>
        <v>3.1141169567616</v>
      </c>
      <c r="T90" s="9" t="n">
        <f aca="false">(P90+Q90) &lt; (R90+S90)</f>
        <v>0</v>
      </c>
      <c r="U90" s="10" t="n">
        <f aca="false">IF($T90,P90,R90)</f>
        <v>2.23374907532812</v>
      </c>
      <c r="V90" s="11" t="n">
        <f aca="false">IF($T90,Q90,S90)</f>
        <v>3.1141169567616</v>
      </c>
      <c r="W90" s="12" t="n">
        <f aca="false">P90 &lt; R90</f>
        <v>0</v>
      </c>
      <c r="X90" s="10" t="n">
        <f aca="false">IF($W90,P90,R90)</f>
        <v>2.23374907532812</v>
      </c>
      <c r="Y90" s="1" t="n">
        <v>333130</v>
      </c>
      <c r="Z90" s="1" t="s">
        <v>126</v>
      </c>
      <c r="AA90" s="12" t="n">
        <f aca="false">T90=W90</f>
        <v>1</v>
      </c>
    </row>
    <row r="91" customFormat="false" ht="12.8" hidden="false" customHeight="false" outlineLevel="0" collapsed="false">
      <c r="A91" s="1" t="s">
        <v>127</v>
      </c>
      <c r="B91" s="1" t="n">
        <v>333242</v>
      </c>
      <c r="C91" s="1" t="n">
        <v>14594</v>
      </c>
      <c r="D91" s="1" t="n">
        <v>4739</v>
      </c>
      <c r="E91" s="1" t="n">
        <v>2834</v>
      </c>
      <c r="F91" s="1" t="n">
        <v>10320</v>
      </c>
      <c r="G91" s="1" t="n">
        <v>4428</v>
      </c>
      <c r="H91" s="1" t="n">
        <v>2548</v>
      </c>
      <c r="I91" s="1" t="n">
        <v>8827</v>
      </c>
      <c r="J91" s="1" t="n">
        <v>5213</v>
      </c>
      <c r="K91" s="1" t="n">
        <v>4183</v>
      </c>
      <c r="L91" s="7" t="n">
        <f aca="false">(J91/G91*F91/I91)</f>
        <v>1.37640640029375</v>
      </c>
      <c r="M91" s="7" t="n">
        <f aca="false">(D91/G91*F91/C91)</f>
        <v>0.756805800208201</v>
      </c>
      <c r="N91" s="7" t="n">
        <f aca="false">(K91/H91*F91/I91)</f>
        <v>1.9193536884388</v>
      </c>
      <c r="O91" s="7" t="n">
        <f aca="false">(E91/H91*F91/C91)</f>
        <v>0.786512768736383</v>
      </c>
      <c r="P91" s="7" t="n">
        <f aca="false">(IF(L91&gt;1,L91,1/L91) - 1)*100</f>
        <v>37.6406400293753</v>
      </c>
      <c r="Q91" s="7" t="n">
        <f aca="false">(IF(M91&gt;1,M91,1/M91) - 1)*100</f>
        <v>32.1342938604455</v>
      </c>
      <c r="R91" s="7" t="n">
        <f aca="false">(IF(N91&gt;1,N91,1/N91) - 1)*100</f>
        <v>91.9353688438801</v>
      </c>
      <c r="S91" s="7" t="n">
        <f aca="false">(IF(O91&gt;1,O91,1/O91) - 1)*100</f>
        <v>27.1435175307588</v>
      </c>
      <c r="T91" s="9" t="n">
        <f aca="false">(P91+Q91) &lt; (R91+S91)</f>
        <v>1</v>
      </c>
      <c r="U91" s="10" t="n">
        <f aca="false">IF($T91,P91,R91)</f>
        <v>37.6406400293753</v>
      </c>
      <c r="V91" s="11" t="n">
        <f aca="false">IF($T91,Q91,S91)</f>
        <v>32.1342938604455</v>
      </c>
      <c r="W91" s="12" t="n">
        <f aca="false">P91 &lt; R91</f>
        <v>1</v>
      </c>
      <c r="X91" s="10" t="n">
        <f aca="false">IF($W91,P91,R91)</f>
        <v>37.6406400293753</v>
      </c>
      <c r="Y91" s="1" t="n">
        <v>333242</v>
      </c>
      <c r="Z91" s="1" t="s">
        <v>127</v>
      </c>
      <c r="AA91" s="12" t="n">
        <f aca="false">T91=W91</f>
        <v>1</v>
      </c>
    </row>
    <row r="92" customFormat="false" ht="12.8" hidden="false" customHeight="false" outlineLevel="0" collapsed="false">
      <c r="A92" s="1" t="s">
        <v>128</v>
      </c>
      <c r="B92" s="1" t="s">
        <v>129</v>
      </c>
      <c r="C92" s="1" t="n">
        <v>26160</v>
      </c>
      <c r="D92" s="1" t="n">
        <v>9751</v>
      </c>
      <c r="E92" s="1" t="n">
        <v>6736</v>
      </c>
      <c r="F92" s="1" t="n">
        <v>22774</v>
      </c>
      <c r="G92" s="1" t="n">
        <v>9112</v>
      </c>
      <c r="H92" s="1" t="n">
        <v>5430</v>
      </c>
      <c r="I92" s="1" t="n">
        <v>31444</v>
      </c>
      <c r="J92" s="1" t="n">
        <v>11854</v>
      </c>
      <c r="K92" s="1" t="n">
        <v>7868</v>
      </c>
      <c r="L92" s="7" t="n">
        <f aca="false">(J92/G92*F92/I92)</f>
        <v>0.942220915558845</v>
      </c>
      <c r="M92" s="7" t="n">
        <f aca="false">(D92/G92*F92/C92)</f>
        <v>0.931616178752755</v>
      </c>
      <c r="N92" s="7" t="n">
        <f aca="false">(K92/H92*F92/I92)</f>
        <v>1.04946038711751</v>
      </c>
      <c r="O92" s="7" t="n">
        <f aca="false">(E92/H92*F92/C92)</f>
        <v>1.07995043956725</v>
      </c>
      <c r="P92" s="7" t="n">
        <f aca="false">(IF(L92&gt;1,L92,1/L92) - 1)*100</f>
        <v>6.13222265469302</v>
      </c>
      <c r="Q92" s="7" t="n">
        <f aca="false">(IF(M92&gt;1,M92,1/M92) - 1)*100</f>
        <v>7.34034281572877</v>
      </c>
      <c r="R92" s="7" t="n">
        <f aca="false">(IF(N92&gt;1,N92,1/N92) - 1)*100</f>
        <v>4.94603871175112</v>
      </c>
      <c r="S92" s="7" t="n">
        <f aca="false">(IF(O92&gt;1,O92,1/O92) - 1)*100</f>
        <v>7.99504395672472</v>
      </c>
      <c r="T92" s="9" t="n">
        <f aca="false">(P92+Q92) &lt; (R92+S92)</f>
        <v>0</v>
      </c>
      <c r="U92" s="10" t="n">
        <f aca="false">IF($T92,P92,R92)</f>
        <v>4.94603871175112</v>
      </c>
      <c r="V92" s="11" t="n">
        <f aca="false">IF($T92,Q92,S92)</f>
        <v>7.99504395672472</v>
      </c>
      <c r="W92" s="12" t="n">
        <f aca="false">P92 &lt; R92</f>
        <v>0</v>
      </c>
      <c r="X92" s="10" t="n">
        <f aca="false">IF($W92,P92,R92)</f>
        <v>4.94603871175112</v>
      </c>
      <c r="Y92" s="1" t="s">
        <v>129</v>
      </c>
      <c r="Z92" s="1" t="s">
        <v>128</v>
      </c>
      <c r="AA92" s="12" t="n">
        <f aca="false">T92=W92</f>
        <v>1</v>
      </c>
    </row>
    <row r="93" customFormat="false" ht="12.8" hidden="false" customHeight="false" outlineLevel="0" collapsed="false">
      <c r="A93" s="1" t="s">
        <v>130</v>
      </c>
      <c r="B93" s="1" t="n">
        <v>333314</v>
      </c>
      <c r="C93" s="1" t="n">
        <v>4470</v>
      </c>
      <c r="D93" s="1" t="n">
        <v>2321</v>
      </c>
      <c r="E93" s="1" t="n">
        <v>2217</v>
      </c>
      <c r="F93" s="1" t="n">
        <v>5445</v>
      </c>
      <c r="G93" s="1" t="n">
        <v>2644</v>
      </c>
      <c r="H93" s="1" t="n">
        <v>2515</v>
      </c>
      <c r="I93" s="1" t="n">
        <v>4912</v>
      </c>
      <c r="J93" s="1" t="n">
        <v>2220</v>
      </c>
      <c r="K93" s="1" t="n">
        <v>2153</v>
      </c>
      <c r="L93" s="7" t="n">
        <f aca="false">(J93/G93*F93/I93)</f>
        <v>0.930745723831723</v>
      </c>
      <c r="M93" s="7" t="n">
        <f aca="false">(D93/G93*F93/C93)</f>
        <v>1.06931103981155</v>
      </c>
      <c r="N93" s="7" t="n">
        <f aca="false">(K93/H93*F93/I93)</f>
        <v>0.948954886317276</v>
      </c>
      <c r="O93" s="7" t="n">
        <f aca="false">(E93/H93*F93/C93)</f>
        <v>1.07378680934527</v>
      </c>
      <c r="P93" s="7" t="n">
        <f aca="false">(IF(L93&gt;1,L93,1/L93) - 1)*100</f>
        <v>7.44072998618455</v>
      </c>
      <c r="Q93" s="7" t="n">
        <f aca="false">(IF(M93&gt;1,M93,1/M93) - 1)*100</f>
        <v>6.93110398115526</v>
      </c>
      <c r="R93" s="7" t="n">
        <f aca="false">(IF(N93&gt;1,N93,1/N93) - 1)*100</f>
        <v>5.37908750128486</v>
      </c>
      <c r="S93" s="7" t="n">
        <f aca="false">(IF(O93&gt;1,O93,1/O93) - 1)*100</f>
        <v>7.37868093452707</v>
      </c>
      <c r="T93" s="9" t="n">
        <f aca="false">(P93+Q93) &lt; (R93+S93)</f>
        <v>0</v>
      </c>
      <c r="U93" s="10" t="n">
        <f aca="false">IF($T93,P93,R93)</f>
        <v>5.37908750128486</v>
      </c>
      <c r="V93" s="11" t="n">
        <f aca="false">IF($T93,Q93,S93)</f>
        <v>7.37868093452707</v>
      </c>
      <c r="W93" s="12" t="n">
        <f aca="false">P93 &lt; R93</f>
        <v>0</v>
      </c>
      <c r="X93" s="10" t="n">
        <f aca="false">IF($W93,P93,R93)</f>
        <v>5.37908750128486</v>
      </c>
      <c r="Y93" s="1" t="n">
        <v>333314</v>
      </c>
      <c r="Z93" s="1" t="s">
        <v>130</v>
      </c>
      <c r="AA93" s="12" t="n">
        <f aca="false">T93=W93</f>
        <v>1</v>
      </c>
    </row>
    <row r="94" customFormat="false" ht="12.8" hidden="false" customHeight="false" outlineLevel="0" collapsed="false">
      <c r="A94" s="1" t="s">
        <v>131</v>
      </c>
      <c r="B94" s="1" t="n">
        <v>333316</v>
      </c>
      <c r="C94" s="1" t="n">
        <v>2418</v>
      </c>
      <c r="D94" s="1" t="n">
        <v>1583</v>
      </c>
      <c r="E94" s="1" t="n">
        <v>1284</v>
      </c>
      <c r="F94" s="1" t="n">
        <v>2470</v>
      </c>
      <c r="G94" s="1" t="n">
        <v>923</v>
      </c>
      <c r="H94" s="1" t="n">
        <v>693</v>
      </c>
      <c r="I94" s="1" t="n">
        <v>1645</v>
      </c>
      <c r="J94" s="1" t="n">
        <v>773</v>
      </c>
      <c r="K94" s="1" t="n">
        <v>704</v>
      </c>
      <c r="L94" s="7" t="n">
        <f aca="false">(J94/G94*F94/I94)</f>
        <v>1.25750246157798</v>
      </c>
      <c r="M94" s="7" t="n">
        <f aca="false">(D94/G94*F94/C94)</f>
        <v>1.75194259019793</v>
      </c>
      <c r="N94" s="7" t="n">
        <f aca="false">(K94/H94*F94/I94)</f>
        <v>1.52535340377286</v>
      </c>
      <c r="O94" s="7" t="n">
        <f aca="false">(E94/H94*F94/C94)</f>
        <v>1.89265931201415</v>
      </c>
      <c r="P94" s="7" t="n">
        <f aca="false">(IF(L94&gt;1,L94,1/L94) - 1)*100</f>
        <v>25.7502461577979</v>
      </c>
      <c r="Q94" s="7" t="n">
        <f aca="false">(IF(M94&gt;1,M94,1/M94) - 1)*100</f>
        <v>75.1942590197929</v>
      </c>
      <c r="R94" s="7" t="n">
        <f aca="false">(IF(N94&gt;1,N94,1/N94) - 1)*100</f>
        <v>52.5353403772856</v>
      </c>
      <c r="S94" s="7" t="n">
        <f aca="false">(IF(O94&gt;1,O94,1/O94) - 1)*100</f>
        <v>89.2659312014151</v>
      </c>
      <c r="T94" s="9" t="n">
        <f aca="false">(P94+Q94) &lt; (R94+S94)</f>
        <v>1</v>
      </c>
      <c r="U94" s="10" t="n">
        <f aca="false">IF($T94,P94,R94)</f>
        <v>25.7502461577979</v>
      </c>
      <c r="V94" s="11" t="n">
        <f aca="false">IF($T94,Q94,S94)</f>
        <v>75.1942590197929</v>
      </c>
      <c r="W94" s="12" t="n">
        <f aca="false">P94 &lt; R94</f>
        <v>1</v>
      </c>
      <c r="X94" s="10" t="n">
        <f aca="false">IF($W94,P94,R94)</f>
        <v>25.7502461577979</v>
      </c>
      <c r="Y94" s="1" t="n">
        <v>333316</v>
      </c>
      <c r="Z94" s="1" t="s">
        <v>131</v>
      </c>
      <c r="AA94" s="12" t="n">
        <f aca="false">T94=W94</f>
        <v>1</v>
      </c>
    </row>
    <row r="95" customFormat="false" ht="12.8" hidden="false" customHeight="false" outlineLevel="0" collapsed="false">
      <c r="A95" s="1" t="s">
        <v>132</v>
      </c>
      <c r="B95" s="1" t="n">
        <v>333318</v>
      </c>
      <c r="C95" s="1" t="n">
        <v>18336</v>
      </c>
      <c r="D95" s="1" t="n">
        <v>7219</v>
      </c>
      <c r="E95" s="1" t="n">
        <v>4596</v>
      </c>
      <c r="F95" s="1" t="n">
        <v>19195</v>
      </c>
      <c r="G95" s="1" t="n">
        <v>8090</v>
      </c>
      <c r="H95" s="1" t="n">
        <v>4652</v>
      </c>
      <c r="I95" s="1" t="n">
        <v>19850</v>
      </c>
      <c r="J95" s="1" t="n">
        <v>7994</v>
      </c>
      <c r="K95" s="1" t="n">
        <v>5428</v>
      </c>
      <c r="L95" s="7" t="n">
        <f aca="false">(J95/G95*F95/I95)</f>
        <v>0.955527581708301</v>
      </c>
      <c r="M95" s="7" t="n">
        <f aca="false">(D95/G95*F95/C95)</f>
        <v>0.934140144847344</v>
      </c>
      <c r="N95" s="7" t="n">
        <f aca="false">(K95/H95*F95/I95)</f>
        <v>1.12830818412384</v>
      </c>
      <c r="O95" s="7" t="n">
        <f aca="false">(E95/H95*F95/C95)</f>
        <v>1.03424595287508</v>
      </c>
      <c r="P95" s="7" t="n">
        <f aca="false">(IF(L95&gt;1,L95,1/L95) - 1)*100</f>
        <v>4.65422653861978</v>
      </c>
      <c r="Q95" s="7" t="n">
        <f aca="false">(IF(M95&gt;1,M95,1/M95) - 1)*100</f>
        <v>7.05031846837279</v>
      </c>
      <c r="R95" s="7" t="n">
        <f aca="false">(IF(N95&gt;1,N95,1/N95) - 1)*100</f>
        <v>12.8308184123835</v>
      </c>
      <c r="S95" s="7" t="n">
        <f aca="false">(IF(O95&gt;1,O95,1/O95) - 1)*100</f>
        <v>3.42459528750794</v>
      </c>
      <c r="T95" s="9" t="n">
        <f aca="false">(P95+Q95) &lt; (R95+S95)</f>
        <v>1</v>
      </c>
      <c r="U95" s="10" t="n">
        <f aca="false">IF($T95,P95,R95)</f>
        <v>4.65422653861978</v>
      </c>
      <c r="V95" s="11" t="n">
        <f aca="false">IF($T95,Q95,S95)</f>
        <v>7.05031846837279</v>
      </c>
      <c r="W95" s="12" t="n">
        <f aca="false">P95 &lt; R95</f>
        <v>1</v>
      </c>
      <c r="X95" s="10" t="n">
        <f aca="false">IF($W95,P95,R95)</f>
        <v>4.65422653861978</v>
      </c>
      <c r="Y95" s="1" t="n">
        <v>333318</v>
      </c>
      <c r="Z95" s="1" t="s">
        <v>132</v>
      </c>
      <c r="AA95" s="12" t="n">
        <f aca="false">T95=W95</f>
        <v>1</v>
      </c>
    </row>
    <row r="96" customFormat="false" ht="12.8" hidden="false" customHeight="false" outlineLevel="0" collapsed="false">
      <c r="A96" s="1" t="s">
        <v>133</v>
      </c>
      <c r="B96" s="1" t="n">
        <v>333414</v>
      </c>
      <c r="C96" s="1" t="n">
        <v>4947</v>
      </c>
      <c r="D96" s="1" t="n">
        <v>1699</v>
      </c>
      <c r="E96" s="1" t="n">
        <v>987</v>
      </c>
      <c r="F96" s="1" t="n">
        <v>4950</v>
      </c>
      <c r="G96" s="1" t="n">
        <v>2051</v>
      </c>
      <c r="H96" s="1" t="n">
        <v>1054</v>
      </c>
      <c r="I96" s="1" t="n">
        <v>4453</v>
      </c>
      <c r="J96" s="1" t="n">
        <v>1878</v>
      </c>
      <c r="K96" s="1" t="n">
        <v>1003</v>
      </c>
      <c r="L96" s="7" t="n">
        <f aca="false">(J96/G96*F96/I96)</f>
        <v>1.0178468369403</v>
      </c>
      <c r="M96" s="7" t="n">
        <f aca="false">(D96/G96*F96/C96)</f>
        <v>0.828878752514341</v>
      </c>
      <c r="N96" s="7" t="n">
        <f aca="false">(K96/H96*F96/I96)</f>
        <v>1.05782256253486</v>
      </c>
      <c r="O96" s="7" t="n">
        <f aca="false">(E96/H96*F96/C96)</f>
        <v>0.937000516672171</v>
      </c>
      <c r="P96" s="7" t="n">
        <f aca="false">(IF(L96&gt;1,L96,1/L96) - 1)*100</f>
        <v>1.7846836940304</v>
      </c>
      <c r="Q96" s="7" t="n">
        <f aca="false">(IF(M96&gt;1,M96,1/M96) - 1)*100</f>
        <v>20.6449069862843</v>
      </c>
      <c r="R96" s="7" t="n">
        <f aca="false">(IF(N96&gt;1,N96,1/N96) - 1)*100</f>
        <v>5.78225625348625</v>
      </c>
      <c r="S96" s="7" t="n">
        <f aca="false">(IF(O96&gt;1,O96,1/O96) - 1)*100</f>
        <v>6.72352706395261</v>
      </c>
      <c r="T96" s="9" t="n">
        <f aca="false">(P96+Q96) &lt; (R96+S96)</f>
        <v>0</v>
      </c>
      <c r="U96" s="10" t="n">
        <f aca="false">IF($T96,P96,R96)</f>
        <v>5.78225625348625</v>
      </c>
      <c r="V96" s="11" t="n">
        <f aca="false">IF($T96,Q96,S96)</f>
        <v>6.72352706395261</v>
      </c>
      <c r="W96" s="12" t="n">
        <f aca="false">P96 &lt; R96</f>
        <v>1</v>
      </c>
      <c r="X96" s="10" t="n">
        <f aca="false">IF($W96,P96,R96)</f>
        <v>1.7846836940304</v>
      </c>
      <c r="Y96" s="1" t="n">
        <v>333414</v>
      </c>
      <c r="Z96" s="1" t="s">
        <v>133</v>
      </c>
      <c r="AA96" s="12" t="n">
        <f aca="false">T96=W96</f>
        <v>0</v>
      </c>
    </row>
    <row r="97" customFormat="false" ht="12.8" hidden="false" customHeight="false" outlineLevel="0" collapsed="false">
      <c r="A97" s="1" t="s">
        <v>134</v>
      </c>
      <c r="B97" s="1" t="n">
        <v>333415</v>
      </c>
      <c r="C97" s="1" t="n">
        <v>30259</v>
      </c>
      <c r="D97" s="1" t="n">
        <v>10559</v>
      </c>
      <c r="E97" s="1" t="n">
        <v>6078</v>
      </c>
      <c r="F97" s="1" t="n">
        <v>30449</v>
      </c>
      <c r="G97" s="1" t="n">
        <v>11749</v>
      </c>
      <c r="H97" s="1" t="n">
        <v>5751</v>
      </c>
      <c r="I97" s="1" t="n">
        <v>33255</v>
      </c>
      <c r="J97" s="1" t="n">
        <v>12968</v>
      </c>
      <c r="K97" s="1" t="n">
        <v>6400</v>
      </c>
      <c r="L97" s="7" t="n">
        <f aca="false">(J97/G97*F97/I97)</f>
        <v>1.01062067822955</v>
      </c>
      <c r="M97" s="7" t="n">
        <f aca="false">(D97/G97*F97/C97)</f>
        <v>0.904357925418259</v>
      </c>
      <c r="N97" s="7" t="n">
        <f aca="false">(K97/H97*F97/I97)</f>
        <v>1.0189495653858</v>
      </c>
      <c r="O97" s="7" t="n">
        <f aca="false">(E97/H97*F97/C97)</f>
        <v>1.06349582907972</v>
      </c>
      <c r="P97" s="7" t="n">
        <f aca="false">(IF(L97&gt;1,L97,1/L97) - 1)*100</f>
        <v>1.0620678229553</v>
      </c>
      <c r="Q97" s="7" t="n">
        <f aca="false">(IF(M97&gt;1,M97,1/M97) - 1)*100</f>
        <v>10.5756882196292</v>
      </c>
      <c r="R97" s="7" t="n">
        <f aca="false">(IF(N97&gt;1,N97,1/N97) - 1)*100</f>
        <v>1.89495653858032</v>
      </c>
      <c r="S97" s="7" t="n">
        <f aca="false">(IF(O97&gt;1,O97,1/O97) - 1)*100</f>
        <v>6.34958290797156</v>
      </c>
      <c r="T97" s="9" t="n">
        <f aca="false">(P97+Q97) &lt; (R97+S97)</f>
        <v>0</v>
      </c>
      <c r="U97" s="10" t="n">
        <f aca="false">IF($T97,P97,R97)</f>
        <v>1.89495653858032</v>
      </c>
      <c r="V97" s="11" t="n">
        <f aca="false">IF($T97,Q97,S97)</f>
        <v>6.34958290797156</v>
      </c>
      <c r="W97" s="12" t="n">
        <f aca="false">P97 &lt; R97</f>
        <v>1</v>
      </c>
      <c r="X97" s="10" t="n">
        <f aca="false">IF($W97,P97,R97)</f>
        <v>1.0620678229553</v>
      </c>
      <c r="Y97" s="1" t="n">
        <v>333415</v>
      </c>
      <c r="Z97" s="1" t="s">
        <v>134</v>
      </c>
      <c r="AA97" s="12" t="n">
        <f aca="false">T97=W97</f>
        <v>0</v>
      </c>
    </row>
    <row r="98" customFormat="false" ht="12.8" hidden="false" customHeight="false" outlineLevel="0" collapsed="false">
      <c r="A98" s="1" t="s">
        <v>135</v>
      </c>
      <c r="B98" s="1" t="n">
        <v>333413</v>
      </c>
      <c r="C98" s="1" t="n">
        <v>5530</v>
      </c>
      <c r="D98" s="1" t="n">
        <v>2465</v>
      </c>
      <c r="E98" s="1" t="n">
        <v>1825</v>
      </c>
      <c r="F98" s="1" t="n">
        <v>6116</v>
      </c>
      <c r="G98" s="1" t="n">
        <v>2414</v>
      </c>
      <c r="H98" s="1" t="n">
        <v>1654</v>
      </c>
      <c r="I98" s="1" t="n">
        <v>6028</v>
      </c>
      <c r="J98" s="1" t="n">
        <v>2531</v>
      </c>
      <c r="K98" s="1" t="n">
        <v>2057</v>
      </c>
      <c r="L98" s="7" t="n">
        <f aca="false">(J98/G98*F98/I98)</f>
        <v>1.06377336582829</v>
      </c>
      <c r="M98" s="7" t="n">
        <f aca="false">(D98/G98*F98/C98)</f>
        <v>1.12933295978402</v>
      </c>
      <c r="N98" s="7" t="n">
        <f aca="false">(K98/H98*F98/I98)</f>
        <v>1.26180725337382</v>
      </c>
      <c r="O98" s="7" t="n">
        <f aca="false">(E98/H98*F98/C98)</f>
        <v>1.22030870419893</v>
      </c>
      <c r="P98" s="7" t="n">
        <f aca="false">(IF(L98&gt;1,L98,1/L98) - 1)*100</f>
        <v>6.37733658282889</v>
      </c>
      <c r="Q98" s="7" t="n">
        <f aca="false">(IF(M98&gt;1,M98,1/M98) - 1)*100</f>
        <v>12.9332959784021</v>
      </c>
      <c r="R98" s="7" t="n">
        <f aca="false">(IF(N98&gt;1,N98,1/N98) - 1)*100</f>
        <v>26.1807253373816</v>
      </c>
      <c r="S98" s="7" t="n">
        <f aca="false">(IF(O98&gt;1,O98,1/O98) - 1)*100</f>
        <v>22.0308704198928</v>
      </c>
      <c r="T98" s="9" t="n">
        <f aca="false">(P98+Q98) &lt; (R98+S98)</f>
        <v>1</v>
      </c>
      <c r="U98" s="10" t="n">
        <f aca="false">IF($T98,P98,R98)</f>
        <v>6.37733658282889</v>
      </c>
      <c r="V98" s="11" t="n">
        <f aca="false">IF($T98,Q98,S98)</f>
        <v>12.9332959784021</v>
      </c>
      <c r="W98" s="12" t="n">
        <f aca="false">P98 &lt; R98</f>
        <v>1</v>
      </c>
      <c r="X98" s="10" t="n">
        <f aca="false">IF($W98,P98,R98)</f>
        <v>6.37733658282889</v>
      </c>
      <c r="Y98" s="1" t="n">
        <v>333413</v>
      </c>
      <c r="Z98" s="1" t="s">
        <v>135</v>
      </c>
      <c r="AA98" s="12" t="n">
        <f aca="false">T98=W98</f>
        <v>1</v>
      </c>
    </row>
    <row r="99" customFormat="false" ht="12.8" hidden="false" customHeight="false" outlineLevel="0" collapsed="false">
      <c r="A99" s="1" t="s">
        <v>136</v>
      </c>
      <c r="B99" s="1" t="n">
        <v>333511</v>
      </c>
      <c r="C99" s="1" t="n">
        <v>5782</v>
      </c>
      <c r="D99" s="1" t="n">
        <v>2837</v>
      </c>
      <c r="E99" s="1" t="n">
        <v>2472</v>
      </c>
      <c r="F99" s="1" t="n">
        <v>6316</v>
      </c>
      <c r="G99" s="1" t="n">
        <v>2999</v>
      </c>
      <c r="H99" s="1" t="n">
        <v>2518</v>
      </c>
      <c r="I99" s="1" t="n">
        <v>6595</v>
      </c>
      <c r="J99" s="1" t="n">
        <v>3021</v>
      </c>
      <c r="K99" s="1" t="n">
        <v>2714</v>
      </c>
      <c r="L99" s="7" t="n">
        <f aca="false">(J99/G99*F99/I99)</f>
        <v>0.964720663774455</v>
      </c>
      <c r="M99" s="7" t="n">
        <f aca="false">(D99/G99*F99/C99)</f>
        <v>1.03334871568512</v>
      </c>
      <c r="N99" s="7" t="n">
        <f aca="false">(K99/H99*F99/I99)</f>
        <v>1.03224179388313</v>
      </c>
      <c r="O99" s="7" t="n">
        <f aca="false">(E99/H99*F99/C99)</f>
        <v>1.07239992428091</v>
      </c>
      <c r="P99" s="7" t="n">
        <f aca="false">(IF(L99&gt;1,L99,1/L99) - 1)*100</f>
        <v>3.65694833233023</v>
      </c>
      <c r="Q99" s="7" t="n">
        <f aca="false">(IF(M99&gt;1,M99,1/M99) - 1)*100</f>
        <v>3.334871568512</v>
      </c>
      <c r="R99" s="7" t="n">
        <f aca="false">(IF(N99&gt;1,N99,1/N99) - 1)*100</f>
        <v>3.22417938831316</v>
      </c>
      <c r="S99" s="7" t="n">
        <f aca="false">(IF(O99&gt;1,O99,1/O99) - 1)*100</f>
        <v>7.2399924280909</v>
      </c>
      <c r="T99" s="9" t="n">
        <f aca="false">(P99+Q99) &lt; (R99+S99)</f>
        <v>1</v>
      </c>
      <c r="U99" s="10" t="n">
        <f aca="false">IF($T99,P99,R99)</f>
        <v>3.65694833233023</v>
      </c>
      <c r="V99" s="11" t="n">
        <f aca="false">IF($T99,Q99,S99)</f>
        <v>3.334871568512</v>
      </c>
      <c r="W99" s="12" t="n">
        <f aca="false">P99 &lt; R99</f>
        <v>0</v>
      </c>
      <c r="X99" s="10" t="n">
        <f aca="false">IF($W99,P99,R99)</f>
        <v>3.22417938831316</v>
      </c>
      <c r="Y99" s="1" t="n">
        <v>333511</v>
      </c>
      <c r="Z99" s="1" t="s">
        <v>136</v>
      </c>
      <c r="AA99" s="12" t="n">
        <f aca="false">T99=W99</f>
        <v>0</v>
      </c>
    </row>
    <row r="100" customFormat="false" ht="12.8" hidden="false" customHeight="false" outlineLevel="0" collapsed="false">
      <c r="A100" s="1" t="s">
        <v>137</v>
      </c>
      <c r="B100" s="1" t="n">
        <v>333514</v>
      </c>
      <c r="C100" s="1" t="n">
        <v>7817</v>
      </c>
      <c r="D100" s="1" t="n">
        <v>3690</v>
      </c>
      <c r="E100" s="1" t="n">
        <v>3514</v>
      </c>
      <c r="F100" s="1" t="n">
        <v>7502</v>
      </c>
      <c r="G100" s="1" t="n">
        <v>4208</v>
      </c>
      <c r="H100" s="1" t="n">
        <v>3994</v>
      </c>
      <c r="I100" s="1" t="n">
        <v>9465</v>
      </c>
      <c r="J100" s="1" t="n">
        <v>4939</v>
      </c>
      <c r="K100" s="1" t="n">
        <v>4659</v>
      </c>
      <c r="L100" s="7" t="n">
        <f aca="false">(J100/G100*F100/I100)</f>
        <v>0.930292964473877</v>
      </c>
      <c r="M100" s="7" t="n">
        <f aca="false">(D100/G100*F100/C100)</f>
        <v>0.841564840400979</v>
      </c>
      <c r="N100" s="7" t="n">
        <f aca="false">(K100/H100*F100/I100)</f>
        <v>0.924572754535924</v>
      </c>
      <c r="O100" s="7" t="n">
        <f aca="false">(E100/H100*F100/C100)</f>
        <v>0.844365819549332</v>
      </c>
      <c r="P100" s="7" t="n">
        <f aca="false">(IF(L100&gt;1,L100,1/L100) - 1)*100</f>
        <v>7.49301974626297</v>
      </c>
      <c r="Q100" s="7" t="n">
        <f aca="false">(IF(M100&gt;1,M100,1/M100) - 1)*100</f>
        <v>18.826256990909</v>
      </c>
      <c r="R100" s="7" t="n">
        <f aca="false">(IF(N100&gt;1,N100,1/N100) - 1)*100</f>
        <v>8.15806491095827</v>
      </c>
      <c r="S100" s="7" t="n">
        <f aca="false">(IF(O100&gt;1,O100,1/O100) - 1)*100</f>
        <v>18.4320796563906</v>
      </c>
      <c r="T100" s="9" t="n">
        <f aca="false">(P100+Q100) &lt; (R100+S100)</f>
        <v>1</v>
      </c>
      <c r="U100" s="10" t="n">
        <f aca="false">IF($T100,P100,R100)</f>
        <v>7.49301974626297</v>
      </c>
      <c r="V100" s="11" t="n">
        <f aca="false">IF($T100,Q100,S100)</f>
        <v>18.826256990909</v>
      </c>
      <c r="W100" s="12" t="n">
        <f aca="false">P100 &lt; R100</f>
        <v>1</v>
      </c>
      <c r="X100" s="10" t="n">
        <f aca="false">IF($W100,P100,R100)</f>
        <v>7.49301974626297</v>
      </c>
      <c r="Y100" s="1" t="n">
        <v>333514</v>
      </c>
      <c r="Z100" s="1" t="s">
        <v>137</v>
      </c>
      <c r="AA100" s="12" t="n">
        <f aca="false">T100=W100</f>
        <v>1</v>
      </c>
    </row>
    <row r="101" customFormat="false" ht="12.8" hidden="false" customHeight="false" outlineLevel="0" collapsed="false">
      <c r="A101" s="1" t="s">
        <v>138</v>
      </c>
      <c r="B101" s="1" t="n">
        <v>333517</v>
      </c>
      <c r="C101" s="1" t="n">
        <v>6590</v>
      </c>
      <c r="D101" s="1" t="n">
        <v>3013</v>
      </c>
      <c r="E101" s="1" t="n">
        <v>2448</v>
      </c>
      <c r="F101" s="1" t="n">
        <v>8111</v>
      </c>
      <c r="G101" s="1" t="n">
        <v>2979</v>
      </c>
      <c r="H101" s="1" t="n">
        <v>2352</v>
      </c>
      <c r="I101" s="1" t="n">
        <v>7891</v>
      </c>
      <c r="J101" s="1" t="n">
        <v>3407</v>
      </c>
      <c r="K101" s="1" t="n">
        <v>3127</v>
      </c>
      <c r="L101" s="7" t="n">
        <f aca="false">(J101/G101*F101/I101)</f>
        <v>1.17555780251819</v>
      </c>
      <c r="M101" s="7" t="n">
        <f aca="false">(D101/G101*F101/C101)</f>
        <v>1.24485169581099</v>
      </c>
      <c r="N101" s="7" t="n">
        <f aca="false">(K101/H101*F101/I101)</f>
        <v>1.36657327041829</v>
      </c>
      <c r="O101" s="7" t="n">
        <f aca="false">(E101/H101*F101/C101)</f>
        <v>1.28104115697872</v>
      </c>
      <c r="P101" s="7" t="n">
        <f aca="false">(IF(L101&gt;1,L101,1/L101) - 1)*100</f>
        <v>17.5557802518189</v>
      </c>
      <c r="Q101" s="7" t="n">
        <f aca="false">(IF(M101&gt;1,M101,1/M101) - 1)*100</f>
        <v>24.4851695810991</v>
      </c>
      <c r="R101" s="7" t="n">
        <f aca="false">(IF(N101&gt;1,N101,1/N101) - 1)*100</f>
        <v>36.6573270418293</v>
      </c>
      <c r="S101" s="7" t="n">
        <f aca="false">(IF(O101&gt;1,O101,1/O101) - 1)*100</f>
        <v>28.1041156978725</v>
      </c>
      <c r="T101" s="9" t="n">
        <f aca="false">(P101+Q101) &lt; (R101+S101)</f>
        <v>1</v>
      </c>
      <c r="U101" s="10" t="n">
        <f aca="false">IF($T101,P101,R101)</f>
        <v>17.5557802518189</v>
      </c>
      <c r="V101" s="11" t="n">
        <f aca="false">IF($T101,Q101,S101)</f>
        <v>24.4851695810991</v>
      </c>
      <c r="W101" s="12" t="n">
        <f aca="false">P101 &lt; R101</f>
        <v>1</v>
      </c>
      <c r="X101" s="10" t="n">
        <f aca="false">IF($W101,P101,R101)</f>
        <v>17.5557802518189</v>
      </c>
      <c r="Y101" s="1" t="n">
        <v>333517</v>
      </c>
      <c r="Z101" s="1" t="s">
        <v>138</v>
      </c>
      <c r="AA101" s="12" t="n">
        <f aca="false">T101=W101</f>
        <v>1</v>
      </c>
    </row>
    <row r="102" customFormat="false" ht="12.8" hidden="false" customHeight="false" outlineLevel="0" collapsed="false">
      <c r="A102" s="1" t="s">
        <v>139</v>
      </c>
      <c r="B102" s="1" t="s">
        <v>140</v>
      </c>
      <c r="C102" s="1" t="n">
        <v>8378</v>
      </c>
      <c r="D102" s="1" t="n">
        <v>3436</v>
      </c>
      <c r="E102" s="1" t="n">
        <v>2660</v>
      </c>
      <c r="F102" s="1" t="n">
        <v>8684</v>
      </c>
      <c r="G102" s="1" t="n">
        <v>3698</v>
      </c>
      <c r="H102" s="1" t="n">
        <v>2653</v>
      </c>
      <c r="I102" s="1" t="n">
        <v>8983</v>
      </c>
      <c r="J102" s="1" t="n">
        <v>3619</v>
      </c>
      <c r="K102" s="1" t="n">
        <v>2869</v>
      </c>
      <c r="L102" s="7" t="n">
        <f aca="false">(J102/G102*F102/I102)</f>
        <v>0.94606307316741</v>
      </c>
      <c r="M102" s="7" t="n">
        <f aca="false">(D102/G102*F102/C102)</f>
        <v>0.963087413389597</v>
      </c>
      <c r="N102" s="7" t="n">
        <f aca="false">(K102/H102*F102/I102)</f>
        <v>1.04542218813532</v>
      </c>
      <c r="O102" s="7" t="n">
        <f aca="false">(E102/H102*F102/C102)</f>
        <v>1.0392591225543</v>
      </c>
      <c r="P102" s="7" t="n">
        <f aca="false">(IF(L102&gt;1,L102,1/L102) - 1)*100</f>
        <v>5.70119777025115</v>
      </c>
      <c r="Q102" s="7" t="n">
        <f aca="false">(IF(M102&gt;1,M102,1/M102) - 1)*100</f>
        <v>3.83273481692477</v>
      </c>
      <c r="R102" s="7" t="n">
        <f aca="false">(IF(N102&gt;1,N102,1/N102) - 1)*100</f>
        <v>4.54221881353223</v>
      </c>
      <c r="S102" s="7" t="n">
        <f aca="false">(IF(O102&gt;1,O102,1/O102) - 1)*100</f>
        <v>3.92591225542962</v>
      </c>
      <c r="T102" s="9" t="n">
        <f aca="false">(P102+Q102) &lt; (R102+S102)</f>
        <v>0</v>
      </c>
      <c r="U102" s="10" t="n">
        <f aca="false">IF($T102,P102,R102)</f>
        <v>4.54221881353223</v>
      </c>
      <c r="V102" s="11" t="n">
        <f aca="false">IF($T102,Q102,S102)</f>
        <v>3.92591225542962</v>
      </c>
      <c r="W102" s="12" t="n">
        <f aca="false">P102 &lt; R102</f>
        <v>0</v>
      </c>
      <c r="X102" s="10" t="n">
        <f aca="false">IF($W102,P102,R102)</f>
        <v>4.54221881353223</v>
      </c>
      <c r="Y102" s="1" t="s">
        <v>140</v>
      </c>
      <c r="Z102" s="1" t="s">
        <v>139</v>
      </c>
      <c r="AA102" s="12" t="n">
        <f aca="false">T102=W102</f>
        <v>1</v>
      </c>
    </row>
    <row r="103" customFormat="false" ht="12.8" hidden="false" customHeight="false" outlineLevel="0" collapsed="false">
      <c r="A103" s="1" t="s">
        <v>141</v>
      </c>
      <c r="B103" s="1" t="n">
        <v>333611</v>
      </c>
      <c r="C103" s="1" t="n">
        <v>9583</v>
      </c>
      <c r="D103" s="1" t="n">
        <v>4210</v>
      </c>
      <c r="E103" s="1" t="n">
        <v>2474</v>
      </c>
      <c r="F103" s="1" t="n">
        <v>17058</v>
      </c>
      <c r="G103" s="1" t="n">
        <v>6020</v>
      </c>
      <c r="H103" s="1" t="n">
        <v>3133</v>
      </c>
      <c r="I103" s="1" t="n">
        <v>12997</v>
      </c>
      <c r="J103" s="1" t="n">
        <v>5513</v>
      </c>
      <c r="K103" s="1" t="n">
        <v>2892</v>
      </c>
      <c r="L103" s="7" t="n">
        <f aca="false">(J103/G103*F103/I103)</f>
        <v>1.20192257502818</v>
      </c>
      <c r="M103" s="7" t="n">
        <f aca="false">(D103/G103*F103/C103)</f>
        <v>1.24483624968495</v>
      </c>
      <c r="N103" s="7" t="n">
        <f aca="false">(K103/H103*F103/I103)</f>
        <v>1.21149851149082</v>
      </c>
      <c r="O103" s="7" t="n">
        <f aca="false">(E103/H103*F103/C103)</f>
        <v>1.40561350878722</v>
      </c>
      <c r="P103" s="7" t="n">
        <f aca="false">(IF(L103&gt;1,L103,1/L103) - 1)*100</f>
        <v>20.1922575028175</v>
      </c>
      <c r="Q103" s="7" t="n">
        <f aca="false">(IF(M103&gt;1,M103,1/M103) - 1)*100</f>
        <v>24.4836249684952</v>
      </c>
      <c r="R103" s="7" t="n">
        <f aca="false">(IF(N103&gt;1,N103,1/N103) - 1)*100</f>
        <v>21.1498511490817</v>
      </c>
      <c r="S103" s="7" t="n">
        <f aca="false">(IF(O103&gt;1,O103,1/O103) - 1)*100</f>
        <v>40.5613508787222</v>
      </c>
      <c r="T103" s="9" t="n">
        <f aca="false">(P103+Q103) &lt; (R103+S103)</f>
        <v>1</v>
      </c>
      <c r="U103" s="10" t="n">
        <f aca="false">IF($T103,P103,R103)</f>
        <v>20.1922575028175</v>
      </c>
      <c r="V103" s="11" t="n">
        <f aca="false">IF($T103,Q103,S103)</f>
        <v>24.4836249684952</v>
      </c>
      <c r="W103" s="12" t="n">
        <f aca="false">P103 &lt; R103</f>
        <v>1</v>
      </c>
      <c r="X103" s="10" t="n">
        <f aca="false">IF($W103,P103,R103)</f>
        <v>20.1922575028175</v>
      </c>
      <c r="Y103" s="1" t="n">
        <v>333611</v>
      </c>
      <c r="Z103" s="1" t="s">
        <v>141</v>
      </c>
      <c r="AA103" s="12" t="n">
        <f aca="false">T103=W103</f>
        <v>1</v>
      </c>
    </row>
    <row r="104" customFormat="false" ht="12.8" hidden="false" customHeight="false" outlineLevel="0" collapsed="false">
      <c r="A104" s="1" t="s">
        <v>142</v>
      </c>
      <c r="B104" s="1" t="n">
        <v>333612</v>
      </c>
      <c r="C104" s="1" t="n">
        <v>3455</v>
      </c>
      <c r="D104" s="1" t="n">
        <v>1500</v>
      </c>
      <c r="E104" s="1" t="n">
        <v>905</v>
      </c>
      <c r="F104" s="1" t="n">
        <v>4887</v>
      </c>
      <c r="G104" s="1" t="n">
        <v>2116</v>
      </c>
      <c r="H104" s="1" t="n">
        <v>1119</v>
      </c>
      <c r="I104" s="1" t="n">
        <v>3175</v>
      </c>
      <c r="J104" s="1" t="n">
        <v>1311</v>
      </c>
      <c r="K104" s="1" t="n">
        <v>940</v>
      </c>
      <c r="L104" s="7" t="n">
        <f aca="false">(J104/G104*F104/I104)</f>
        <v>0.953642588154742</v>
      </c>
      <c r="M104" s="7" t="n">
        <f aca="false">(D104/G104*F104/C104)</f>
        <v>1.00269738659897</v>
      </c>
      <c r="N104" s="7" t="n">
        <f aca="false">(K104/H104*F104/I104)</f>
        <v>1.29299360368158</v>
      </c>
      <c r="O104" s="7" t="n">
        <f aca="false">(E104/H104*F104/C104)</f>
        <v>1.14396511253458</v>
      </c>
      <c r="P104" s="7" t="n">
        <f aca="false">(IF(L104&gt;1,L104,1/L104) - 1)*100</f>
        <v>4.86108867421264</v>
      </c>
      <c r="Q104" s="7" t="n">
        <f aca="false">(IF(M104&gt;1,M104,1/M104) - 1)*100</f>
        <v>0.269738659896746</v>
      </c>
      <c r="R104" s="7" t="n">
        <f aca="false">(IF(N104&gt;1,N104,1/N104) - 1)*100</f>
        <v>29.2993603681577</v>
      </c>
      <c r="S104" s="7" t="n">
        <f aca="false">(IF(O104&gt;1,O104,1/O104) - 1)*100</f>
        <v>14.3965112534579</v>
      </c>
      <c r="T104" s="9" t="n">
        <f aca="false">(P104+Q104) &lt; (R104+S104)</f>
        <v>1</v>
      </c>
      <c r="U104" s="10" t="n">
        <f aca="false">IF($T104,P104,R104)</f>
        <v>4.86108867421264</v>
      </c>
      <c r="V104" s="11" t="n">
        <f aca="false">IF($T104,Q104,S104)</f>
        <v>0.269738659896746</v>
      </c>
      <c r="W104" s="12" t="n">
        <f aca="false">P104 &lt; R104</f>
        <v>1</v>
      </c>
      <c r="X104" s="10" t="n">
        <f aca="false">IF($W104,P104,R104)</f>
        <v>4.86108867421264</v>
      </c>
      <c r="Y104" s="1" t="n">
        <v>333612</v>
      </c>
      <c r="Z104" s="1" t="s">
        <v>142</v>
      </c>
      <c r="AA104" s="12" t="n">
        <f aca="false">T104=W104</f>
        <v>1</v>
      </c>
    </row>
    <row r="105" customFormat="false" ht="12.8" hidden="false" customHeight="false" outlineLevel="0" collapsed="false">
      <c r="A105" s="1" t="s">
        <v>143</v>
      </c>
      <c r="B105" s="1" t="n">
        <v>333613</v>
      </c>
      <c r="C105" s="1" t="n">
        <v>4179</v>
      </c>
      <c r="D105" s="1" t="n">
        <v>1702</v>
      </c>
      <c r="E105" s="1" t="n">
        <v>999</v>
      </c>
      <c r="F105" s="1" t="n">
        <v>4428</v>
      </c>
      <c r="G105" s="1" t="n">
        <v>2081</v>
      </c>
      <c r="H105" s="1" t="n">
        <v>1053</v>
      </c>
      <c r="I105" s="1" t="n">
        <v>4976</v>
      </c>
      <c r="J105" s="1" t="n">
        <v>2208</v>
      </c>
      <c r="K105" s="1" t="n">
        <v>1025</v>
      </c>
      <c r="L105" s="7" t="n">
        <f aca="false">(J105/G105*F105/I105)</f>
        <v>0.944178766391993</v>
      </c>
      <c r="M105" s="7" t="n">
        <f aca="false">(D105/G105*F105/C105)</f>
        <v>0.866608045375501</v>
      </c>
      <c r="N105" s="7" t="n">
        <f aca="false">(K105/H105*F105/I105)</f>
        <v>0.866209085662462</v>
      </c>
      <c r="O105" s="7" t="n">
        <f aca="false">(E105/H105*F105/C105)</f>
        <v>1.00524601027114</v>
      </c>
      <c r="P105" s="7" t="n">
        <f aca="false">(IF(L105&gt;1,L105,1/L105) - 1)*100</f>
        <v>5.91214668185329</v>
      </c>
      <c r="Q105" s="7" t="n">
        <f aca="false">(IF(M105&gt;1,M105,1/M105) - 1)*100</f>
        <v>15.3924205223251</v>
      </c>
      <c r="R105" s="7" t="n">
        <f aca="false">(IF(N105&gt;1,N105,1/N105) - 1)*100</f>
        <v>15.4455681142177</v>
      </c>
      <c r="S105" s="7" t="n">
        <f aca="false">(IF(O105&gt;1,O105,1/O105) - 1)*100</f>
        <v>0.524601027113603</v>
      </c>
      <c r="T105" s="9" t="n">
        <f aca="false">(P105+Q105) &lt; (R105+S105)</f>
        <v>0</v>
      </c>
      <c r="U105" s="10" t="n">
        <f aca="false">IF($T105,P105,R105)</f>
        <v>15.4455681142177</v>
      </c>
      <c r="V105" s="11" t="n">
        <f aca="false">IF($T105,Q105,S105)</f>
        <v>0.524601027113603</v>
      </c>
      <c r="W105" s="12" t="n">
        <f aca="false">P105 &lt; R105</f>
        <v>1</v>
      </c>
      <c r="X105" s="10" t="n">
        <f aca="false">IF($W105,P105,R105)</f>
        <v>5.91214668185329</v>
      </c>
      <c r="Y105" s="1" t="n">
        <v>333613</v>
      </c>
      <c r="Z105" s="1" t="s">
        <v>143</v>
      </c>
      <c r="AA105" s="12" t="n">
        <f aca="false">T105=W105</f>
        <v>0</v>
      </c>
    </row>
    <row r="106" customFormat="false" ht="12.8" hidden="false" customHeight="false" outlineLevel="0" collapsed="false">
      <c r="A106" s="1" t="s">
        <v>144</v>
      </c>
      <c r="B106" s="1" t="n">
        <v>333618</v>
      </c>
      <c r="C106" s="1" t="n">
        <v>25503</v>
      </c>
      <c r="D106" s="1" t="n">
        <v>6136</v>
      </c>
      <c r="E106" s="1" t="n">
        <v>3822</v>
      </c>
      <c r="F106" s="1" t="n">
        <v>28238</v>
      </c>
      <c r="G106" s="1" t="n">
        <v>7804</v>
      </c>
      <c r="H106" s="1" t="n">
        <v>4411</v>
      </c>
      <c r="I106" s="1" t="n">
        <v>25654</v>
      </c>
      <c r="J106" s="1" t="n">
        <v>6098</v>
      </c>
      <c r="K106" s="1" t="n">
        <v>4853</v>
      </c>
      <c r="L106" s="7" t="n">
        <f aca="false">(J106/G106*F106/I106)</f>
        <v>0.860100109180736</v>
      </c>
      <c r="M106" s="7" t="n">
        <f aca="false">(D106/G106*F106/C106)</f>
        <v>0.870584144300126</v>
      </c>
      <c r="N106" s="7" t="n">
        <f aca="false">(K106/H106*F106/I106)</f>
        <v>1.2110221232817</v>
      </c>
      <c r="O106" s="7" t="n">
        <f aca="false">(E106/H106*F106/C106)</f>
        <v>0.959392431221035</v>
      </c>
      <c r="P106" s="7" t="n">
        <f aca="false">(IF(L106&gt;1,L106,1/L106) - 1)*100</f>
        <v>16.265535758683</v>
      </c>
      <c r="Q106" s="7" t="n">
        <f aca="false">(IF(M106&gt;1,M106,1/M106) - 1)*100</f>
        <v>14.8654046305786</v>
      </c>
      <c r="R106" s="7" t="n">
        <f aca="false">(IF(N106&gt;1,N106,1/N106) - 1)*100</f>
        <v>21.1022123281702</v>
      </c>
      <c r="S106" s="7" t="n">
        <f aca="false">(IF(O106&gt;1,O106,1/O106) - 1)*100</f>
        <v>4.2326338479951</v>
      </c>
      <c r="T106" s="9" t="n">
        <f aca="false">(P106+Q106) &lt; (R106+S106)</f>
        <v>0</v>
      </c>
      <c r="U106" s="10" t="n">
        <f aca="false">IF($T106,P106,R106)</f>
        <v>21.1022123281702</v>
      </c>
      <c r="V106" s="11" t="n">
        <f aca="false">IF($T106,Q106,S106)</f>
        <v>4.2326338479951</v>
      </c>
      <c r="W106" s="12" t="n">
        <f aca="false">P106 &lt; R106</f>
        <v>1</v>
      </c>
      <c r="X106" s="10" t="n">
        <f aca="false">IF($W106,P106,R106)</f>
        <v>16.265535758683</v>
      </c>
      <c r="Y106" s="1" t="n">
        <v>333618</v>
      </c>
      <c r="Z106" s="1" t="s">
        <v>144</v>
      </c>
      <c r="AA106" s="12" t="n">
        <f aca="false">T106=W106</f>
        <v>0</v>
      </c>
    </row>
    <row r="107" customFormat="false" ht="12.8" hidden="false" customHeight="false" outlineLevel="0" collapsed="false">
      <c r="A107" s="1" t="s">
        <v>145</v>
      </c>
      <c r="B107" s="1" t="n">
        <v>333912</v>
      </c>
      <c r="C107" s="1" t="n">
        <v>9431</v>
      </c>
      <c r="D107" s="1" t="n">
        <v>3146</v>
      </c>
      <c r="E107" s="1" t="n">
        <v>1721</v>
      </c>
      <c r="F107" s="1" t="n">
        <v>10107</v>
      </c>
      <c r="G107" s="1" t="n">
        <v>3896</v>
      </c>
      <c r="H107" s="1" t="n">
        <v>1806</v>
      </c>
      <c r="I107" s="1" t="n">
        <v>9160</v>
      </c>
      <c r="J107" s="1" t="n">
        <v>3167</v>
      </c>
      <c r="K107" s="1" t="n">
        <v>1972</v>
      </c>
      <c r="L107" s="7" t="n">
        <f aca="false">(J107/G107*F107/I107)</f>
        <v>0.896924541350215</v>
      </c>
      <c r="M107" s="7" t="n">
        <f aca="false">(D107/G107*F107/C107)</f>
        <v>0.865374893014148</v>
      </c>
      <c r="N107" s="7" t="n">
        <f aca="false">(K107/H107*F107/I107)</f>
        <v>1.20480276806569</v>
      </c>
      <c r="O107" s="7" t="n">
        <f aca="false">(E107/H107*F107/C107)</f>
        <v>1.02123959614349</v>
      </c>
      <c r="P107" s="7" t="n">
        <f aca="false">(IF(L107&gt;1,L107,1/L107) - 1)*100</f>
        <v>11.4920992678623</v>
      </c>
      <c r="Q107" s="7" t="n">
        <f aca="false">(IF(M107&gt;1,M107,1/M107) - 1)*100</f>
        <v>15.5568538066717</v>
      </c>
      <c r="R107" s="7" t="n">
        <f aca="false">(IF(N107&gt;1,N107,1/N107) - 1)*100</f>
        <v>20.4802768065691</v>
      </c>
      <c r="S107" s="7" t="n">
        <f aca="false">(IF(O107&gt;1,O107,1/O107) - 1)*100</f>
        <v>2.12395961434881</v>
      </c>
      <c r="T107" s="9" t="n">
        <f aca="false">(P107+Q107) &lt; (R107+S107)</f>
        <v>0</v>
      </c>
      <c r="U107" s="10" t="n">
        <f aca="false">IF($T107,P107,R107)</f>
        <v>20.4802768065691</v>
      </c>
      <c r="V107" s="11" t="n">
        <f aca="false">IF($T107,Q107,S107)</f>
        <v>2.12395961434881</v>
      </c>
      <c r="W107" s="12" t="n">
        <f aca="false">P107 &lt; R107</f>
        <v>1</v>
      </c>
      <c r="X107" s="10" t="n">
        <f aca="false">IF($W107,P107,R107)</f>
        <v>11.4920992678623</v>
      </c>
      <c r="Y107" s="1" t="n">
        <v>333912</v>
      </c>
      <c r="Z107" s="1" t="s">
        <v>145</v>
      </c>
      <c r="AA107" s="12" t="n">
        <f aca="false">T107=W107</f>
        <v>0</v>
      </c>
    </row>
    <row r="108" customFormat="false" ht="12.8" hidden="false" customHeight="false" outlineLevel="0" collapsed="false">
      <c r="A108" s="1" t="s">
        <v>146</v>
      </c>
      <c r="B108" s="1" t="n">
        <v>333914</v>
      </c>
      <c r="C108" s="1" t="n">
        <v>13422</v>
      </c>
      <c r="D108" s="1" t="n">
        <v>5109</v>
      </c>
      <c r="E108" s="1" t="n">
        <v>2521</v>
      </c>
      <c r="F108" s="1" t="n">
        <v>16249</v>
      </c>
      <c r="G108" s="1" t="n">
        <v>6689</v>
      </c>
      <c r="H108" s="1" t="n">
        <v>2773</v>
      </c>
      <c r="I108" s="1" t="n">
        <v>17513</v>
      </c>
      <c r="J108" s="1" t="n">
        <v>7082</v>
      </c>
      <c r="K108" s="1" t="n">
        <v>2679</v>
      </c>
      <c r="L108" s="7" t="n">
        <f aca="false">(J108/G108*F108/I108)</f>
        <v>0.982337713170671</v>
      </c>
      <c r="M108" s="7" t="n">
        <f aca="false">(D108/G108*F108/C108)</f>
        <v>0.924664343604045</v>
      </c>
      <c r="N108" s="7" t="n">
        <f aca="false">(K108/H108*F108/I108)</f>
        <v>0.89637334783749</v>
      </c>
      <c r="O108" s="7" t="n">
        <f aca="false">(E108/H108*F108/C108)</f>
        <v>1.10060727786616</v>
      </c>
      <c r="P108" s="7" t="n">
        <f aca="false">(IF(L108&gt;1,L108,1/L108) - 1)*100</f>
        <v>1.79798521348842</v>
      </c>
      <c r="Q108" s="7" t="n">
        <f aca="false">(IF(M108&gt;1,M108,1/M108) - 1)*100</f>
        <v>8.14735173006898</v>
      </c>
      <c r="R108" s="7" t="n">
        <f aca="false">(IF(N108&gt;1,N108,1/N108) - 1)*100</f>
        <v>11.5606574439669</v>
      </c>
      <c r="S108" s="7" t="n">
        <f aca="false">(IF(O108&gt;1,O108,1/O108) - 1)*100</f>
        <v>10.0607277866164</v>
      </c>
      <c r="T108" s="9" t="n">
        <f aca="false">(P108+Q108) &lt; (R108+S108)</f>
        <v>1</v>
      </c>
      <c r="U108" s="10" t="n">
        <f aca="false">IF($T108,P108,R108)</f>
        <v>1.79798521348842</v>
      </c>
      <c r="V108" s="11" t="n">
        <f aca="false">IF($T108,Q108,S108)</f>
        <v>8.14735173006898</v>
      </c>
      <c r="W108" s="12" t="n">
        <f aca="false">P108 &lt; R108</f>
        <v>1</v>
      </c>
      <c r="X108" s="10" t="n">
        <f aca="false">IF($W108,P108,R108)</f>
        <v>1.79798521348842</v>
      </c>
      <c r="Y108" s="1" t="n">
        <v>333914</v>
      </c>
      <c r="Z108" s="1" t="s">
        <v>146</v>
      </c>
      <c r="AA108" s="12" t="n">
        <f aca="false">T108=W108</f>
        <v>1</v>
      </c>
    </row>
    <row r="109" customFormat="false" ht="12.8" hidden="false" customHeight="false" outlineLevel="0" collapsed="false">
      <c r="A109" s="1" t="s">
        <v>147</v>
      </c>
      <c r="B109" s="1" t="n">
        <v>333920</v>
      </c>
      <c r="C109" s="1" t="n">
        <v>27369</v>
      </c>
      <c r="D109" s="1" t="n">
        <v>9940</v>
      </c>
      <c r="E109" s="1" t="n">
        <v>5327</v>
      </c>
      <c r="F109" s="1" t="n">
        <v>30436</v>
      </c>
      <c r="G109" s="1" t="n">
        <v>10622</v>
      </c>
      <c r="H109" s="1" t="n">
        <v>4866</v>
      </c>
      <c r="I109" s="1" t="n">
        <v>30348</v>
      </c>
      <c r="J109" s="1" t="n">
        <v>11499</v>
      </c>
      <c r="K109" s="1" t="n">
        <v>6402</v>
      </c>
      <c r="L109" s="7" t="n">
        <f aca="false">(J109/G109*F109/I109)</f>
        <v>1.08570359763479</v>
      </c>
      <c r="M109" s="7" t="n">
        <f aca="false">(D109/G109*F109/C109)</f>
        <v>1.04065969164874</v>
      </c>
      <c r="N109" s="7" t="n">
        <f aca="false">(K109/H109*F109/I109)</f>
        <v>1.31947469363603</v>
      </c>
      <c r="O109" s="7" t="n">
        <f aca="false">(E109/H109*F109/C109)</f>
        <v>1.21741665265905</v>
      </c>
      <c r="P109" s="7" t="n">
        <f aca="false">(IF(L109&gt;1,L109,1/L109) - 1)*100</f>
        <v>8.57035976347871</v>
      </c>
      <c r="Q109" s="7" t="n">
        <f aca="false">(IF(M109&gt;1,M109,1/M109) - 1)*100</f>
        <v>4.06596916487385</v>
      </c>
      <c r="R109" s="7" t="n">
        <f aca="false">(IF(N109&gt;1,N109,1/N109) - 1)*100</f>
        <v>31.9474693636025</v>
      </c>
      <c r="S109" s="7" t="n">
        <f aca="false">(IF(O109&gt;1,O109,1/O109) - 1)*100</f>
        <v>21.7416652659051</v>
      </c>
      <c r="T109" s="9" t="n">
        <f aca="false">(P109+Q109) &lt; (R109+S109)</f>
        <v>1</v>
      </c>
      <c r="U109" s="10" t="n">
        <f aca="false">IF($T109,P109,R109)</f>
        <v>8.57035976347871</v>
      </c>
      <c r="V109" s="11" t="n">
        <f aca="false">IF($T109,Q109,S109)</f>
        <v>4.06596916487385</v>
      </c>
      <c r="W109" s="12" t="n">
        <f aca="false">P109 &lt; R109</f>
        <v>1</v>
      </c>
      <c r="X109" s="10" t="n">
        <f aca="false">IF($W109,P109,R109)</f>
        <v>8.57035976347871</v>
      </c>
      <c r="Y109" s="1" t="n">
        <v>333920</v>
      </c>
      <c r="Z109" s="1" t="s">
        <v>147</v>
      </c>
      <c r="AA109" s="12" t="n">
        <f aca="false">T109=W109</f>
        <v>1</v>
      </c>
    </row>
    <row r="110" customFormat="false" ht="12.8" hidden="false" customHeight="false" outlineLevel="0" collapsed="false">
      <c r="A110" s="1" t="s">
        <v>148</v>
      </c>
      <c r="B110" s="1" t="n">
        <v>333991</v>
      </c>
      <c r="C110" s="1" t="n">
        <v>2428</v>
      </c>
      <c r="D110" s="1" t="n">
        <v>1237</v>
      </c>
      <c r="E110" s="1" t="n">
        <v>506</v>
      </c>
      <c r="F110" s="1" t="n">
        <v>3872</v>
      </c>
      <c r="G110" s="1" t="n">
        <v>1779</v>
      </c>
      <c r="H110" s="1" t="n">
        <v>612</v>
      </c>
      <c r="I110" s="1" t="n">
        <v>3355</v>
      </c>
      <c r="J110" s="1" t="n">
        <v>1450</v>
      </c>
      <c r="K110" s="1" t="n">
        <v>769</v>
      </c>
      <c r="L110" s="7" t="n">
        <f aca="false">(J110/G110*F110/I110)</f>
        <v>0.940664768381574</v>
      </c>
      <c r="M110" s="7" t="n">
        <f aca="false">(D110/G110*F110/C110)</f>
        <v>1.10886944797116</v>
      </c>
      <c r="N110" s="7" t="n">
        <f aca="false">(K110/H110*F110/I110)</f>
        <v>1.45016607735991</v>
      </c>
      <c r="O110" s="7" t="n">
        <f aca="false">(E110/H110*F110/C110)</f>
        <v>1.31851708283533</v>
      </c>
      <c r="P110" s="7" t="n">
        <f aca="false">(IF(L110&gt;1,L110,1/L110) - 1)*100</f>
        <v>6.30779780564263</v>
      </c>
      <c r="Q110" s="7" t="n">
        <f aca="false">(IF(M110&gt;1,M110,1/M110) - 1)*100</f>
        <v>10.8869447971159</v>
      </c>
      <c r="R110" s="7" t="n">
        <f aca="false">(IF(N110&gt;1,N110,1/N110) - 1)*100</f>
        <v>45.0166077359906</v>
      </c>
      <c r="S110" s="7" t="n">
        <f aca="false">(IF(O110&gt;1,O110,1/O110) - 1)*100</f>
        <v>31.8517082835331</v>
      </c>
      <c r="T110" s="9" t="n">
        <f aca="false">(P110+Q110) &lt; (R110+S110)</f>
        <v>1</v>
      </c>
      <c r="U110" s="10" t="n">
        <f aca="false">IF($T110,P110,R110)</f>
        <v>6.30779780564263</v>
      </c>
      <c r="V110" s="11" t="n">
        <f aca="false">IF($T110,Q110,S110)</f>
        <v>10.8869447971159</v>
      </c>
      <c r="W110" s="12" t="n">
        <f aca="false">P110 &lt; R110</f>
        <v>1</v>
      </c>
      <c r="X110" s="10" t="n">
        <f aca="false">IF($W110,P110,R110)</f>
        <v>6.30779780564263</v>
      </c>
      <c r="Y110" s="1" t="n">
        <v>333991</v>
      </c>
      <c r="Z110" s="1" t="s">
        <v>148</v>
      </c>
      <c r="AA110" s="12" t="n">
        <f aca="false">T110=W110</f>
        <v>1</v>
      </c>
    </row>
    <row r="111" customFormat="false" ht="12.8" hidden="false" customHeight="false" outlineLevel="0" collapsed="false">
      <c r="A111" s="1" t="s">
        <v>149</v>
      </c>
      <c r="B111" s="1" t="n">
        <v>333993</v>
      </c>
      <c r="C111" s="1" t="n">
        <v>4331</v>
      </c>
      <c r="D111" s="1" t="n">
        <v>2003</v>
      </c>
      <c r="E111" s="1" t="n">
        <v>1376</v>
      </c>
      <c r="F111" s="1" t="n">
        <v>5662</v>
      </c>
      <c r="G111" s="1" t="n">
        <v>2473</v>
      </c>
      <c r="H111" s="1" t="n">
        <v>1541</v>
      </c>
      <c r="I111" s="1" t="n">
        <v>7006</v>
      </c>
      <c r="J111" s="1" t="n">
        <v>2813</v>
      </c>
      <c r="K111" s="1" t="n">
        <v>1783</v>
      </c>
      <c r="L111" s="7" t="n">
        <f aca="false">(J111/G111*F111/I111)</f>
        <v>0.919274784861777</v>
      </c>
      <c r="M111" s="7" t="n">
        <f aca="false">(D111/G111*F111/C111)</f>
        <v>1.05885993107925</v>
      </c>
      <c r="N111" s="7" t="n">
        <f aca="false">(K111/H111*F111/I111)</f>
        <v>0.935079285892522</v>
      </c>
      <c r="O111" s="7" t="n">
        <f aca="false">(E111/H111*F111/C111)</f>
        <v>1.16734029350302</v>
      </c>
      <c r="P111" s="7" t="n">
        <f aca="false">(IF(L111&gt;1,L111,1/L111) - 1)*100</f>
        <v>8.78140208646767</v>
      </c>
      <c r="Q111" s="7" t="n">
        <f aca="false">(IF(M111&gt;1,M111,1/M111) - 1)*100</f>
        <v>5.88599310792533</v>
      </c>
      <c r="R111" s="7" t="n">
        <f aca="false">(IF(N111&gt;1,N111,1/N111) - 1)*100</f>
        <v>6.94280314909463</v>
      </c>
      <c r="S111" s="7" t="n">
        <f aca="false">(IF(O111&gt;1,O111,1/O111) - 1)*100</f>
        <v>16.7340293503021</v>
      </c>
      <c r="T111" s="9" t="n">
        <f aca="false">(P111+Q111) &lt; (R111+S111)</f>
        <v>1</v>
      </c>
      <c r="U111" s="10" t="n">
        <f aca="false">IF($T111,P111,R111)</f>
        <v>8.78140208646767</v>
      </c>
      <c r="V111" s="11" t="n">
        <f aca="false">IF($T111,Q111,S111)</f>
        <v>5.88599310792533</v>
      </c>
      <c r="W111" s="12" t="n">
        <f aca="false">P111 &lt; R111</f>
        <v>0</v>
      </c>
      <c r="X111" s="10" t="n">
        <f aca="false">IF($W111,P111,R111)</f>
        <v>6.94280314909463</v>
      </c>
      <c r="Y111" s="1" t="n">
        <v>333993</v>
      </c>
      <c r="Z111" s="1" t="s">
        <v>149</v>
      </c>
      <c r="AA111" s="12" t="n">
        <f aca="false">T111=W111</f>
        <v>0</v>
      </c>
    </row>
    <row r="112" customFormat="false" ht="12.8" hidden="false" customHeight="false" outlineLevel="0" collapsed="false">
      <c r="A112" s="1" t="s">
        <v>150</v>
      </c>
      <c r="B112" s="1" t="n">
        <v>333994</v>
      </c>
      <c r="C112" s="1" t="n">
        <v>2415</v>
      </c>
      <c r="D112" s="1" t="n">
        <v>1154</v>
      </c>
      <c r="E112" s="1" t="n">
        <v>837</v>
      </c>
      <c r="F112" s="1" t="n">
        <v>2742</v>
      </c>
      <c r="G112" s="1" t="n">
        <v>1212</v>
      </c>
      <c r="H112" s="1" t="n">
        <v>821</v>
      </c>
      <c r="I112" s="1" t="n">
        <v>2653</v>
      </c>
      <c r="J112" s="1" t="n">
        <v>1053</v>
      </c>
      <c r="K112" s="1" t="n">
        <v>793</v>
      </c>
      <c r="L112" s="7" t="n">
        <f aca="false">(J112/G112*F112/I112)</f>
        <v>0.897957850817121</v>
      </c>
      <c r="M112" s="7" t="n">
        <f aca="false">(D112/G112*F112/C112)</f>
        <v>1.08106922493492</v>
      </c>
      <c r="N112" s="7" t="n">
        <f aca="false">(K112/H112*F112/I112)</f>
        <v>0.998298068098395</v>
      </c>
      <c r="O112" s="7" t="n">
        <f aca="false">(E112/H112*F112/C112)</f>
        <v>1.15753096133332</v>
      </c>
      <c r="P112" s="7" t="n">
        <f aca="false">(IF(L112&gt;1,L112,1/L112) - 1)*100</f>
        <v>11.3638016628534</v>
      </c>
      <c r="Q112" s="7" t="n">
        <f aca="false">(IF(M112&gt;1,M112,1/M112) - 1)*100</f>
        <v>8.10692249349161</v>
      </c>
      <c r="R112" s="7" t="n">
        <f aca="false">(IF(N112&gt;1,N112,1/N112) - 1)*100</f>
        <v>0.170483341197558</v>
      </c>
      <c r="S112" s="7" t="n">
        <f aca="false">(IF(O112&gt;1,O112,1/O112) - 1)*100</f>
        <v>15.7530961333323</v>
      </c>
      <c r="T112" s="9" t="n">
        <f aca="false">(P112+Q112) &lt; (R112+S112)</f>
        <v>0</v>
      </c>
      <c r="U112" s="10" t="n">
        <f aca="false">IF($T112,P112,R112)</f>
        <v>0.170483341197558</v>
      </c>
      <c r="V112" s="11" t="n">
        <f aca="false">IF($T112,Q112,S112)</f>
        <v>15.7530961333323</v>
      </c>
      <c r="W112" s="12" t="n">
        <f aca="false">P112 &lt; R112</f>
        <v>0</v>
      </c>
      <c r="X112" s="10" t="n">
        <f aca="false">IF($W112,P112,R112)</f>
        <v>0.170483341197558</v>
      </c>
      <c r="Y112" s="1" t="n">
        <v>333994</v>
      </c>
      <c r="Z112" s="1" t="s">
        <v>150</v>
      </c>
      <c r="AA112" s="12" t="n">
        <f aca="false">T112=W112</f>
        <v>1</v>
      </c>
    </row>
    <row r="113" customFormat="false" ht="12.8" hidden="false" customHeight="false" outlineLevel="0" collapsed="false">
      <c r="A113" s="1" t="s">
        <v>151</v>
      </c>
      <c r="B113" s="1" t="s">
        <v>152</v>
      </c>
      <c r="C113" s="1" t="n">
        <v>17709</v>
      </c>
      <c r="D113" s="1" t="n">
        <v>7229</v>
      </c>
      <c r="E113" s="1" t="n">
        <v>4558</v>
      </c>
      <c r="F113" s="1" t="n">
        <v>21460</v>
      </c>
      <c r="G113" s="1" t="n">
        <v>8194</v>
      </c>
      <c r="H113" s="1" t="n">
        <v>4548</v>
      </c>
      <c r="I113" s="1" t="n">
        <v>23115</v>
      </c>
      <c r="J113" s="1" t="n">
        <v>9436</v>
      </c>
      <c r="K113" s="1" t="n">
        <v>4891</v>
      </c>
      <c r="L113" s="7" t="n">
        <f aca="false">(J113/G113*F113/I113)</f>
        <v>1.06912329502956</v>
      </c>
      <c r="M113" s="7" t="n">
        <f aca="false">(D113/G113*F113/C113)</f>
        <v>1.069099052919</v>
      </c>
      <c r="N113" s="7" t="n">
        <f aca="false">(K113/H113*F113/I113)</f>
        <v>0.998419435840567</v>
      </c>
      <c r="O113" s="7" t="n">
        <f aca="false">(E113/H113*F113/C113)</f>
        <v>1.21447769925334</v>
      </c>
      <c r="P113" s="7" t="n">
        <f aca="false">(IF(L113&gt;1,L113,1/L113) - 1)*100</f>
        <v>6.91232950295586</v>
      </c>
      <c r="Q113" s="7" t="n">
        <f aca="false">(IF(M113&gt;1,M113,1/M113) - 1)*100</f>
        <v>6.90990529189983</v>
      </c>
      <c r="R113" s="7" t="n">
        <f aca="false">(IF(N113&gt;1,N113,1/N113) - 1)*100</f>
        <v>0.158306629728466</v>
      </c>
      <c r="S113" s="7" t="n">
        <f aca="false">(IF(O113&gt;1,O113,1/O113) - 1)*100</f>
        <v>21.447769925334</v>
      </c>
      <c r="T113" s="9" t="n">
        <f aca="false">(P113+Q113) &lt; (R113+S113)</f>
        <v>1</v>
      </c>
      <c r="U113" s="10" t="n">
        <f aca="false">IF($T113,P113,R113)</f>
        <v>6.91232950295586</v>
      </c>
      <c r="V113" s="11" t="n">
        <f aca="false">IF($T113,Q113,S113)</f>
        <v>6.90990529189983</v>
      </c>
      <c r="W113" s="12" t="n">
        <f aca="false">P113 &lt; R113</f>
        <v>0</v>
      </c>
      <c r="X113" s="10" t="n">
        <f aca="false">IF($W113,P113,R113)</f>
        <v>0.158306629728466</v>
      </c>
      <c r="Y113" s="1" t="s">
        <v>152</v>
      </c>
      <c r="Z113" s="1" t="s">
        <v>151</v>
      </c>
      <c r="AA113" s="12" t="n">
        <f aca="false">T113=W113</f>
        <v>0</v>
      </c>
    </row>
    <row r="114" customFormat="false" ht="12.8" hidden="false" customHeight="false" outlineLevel="0" collapsed="false">
      <c r="A114" s="1" t="s">
        <v>153</v>
      </c>
      <c r="B114" s="1" t="s">
        <v>154</v>
      </c>
      <c r="C114" s="1" t="n">
        <v>9158</v>
      </c>
      <c r="D114" s="1" t="n">
        <v>3886</v>
      </c>
      <c r="E114" s="1" t="n">
        <v>3010</v>
      </c>
      <c r="F114" s="1" t="n">
        <v>11371</v>
      </c>
      <c r="G114" s="1" t="n">
        <v>4826</v>
      </c>
      <c r="H114" s="1" t="n">
        <v>3382</v>
      </c>
      <c r="I114" s="1" t="n">
        <v>11651</v>
      </c>
      <c r="J114" s="1" t="n">
        <v>4301</v>
      </c>
      <c r="K114" s="1" t="n">
        <v>3117</v>
      </c>
      <c r="L114" s="7" t="n">
        <f aca="false">(J114/G114*F114/I114)</f>
        <v>0.869796352781544</v>
      </c>
      <c r="M114" s="7" t="n">
        <f aca="false">(D114/G114*F114/C114)</f>
        <v>0.999800843994281</v>
      </c>
      <c r="N114" s="7" t="n">
        <f aca="false">(K114/H114*F114/I114)</f>
        <v>0.899494798481015</v>
      </c>
      <c r="O114" s="7" t="n">
        <f aca="false">(E114/H114*F114/C114)</f>
        <v>1.10507285916512</v>
      </c>
      <c r="P114" s="7" t="n">
        <f aca="false">(IF(L114&gt;1,L114,1/L114) - 1)*100</f>
        <v>14.9694404675387</v>
      </c>
      <c r="Q114" s="7" t="n">
        <f aca="false">(IF(M114&gt;1,M114,1/M114) - 1)*100</f>
        <v>0.019919567673421</v>
      </c>
      <c r="R114" s="7" t="n">
        <f aca="false">(IF(N114&gt;1,N114,1/N114) - 1)*100</f>
        <v>11.1735166994527</v>
      </c>
      <c r="S114" s="7" t="n">
        <f aca="false">(IF(O114&gt;1,O114,1/O114) - 1)*100</f>
        <v>10.5072859165121</v>
      </c>
      <c r="T114" s="9" t="n">
        <f aca="false">(P114+Q114) &lt; (R114+S114)</f>
        <v>1</v>
      </c>
      <c r="U114" s="10" t="n">
        <f aca="false">IF($T114,P114,R114)</f>
        <v>14.9694404675387</v>
      </c>
      <c r="V114" s="11" t="n">
        <f aca="false">IF($T114,Q114,S114)</f>
        <v>0.019919567673421</v>
      </c>
      <c r="W114" s="12" t="n">
        <f aca="false">P114 &lt; R114</f>
        <v>0</v>
      </c>
      <c r="X114" s="10" t="n">
        <f aca="false">IF($W114,P114,R114)</f>
        <v>11.1735166994527</v>
      </c>
      <c r="Y114" s="1" t="s">
        <v>154</v>
      </c>
      <c r="Z114" s="1" t="s">
        <v>153</v>
      </c>
      <c r="AA114" s="12" t="n">
        <f aca="false">T114=W114</f>
        <v>0</v>
      </c>
    </row>
    <row r="115" customFormat="false" ht="12.8" hidden="false" customHeight="false" outlineLevel="0" collapsed="false">
      <c r="A115" s="1" t="s">
        <v>155</v>
      </c>
      <c r="B115" s="1" t="n">
        <v>334111</v>
      </c>
      <c r="C115" s="1" t="n">
        <v>48244</v>
      </c>
      <c r="D115" s="1" t="n">
        <v>21065</v>
      </c>
      <c r="E115" s="1" t="n">
        <v>16595</v>
      </c>
      <c r="F115" s="1" t="n">
        <v>12670</v>
      </c>
      <c r="G115" s="1" t="n">
        <v>9134</v>
      </c>
      <c r="H115" s="1" t="n">
        <v>7541</v>
      </c>
      <c r="I115" s="1" t="n">
        <v>19035</v>
      </c>
      <c r="J115" s="1" t="n">
        <v>12892</v>
      </c>
      <c r="K115" s="1" t="n">
        <v>7655</v>
      </c>
      <c r="L115" s="7" t="n">
        <f aca="false">(J115/G115*F115/I115)</f>
        <v>0.939470231303255</v>
      </c>
      <c r="M115" s="7" t="n">
        <f aca="false">(D115/G115*F115/C115)</f>
        <v>0.60566679175762</v>
      </c>
      <c r="N115" s="7" t="n">
        <f aca="false">(K115/H115*F115/I115)</f>
        <v>0.675678325791513</v>
      </c>
      <c r="O115" s="7" t="n">
        <f aca="false">(E115/H115*F115/C115)</f>
        <v>0.577938494173427</v>
      </c>
      <c r="P115" s="7" t="n">
        <f aca="false">(IF(L115&gt;1,L115,1/L115) - 1)*100</f>
        <v>6.44296824741075</v>
      </c>
      <c r="Q115" s="7" t="n">
        <f aca="false">(IF(M115&gt;1,M115,1/M115) - 1)*100</f>
        <v>65.1072856575215</v>
      </c>
      <c r="R115" s="7" t="n">
        <f aca="false">(IF(N115&gt;1,N115,1/N115) - 1)*100</f>
        <v>47.9994195209037</v>
      </c>
      <c r="S115" s="7" t="n">
        <f aca="false">(IF(O115&gt;1,O115,1/O115) - 1)*100</f>
        <v>73.0287928701149</v>
      </c>
      <c r="T115" s="9" t="n">
        <f aca="false">(P115+Q115) &lt; (R115+S115)</f>
        <v>1</v>
      </c>
      <c r="U115" s="10" t="n">
        <f aca="false">IF($T115,P115,R115)</f>
        <v>6.44296824741075</v>
      </c>
      <c r="V115" s="11" t="n">
        <f aca="false">IF($T115,Q115,S115)</f>
        <v>65.1072856575215</v>
      </c>
      <c r="W115" s="12" t="n">
        <f aca="false">P115 &lt; R115</f>
        <v>1</v>
      </c>
      <c r="X115" s="10" t="n">
        <f aca="false">IF($W115,P115,R115)</f>
        <v>6.44296824741075</v>
      </c>
      <c r="Y115" s="1" t="n">
        <v>334111</v>
      </c>
      <c r="Z115" s="1" t="s">
        <v>155</v>
      </c>
      <c r="AA115" s="12" t="n">
        <f aca="false">T115=W115</f>
        <v>1</v>
      </c>
    </row>
    <row r="116" customFormat="false" ht="12.8" hidden="false" customHeight="false" outlineLevel="0" collapsed="false">
      <c r="A116" s="1" t="s">
        <v>156</v>
      </c>
      <c r="B116" s="1" t="n">
        <v>334112</v>
      </c>
      <c r="C116" s="1" t="n">
        <v>9160</v>
      </c>
      <c r="D116" s="1" t="n">
        <v>5698</v>
      </c>
      <c r="E116" s="1" t="n">
        <v>4819</v>
      </c>
      <c r="F116" s="1" t="n">
        <v>9035</v>
      </c>
      <c r="G116" s="1" t="n">
        <v>5018</v>
      </c>
      <c r="H116" s="1" t="n">
        <v>4100</v>
      </c>
      <c r="I116" s="1" t="n">
        <v>5298</v>
      </c>
      <c r="J116" s="1" t="n">
        <v>3722</v>
      </c>
      <c r="K116" s="1" t="n">
        <v>2274</v>
      </c>
      <c r="L116" s="7" t="n">
        <f aca="false">(J116/G116*F116/I116)</f>
        <v>1.26491666617768</v>
      </c>
      <c r="M116" s="7" t="n">
        <f aca="false">(D116/G116*F116/C116)</f>
        <v>1.12001663008802</v>
      </c>
      <c r="N116" s="7" t="n">
        <f aca="false">(K116/H116*F116/I116)</f>
        <v>0.945851172554761</v>
      </c>
      <c r="O116" s="7" t="n">
        <f aca="false">(E116/H116*F116/C116)</f>
        <v>1.15932647246778</v>
      </c>
      <c r="P116" s="7" t="n">
        <f aca="false">(IF(L116&gt;1,L116,1/L116) - 1)*100</f>
        <v>26.4916666177676</v>
      </c>
      <c r="Q116" s="7" t="n">
        <f aca="false">(IF(M116&gt;1,M116,1/M116) - 1)*100</f>
        <v>12.0016630088015</v>
      </c>
      <c r="R116" s="7" t="n">
        <f aca="false">(IF(N116&gt;1,N116,1/N116) - 1)*100</f>
        <v>5.72487818553762</v>
      </c>
      <c r="S116" s="7" t="n">
        <f aca="false">(IF(O116&gt;1,O116,1/O116) - 1)*100</f>
        <v>15.9326472467781</v>
      </c>
      <c r="T116" s="9" t="n">
        <f aca="false">(P116+Q116) &lt; (R116+S116)</f>
        <v>0</v>
      </c>
      <c r="U116" s="10" t="n">
        <f aca="false">IF($T116,P116,R116)</f>
        <v>5.72487818553762</v>
      </c>
      <c r="V116" s="11" t="n">
        <f aca="false">IF($T116,Q116,S116)</f>
        <v>15.9326472467781</v>
      </c>
      <c r="W116" s="12" t="n">
        <f aca="false">P116 &lt; R116</f>
        <v>0</v>
      </c>
      <c r="X116" s="10" t="n">
        <f aca="false">IF($W116,P116,R116)</f>
        <v>5.72487818553762</v>
      </c>
      <c r="Y116" s="1" t="n">
        <v>334112</v>
      </c>
      <c r="Z116" s="1" t="s">
        <v>156</v>
      </c>
      <c r="AA116" s="12" t="n">
        <f aca="false">T116=W116</f>
        <v>1</v>
      </c>
    </row>
    <row r="117" customFormat="false" ht="12.8" hidden="false" customHeight="false" outlineLevel="0" collapsed="false">
      <c r="A117" s="1" t="s">
        <v>157</v>
      </c>
      <c r="B117" s="1" t="n">
        <v>334118</v>
      </c>
      <c r="C117" s="1" t="n">
        <v>15680</v>
      </c>
      <c r="D117" s="1" t="n">
        <v>10224</v>
      </c>
      <c r="E117" s="1" t="n">
        <v>5233</v>
      </c>
      <c r="F117" s="1" t="n">
        <v>12977</v>
      </c>
      <c r="G117" s="1" t="n">
        <v>7806</v>
      </c>
      <c r="H117" s="1" t="n">
        <v>4061</v>
      </c>
      <c r="I117" s="1" t="n">
        <v>8751</v>
      </c>
      <c r="J117" s="1" t="n">
        <v>5706</v>
      </c>
      <c r="K117" s="1" t="n">
        <v>3272</v>
      </c>
      <c r="L117" s="7" t="n">
        <f aca="false">(J117/G117*F117/I117)</f>
        <v>1.08397643541518</v>
      </c>
      <c r="M117" s="7" t="n">
        <f aca="false">(D117/G117*F117/C117)</f>
        <v>1.08397818004988</v>
      </c>
      <c r="N117" s="7" t="n">
        <f aca="false">(K117/H117*F117/I117)</f>
        <v>1.19480471095983</v>
      </c>
      <c r="O117" s="7" t="n">
        <f aca="false">(E117/H117*F117/C117)</f>
        <v>1.06646348855967</v>
      </c>
      <c r="P117" s="7" t="n">
        <f aca="false">(IF(L117&gt;1,L117,1/L117) - 1)*100</f>
        <v>8.39764354151773</v>
      </c>
      <c r="Q117" s="7" t="n">
        <f aca="false">(IF(M117&gt;1,M117,1/M117) - 1)*100</f>
        <v>8.39781800498831</v>
      </c>
      <c r="R117" s="7" t="n">
        <f aca="false">(IF(N117&gt;1,N117,1/N117) - 1)*100</f>
        <v>19.4804710959828</v>
      </c>
      <c r="S117" s="7" t="n">
        <f aca="false">(IF(O117&gt;1,O117,1/O117) - 1)*100</f>
        <v>6.64634885596693</v>
      </c>
      <c r="T117" s="9" t="n">
        <f aca="false">(P117+Q117) &lt; (R117+S117)</f>
        <v>1</v>
      </c>
      <c r="U117" s="10" t="n">
        <f aca="false">IF($T117,P117,R117)</f>
        <v>8.39764354151773</v>
      </c>
      <c r="V117" s="11" t="n">
        <f aca="false">IF($T117,Q117,S117)</f>
        <v>8.39781800498831</v>
      </c>
      <c r="W117" s="12" t="n">
        <f aca="false">P117 &lt; R117</f>
        <v>1</v>
      </c>
      <c r="X117" s="10" t="n">
        <f aca="false">IF($W117,P117,R117)</f>
        <v>8.39764354151773</v>
      </c>
      <c r="Y117" s="1" t="n">
        <v>334118</v>
      </c>
      <c r="Z117" s="1" t="s">
        <v>157</v>
      </c>
      <c r="AA117" s="12" t="n">
        <f aca="false">T117=W117</f>
        <v>1</v>
      </c>
    </row>
    <row r="118" customFormat="false" ht="12.8" hidden="false" customHeight="false" outlineLevel="0" collapsed="false">
      <c r="A118" s="1" t="s">
        <v>158</v>
      </c>
      <c r="B118" s="1" t="n">
        <v>334210</v>
      </c>
      <c r="C118" s="1" t="n">
        <v>23715</v>
      </c>
      <c r="D118" s="1" t="n">
        <v>9936</v>
      </c>
      <c r="E118" s="1" t="n">
        <v>5089</v>
      </c>
      <c r="F118" s="1" t="n">
        <v>12353</v>
      </c>
      <c r="G118" s="1" t="n">
        <v>7822</v>
      </c>
      <c r="H118" s="1" t="n">
        <v>4539</v>
      </c>
      <c r="I118" s="1" t="n">
        <v>7908</v>
      </c>
      <c r="J118" s="1" t="n">
        <v>5137</v>
      </c>
      <c r="K118" s="1" t="n">
        <v>2971</v>
      </c>
      <c r="L118" s="7" t="n">
        <f aca="false">(J118/G118*F118/I118)</f>
        <v>1.02588229546458</v>
      </c>
      <c r="M118" s="7" t="n">
        <f aca="false">(D118/G118*F118/C118)</f>
        <v>0.661672497703893</v>
      </c>
      <c r="N118" s="7" t="n">
        <f aca="false">(K118/H118*F118/I118)</f>
        <v>1.0224645273476</v>
      </c>
      <c r="O118" s="7" t="n">
        <f aca="false">(E118/H118*F118/C118)</f>
        <v>0.584011744072746</v>
      </c>
      <c r="P118" s="7" t="n">
        <f aca="false">(IF(L118&gt;1,L118,1/L118) - 1)*100</f>
        <v>2.58822954645777</v>
      </c>
      <c r="Q118" s="7" t="n">
        <f aca="false">(IF(M118&gt;1,M118,1/M118) - 1)*100</f>
        <v>51.1321693844246</v>
      </c>
      <c r="R118" s="7" t="n">
        <f aca="false">(IF(N118&gt;1,N118,1/N118) - 1)*100</f>
        <v>2.24645273475994</v>
      </c>
      <c r="S118" s="7" t="n">
        <f aca="false">(IF(O118&gt;1,O118,1/O118) - 1)*100</f>
        <v>71.2294333374634</v>
      </c>
      <c r="T118" s="9" t="n">
        <f aca="false">(P118+Q118) &lt; (R118+S118)</f>
        <v>1</v>
      </c>
      <c r="U118" s="10" t="n">
        <f aca="false">IF($T118,P118,R118)</f>
        <v>2.58822954645777</v>
      </c>
      <c r="V118" s="11" t="n">
        <f aca="false">IF($T118,Q118,S118)</f>
        <v>51.1321693844246</v>
      </c>
      <c r="W118" s="12" t="n">
        <f aca="false">P118 &lt; R118</f>
        <v>0</v>
      </c>
      <c r="X118" s="10" t="n">
        <f aca="false">IF($W118,P118,R118)</f>
        <v>2.24645273475994</v>
      </c>
      <c r="Y118" s="1" t="n">
        <v>334210</v>
      </c>
      <c r="Z118" s="1" t="s">
        <v>158</v>
      </c>
      <c r="AA118" s="12" t="n">
        <f aca="false">T118=W118</f>
        <v>0</v>
      </c>
    </row>
    <row r="119" customFormat="false" ht="12.8" hidden="false" customHeight="false" outlineLevel="0" collapsed="false">
      <c r="A119" s="1" t="s">
        <v>159</v>
      </c>
      <c r="B119" s="1" t="n">
        <v>334220</v>
      </c>
      <c r="C119" s="1" t="n">
        <v>45987</v>
      </c>
      <c r="D119" s="1" t="n">
        <v>22588</v>
      </c>
      <c r="E119" s="1" t="n">
        <v>9029</v>
      </c>
      <c r="F119" s="1" t="n">
        <v>35327</v>
      </c>
      <c r="G119" s="1" t="n">
        <v>20965</v>
      </c>
      <c r="H119" s="1" t="n">
        <v>10058</v>
      </c>
      <c r="I119" s="1" t="n">
        <v>29741</v>
      </c>
      <c r="J119" s="1" t="n">
        <v>20825</v>
      </c>
      <c r="K119" s="1" t="n">
        <v>12673</v>
      </c>
      <c r="L119" s="7" t="n">
        <f aca="false">(J119/G119*F119/I119)</f>
        <v>1.17988949561711</v>
      </c>
      <c r="M119" s="7" t="n">
        <f aca="false">(D119/G119*F119/C119)</f>
        <v>0.827665002704468</v>
      </c>
      <c r="N119" s="7" t="n">
        <f aca="false">(K119/H119*F119/I119)</f>
        <v>1.49664567478297</v>
      </c>
      <c r="O119" s="7" t="n">
        <f aca="false">(E119/H119*F119/C119)</f>
        <v>0.689603887596979</v>
      </c>
      <c r="P119" s="7" t="n">
        <f aca="false">(IF(L119&gt;1,L119,1/L119) - 1)*100</f>
        <v>17.9889495617114</v>
      </c>
      <c r="Q119" s="7" t="n">
        <f aca="false">(IF(M119&gt;1,M119,1/M119) - 1)*100</f>
        <v>20.8218296934644</v>
      </c>
      <c r="R119" s="7" t="n">
        <f aca="false">(IF(N119&gt;1,N119,1/N119) - 1)*100</f>
        <v>49.6645674782974</v>
      </c>
      <c r="S119" s="7" t="n">
        <f aca="false">(IF(O119&gt;1,O119,1/O119) - 1)*100</f>
        <v>45.0107834346236</v>
      </c>
      <c r="T119" s="9" t="n">
        <f aca="false">(P119+Q119) &lt; (R119+S119)</f>
        <v>1</v>
      </c>
      <c r="U119" s="10" t="n">
        <f aca="false">IF($T119,P119,R119)</f>
        <v>17.9889495617114</v>
      </c>
      <c r="V119" s="11" t="n">
        <f aca="false">IF($T119,Q119,S119)</f>
        <v>20.8218296934644</v>
      </c>
      <c r="W119" s="12" t="n">
        <f aca="false">P119 &lt; R119</f>
        <v>1</v>
      </c>
      <c r="X119" s="10" t="n">
        <f aca="false">IF($W119,P119,R119)</f>
        <v>17.9889495617114</v>
      </c>
      <c r="Y119" s="1" t="n">
        <v>334220</v>
      </c>
      <c r="Z119" s="1" t="s">
        <v>159</v>
      </c>
      <c r="AA119" s="12" t="n">
        <f aca="false">T119=W119</f>
        <v>1</v>
      </c>
    </row>
    <row r="120" customFormat="false" ht="12.8" hidden="false" customHeight="false" outlineLevel="0" collapsed="false">
      <c r="A120" s="1" t="s">
        <v>160</v>
      </c>
      <c r="B120" s="1" t="n">
        <v>334290</v>
      </c>
      <c r="C120" s="1" t="n">
        <v>5986</v>
      </c>
      <c r="D120" s="1" t="n">
        <v>3289</v>
      </c>
      <c r="E120" s="1" t="n">
        <v>2635</v>
      </c>
      <c r="F120" s="1" t="n">
        <v>6622</v>
      </c>
      <c r="G120" s="1" t="n">
        <v>3993</v>
      </c>
      <c r="H120" s="1" t="n">
        <v>3386</v>
      </c>
      <c r="I120" s="1" t="n">
        <v>5448</v>
      </c>
      <c r="J120" s="1" t="n">
        <v>3749</v>
      </c>
      <c r="K120" s="1" t="n">
        <v>2233</v>
      </c>
      <c r="L120" s="7" t="n">
        <f aca="false">(J120/G120*F120/I120)</f>
        <v>1.14121693506956</v>
      </c>
      <c r="M120" s="7" t="n">
        <f aca="false">(D120/G120*F120/C120)</f>
        <v>0.911206957648655</v>
      </c>
      <c r="N120" s="7" t="n">
        <f aca="false">(K120/H120*F120/I120)</f>
        <v>0.801592872265778</v>
      </c>
      <c r="O120" s="7" t="n">
        <f aca="false">(E120/H120*F120/C120)</f>
        <v>0.860886960300556</v>
      </c>
      <c r="P120" s="7" t="n">
        <f aca="false">(IF(L120&gt;1,L120,1/L120) - 1)*100</f>
        <v>14.1216935069558</v>
      </c>
      <c r="Q120" s="7" t="n">
        <f aca="false">(IF(M120&gt;1,M120,1/M120) - 1)*100</f>
        <v>9.74455271725243</v>
      </c>
      <c r="R120" s="7" t="n">
        <f aca="false">(IF(N120&gt;1,N120,1/N120) - 1)*100</f>
        <v>24.7516082788269</v>
      </c>
      <c r="S120" s="7" t="n">
        <f aca="false">(IF(O120&gt;1,O120,1/O120) - 1)*100</f>
        <v>16.1592689998321</v>
      </c>
      <c r="T120" s="9" t="n">
        <f aca="false">(P120+Q120) &lt; (R120+S120)</f>
        <v>1</v>
      </c>
      <c r="U120" s="10" t="n">
        <f aca="false">IF($T120,P120,R120)</f>
        <v>14.1216935069558</v>
      </c>
      <c r="V120" s="11" t="n">
        <f aca="false">IF($T120,Q120,S120)</f>
        <v>9.74455271725243</v>
      </c>
      <c r="W120" s="12" t="n">
        <f aca="false">P120 &lt; R120</f>
        <v>1</v>
      </c>
      <c r="X120" s="10" t="n">
        <f aca="false">IF($W120,P120,R120)</f>
        <v>14.1216935069558</v>
      </c>
      <c r="Y120" s="1" t="n">
        <v>334290</v>
      </c>
      <c r="Z120" s="1" t="s">
        <v>160</v>
      </c>
      <c r="AA120" s="12" t="n">
        <f aca="false">T120=W120</f>
        <v>1</v>
      </c>
    </row>
    <row r="121" customFormat="false" ht="12.8" hidden="false" customHeight="false" outlineLevel="0" collapsed="false">
      <c r="A121" s="1" t="s">
        <v>161</v>
      </c>
      <c r="B121" s="1" t="n">
        <v>334413</v>
      </c>
      <c r="C121" s="1" t="n">
        <v>78385</v>
      </c>
      <c r="D121" s="1" t="n">
        <v>47136</v>
      </c>
      <c r="E121" s="1" t="n">
        <v>21246</v>
      </c>
      <c r="F121" s="1" t="n">
        <v>57132</v>
      </c>
      <c r="G121" s="1" t="n">
        <v>39412</v>
      </c>
      <c r="H121" s="1" t="n">
        <v>23303</v>
      </c>
      <c r="I121" s="1" t="n">
        <v>64183</v>
      </c>
      <c r="J121" s="1" t="n">
        <v>48484</v>
      </c>
      <c r="K121" s="1" t="n">
        <v>26798</v>
      </c>
      <c r="L121" s="7" t="n">
        <f aca="false">(J121/G121*F121/I121)</f>
        <v>1.09503848637511</v>
      </c>
      <c r="M121" s="7" t="n">
        <f aca="false">(D121/G121*F121/C121)</f>
        <v>0.871707366126675</v>
      </c>
      <c r="N121" s="7" t="n">
        <f aca="false">(K121/H121*F121/I121)</f>
        <v>1.02364639755583</v>
      </c>
      <c r="O121" s="7" t="n">
        <f aca="false">(E121/H121*F121/C121)</f>
        <v>0.664525738589154</v>
      </c>
      <c r="P121" s="7" t="n">
        <f aca="false">(IF(L121&gt;1,L121,1/L121) - 1)*100</f>
        <v>9.50384863751133</v>
      </c>
      <c r="Q121" s="7" t="n">
        <f aca="false">(IF(M121&gt;1,M121,1/M121) - 1)*100</f>
        <v>14.7173970140206</v>
      </c>
      <c r="R121" s="7" t="n">
        <f aca="false">(IF(N121&gt;1,N121,1/N121) - 1)*100</f>
        <v>2.36463975558332</v>
      </c>
      <c r="S121" s="7" t="n">
        <f aca="false">(IF(O121&gt;1,O121,1/O121) - 1)*100</f>
        <v>50.4832607572263</v>
      </c>
      <c r="T121" s="9" t="n">
        <f aca="false">(P121+Q121) &lt; (R121+S121)</f>
        <v>1</v>
      </c>
      <c r="U121" s="10" t="n">
        <f aca="false">IF($T121,P121,R121)</f>
        <v>9.50384863751133</v>
      </c>
      <c r="V121" s="11" t="n">
        <f aca="false">IF($T121,Q121,S121)</f>
        <v>14.7173970140206</v>
      </c>
      <c r="W121" s="12" t="n">
        <f aca="false">P121 &lt; R121</f>
        <v>0</v>
      </c>
      <c r="X121" s="10" t="n">
        <f aca="false">IF($W121,P121,R121)</f>
        <v>2.36463975558332</v>
      </c>
      <c r="Y121" s="1" t="n">
        <v>334413</v>
      </c>
      <c r="Z121" s="1" t="s">
        <v>161</v>
      </c>
      <c r="AA121" s="12" t="n">
        <f aca="false">T121=W121</f>
        <v>0</v>
      </c>
    </row>
    <row r="122" customFormat="false" ht="12.8" hidden="false" customHeight="false" outlineLevel="0" collapsed="false">
      <c r="A122" s="1" t="s">
        <v>162</v>
      </c>
      <c r="B122" s="1" t="n">
        <v>334418</v>
      </c>
      <c r="C122" s="1" t="n">
        <v>24227</v>
      </c>
      <c r="D122" s="1" t="n">
        <v>9834</v>
      </c>
      <c r="E122" s="1" t="n">
        <v>4689</v>
      </c>
      <c r="F122" s="1" t="n">
        <v>19542</v>
      </c>
      <c r="G122" s="1" t="n">
        <v>8974</v>
      </c>
      <c r="H122" s="1" t="n">
        <v>5321</v>
      </c>
      <c r="I122" s="1" t="n">
        <v>20012</v>
      </c>
      <c r="J122" s="1" t="n">
        <v>13876</v>
      </c>
      <c r="K122" s="1" t="n">
        <v>8431</v>
      </c>
      <c r="L122" s="7" t="n">
        <f aca="false">(J122/G122*F122/I122)</f>
        <v>1.50992974529523</v>
      </c>
      <c r="M122" s="7" t="n">
        <f aca="false">(D122/G122*F122/C122)</f>
        <v>0.883921115001084</v>
      </c>
      <c r="N122" s="7" t="n">
        <f aca="false">(K122/H122*F122/I122)</f>
        <v>1.54726372971556</v>
      </c>
      <c r="O122" s="7" t="n">
        <f aca="false">(E122/H122*F122/C122)</f>
        <v>0.710814606385307</v>
      </c>
      <c r="P122" s="7" t="n">
        <f aca="false">(IF(L122&gt;1,L122,1/L122) - 1)*100</f>
        <v>50.9929745295234</v>
      </c>
      <c r="Q122" s="7" t="n">
        <f aca="false">(IF(M122&gt;1,M122,1/M122) - 1)*100</f>
        <v>13.1322674647017</v>
      </c>
      <c r="R122" s="7" t="n">
        <f aca="false">(IF(N122&gt;1,N122,1/N122) - 1)*100</f>
        <v>54.7263729715563</v>
      </c>
      <c r="S122" s="7" t="n">
        <f aca="false">(IF(O122&gt;1,O122,1/O122) - 1)*100</f>
        <v>40.6836594263704</v>
      </c>
      <c r="T122" s="9" t="n">
        <f aca="false">(P122+Q122) &lt; (R122+S122)</f>
        <v>1</v>
      </c>
      <c r="U122" s="10" t="n">
        <f aca="false">IF($T122,P122,R122)</f>
        <v>50.9929745295234</v>
      </c>
      <c r="V122" s="11" t="n">
        <f aca="false">IF($T122,Q122,S122)</f>
        <v>13.1322674647017</v>
      </c>
      <c r="W122" s="12" t="n">
        <f aca="false">P122 &lt; R122</f>
        <v>1</v>
      </c>
      <c r="X122" s="10" t="n">
        <f aca="false">IF($W122,P122,R122)</f>
        <v>50.9929745295234</v>
      </c>
      <c r="Y122" s="1" t="n">
        <v>334418</v>
      </c>
      <c r="Z122" s="1" t="s">
        <v>162</v>
      </c>
      <c r="AA122" s="12" t="n">
        <f aca="false">T122=W122</f>
        <v>1</v>
      </c>
    </row>
    <row r="123" customFormat="false" ht="12.8" hidden="false" customHeight="false" outlineLevel="0" collapsed="false">
      <c r="A123" s="1" t="s">
        <v>163</v>
      </c>
      <c r="B123" s="1" t="s">
        <v>164</v>
      </c>
      <c r="C123" s="1" t="n">
        <v>31591</v>
      </c>
      <c r="D123" s="1" t="n">
        <v>17894</v>
      </c>
      <c r="E123" s="1" t="n">
        <v>14940</v>
      </c>
      <c r="F123" s="1" t="n">
        <v>30850</v>
      </c>
      <c r="G123" s="1" t="n">
        <v>16683</v>
      </c>
      <c r="H123" s="1" t="n">
        <v>14379</v>
      </c>
      <c r="I123" s="1" t="n">
        <v>30058</v>
      </c>
      <c r="J123" s="1" t="n">
        <v>21051</v>
      </c>
      <c r="K123" s="1" t="n">
        <v>16720</v>
      </c>
      <c r="L123" s="7" t="n">
        <f aca="false">(J123/G123*F123/I123)</f>
        <v>1.29507127196597</v>
      </c>
      <c r="M123" s="7" t="n">
        <f aca="false">(D123/G123*F123/C123)</f>
        <v>1.04743016748148</v>
      </c>
      <c r="N123" s="7" t="n">
        <f aca="false">(K123/H123*F123/I123)</f>
        <v>1.19344573738795</v>
      </c>
      <c r="O123" s="7" t="n">
        <f aca="false">(E123/H123*F123/C123)</f>
        <v>1.01464403983094</v>
      </c>
      <c r="P123" s="7" t="n">
        <f aca="false">(IF(L123&gt;1,L123,1/L123) - 1)*100</f>
        <v>29.5071271965969</v>
      </c>
      <c r="Q123" s="7" t="n">
        <f aca="false">(IF(M123&gt;1,M123,1/M123) - 1)*100</f>
        <v>4.74301674814823</v>
      </c>
      <c r="R123" s="7" t="n">
        <f aca="false">(IF(N123&gt;1,N123,1/N123) - 1)*100</f>
        <v>19.3445737387954</v>
      </c>
      <c r="S123" s="7" t="n">
        <f aca="false">(IF(O123&gt;1,O123,1/O123) - 1)*100</f>
        <v>1.46440398309389</v>
      </c>
      <c r="T123" s="9" t="n">
        <f aca="false">(P123+Q123) &lt; (R123+S123)</f>
        <v>0</v>
      </c>
      <c r="U123" s="10" t="n">
        <f aca="false">IF($T123,P123,R123)</f>
        <v>19.3445737387954</v>
      </c>
      <c r="V123" s="11" t="n">
        <f aca="false">IF($T123,Q123,S123)</f>
        <v>1.46440398309389</v>
      </c>
      <c r="W123" s="12" t="n">
        <f aca="false">P123 &lt; R123</f>
        <v>0</v>
      </c>
      <c r="X123" s="10" t="n">
        <f aca="false">IF($W123,P123,R123)</f>
        <v>19.3445737387954</v>
      </c>
      <c r="Y123" s="1" t="s">
        <v>164</v>
      </c>
      <c r="Z123" s="1" t="s">
        <v>163</v>
      </c>
      <c r="AA123" s="12" t="n">
        <f aca="false">T123=W123</f>
        <v>1</v>
      </c>
    </row>
    <row r="124" customFormat="false" ht="12.8" hidden="false" customHeight="false" outlineLevel="0" collapsed="false">
      <c r="A124" s="1" t="s">
        <v>165</v>
      </c>
      <c r="B124" s="1" t="n">
        <v>334510</v>
      </c>
      <c r="C124" s="1" t="n">
        <v>26216</v>
      </c>
      <c r="D124" s="1" t="n">
        <v>13438</v>
      </c>
      <c r="E124" s="1" t="n">
        <v>5897</v>
      </c>
      <c r="F124" s="1" t="n">
        <v>28667</v>
      </c>
      <c r="G124" s="1" t="n">
        <v>21191</v>
      </c>
      <c r="H124" s="1" t="n">
        <v>7024</v>
      </c>
      <c r="I124" s="1" t="n">
        <v>33425</v>
      </c>
      <c r="J124" s="1" t="n">
        <v>21391</v>
      </c>
      <c r="K124" s="1" t="n">
        <v>11072</v>
      </c>
      <c r="L124" s="7" t="n">
        <f aca="false">(J124/G124*F124/I124)</f>
        <v>0.865745946323511</v>
      </c>
      <c r="M124" s="7" t="n">
        <f aca="false">(D124/G124*F124/C124)</f>
        <v>0.693424214657373</v>
      </c>
      <c r="N124" s="7" t="n">
        <f aca="false">(K124/H124*F124/I124)</f>
        <v>1.35192439470272</v>
      </c>
      <c r="O124" s="7" t="n">
        <f aca="false">(E124/H124*F124/C124)</f>
        <v>0.918041772773656</v>
      </c>
      <c r="P124" s="7" t="n">
        <f aca="false">(IF(L124&gt;1,L124,1/L124) - 1)*100</f>
        <v>15.5073268603353</v>
      </c>
      <c r="Q124" s="7" t="n">
        <f aca="false">(IF(M124&gt;1,M124,1/M124) - 1)*100</f>
        <v>44.2118661076912</v>
      </c>
      <c r="R124" s="7" t="n">
        <f aca="false">(IF(N124&gt;1,N124,1/N124) - 1)*100</f>
        <v>35.1924394702722</v>
      </c>
      <c r="S124" s="7" t="n">
        <f aca="false">(IF(O124&gt;1,O124,1/O124) - 1)*100</f>
        <v>8.92750522437837</v>
      </c>
      <c r="T124" s="9" t="n">
        <f aca="false">(P124+Q124) &lt; (R124+S124)</f>
        <v>0</v>
      </c>
      <c r="U124" s="10" t="n">
        <f aca="false">IF($T124,P124,R124)</f>
        <v>35.1924394702722</v>
      </c>
      <c r="V124" s="11" t="n">
        <f aca="false">IF($T124,Q124,S124)</f>
        <v>8.92750522437837</v>
      </c>
      <c r="W124" s="12" t="n">
        <f aca="false">P124 &lt; R124</f>
        <v>1</v>
      </c>
      <c r="X124" s="10" t="n">
        <f aca="false">IF($W124,P124,R124)</f>
        <v>15.5073268603353</v>
      </c>
      <c r="Y124" s="1" t="n">
        <v>334510</v>
      </c>
      <c r="Z124" s="1" t="s">
        <v>165</v>
      </c>
      <c r="AA124" s="12" t="n">
        <f aca="false">T124=W124</f>
        <v>0</v>
      </c>
    </row>
    <row r="125" customFormat="false" ht="12.8" hidden="false" customHeight="false" outlineLevel="0" collapsed="false">
      <c r="A125" s="1" t="s">
        <v>166</v>
      </c>
      <c r="B125" s="1" t="n">
        <v>334511</v>
      </c>
      <c r="C125" s="1" t="n">
        <v>51125</v>
      </c>
      <c r="D125" s="1" t="n">
        <v>29662</v>
      </c>
      <c r="E125" s="1" t="n">
        <v>18409</v>
      </c>
      <c r="F125" s="1" t="n">
        <v>51343</v>
      </c>
      <c r="G125" s="1" t="n">
        <v>37712</v>
      </c>
      <c r="H125" s="1" t="n">
        <v>18738</v>
      </c>
      <c r="I125" s="1" t="n">
        <v>53861</v>
      </c>
      <c r="J125" s="1" t="n">
        <v>39415</v>
      </c>
      <c r="K125" s="1" t="n">
        <v>23071</v>
      </c>
      <c r="L125" s="7" t="n">
        <f aca="false">(J125/G125*F125/I125)</f>
        <v>0.996296935475032</v>
      </c>
      <c r="M125" s="7" t="n">
        <f aca="false">(D125/G125*F125/C125)</f>
        <v>0.78989394645093</v>
      </c>
      <c r="N125" s="7" t="n">
        <f aca="false">(K125/H125*F125/I125)</f>
        <v>1.17368083571357</v>
      </c>
      <c r="O125" s="7" t="n">
        <f aca="false">(E125/H125*F125/C125)</f>
        <v>0.98663128702288</v>
      </c>
      <c r="P125" s="7" t="n">
        <f aca="false">(IF(L125&gt;1,L125,1/L125) - 1)*100</f>
        <v>0.371682817954522</v>
      </c>
      <c r="Q125" s="7" t="n">
        <f aca="false">(IF(M125&gt;1,M125,1/M125) - 1)*100</f>
        <v>26.599273800375</v>
      </c>
      <c r="R125" s="7" t="n">
        <f aca="false">(IF(N125&gt;1,N125,1/N125) - 1)*100</f>
        <v>17.3680835713567</v>
      </c>
      <c r="S125" s="7" t="n">
        <f aca="false">(IF(O125&gt;1,O125,1/O125) - 1)*100</f>
        <v>1.35498571279449</v>
      </c>
      <c r="T125" s="9" t="n">
        <f aca="false">(P125+Q125) &lt; (R125+S125)</f>
        <v>0</v>
      </c>
      <c r="U125" s="10" t="n">
        <f aca="false">IF($T125,P125,R125)</f>
        <v>17.3680835713567</v>
      </c>
      <c r="V125" s="11" t="n">
        <f aca="false">IF($T125,Q125,S125)</f>
        <v>1.35498571279449</v>
      </c>
      <c r="W125" s="12" t="n">
        <f aca="false">P125 &lt; R125</f>
        <v>1</v>
      </c>
      <c r="X125" s="10" t="n">
        <f aca="false">IF($W125,P125,R125)</f>
        <v>0.371682817954522</v>
      </c>
      <c r="Y125" s="1" t="n">
        <v>334511</v>
      </c>
      <c r="Z125" s="1" t="s">
        <v>166</v>
      </c>
      <c r="AA125" s="12" t="n">
        <f aca="false">T125=W125</f>
        <v>0</v>
      </c>
    </row>
    <row r="126" customFormat="false" ht="12.8" hidden="false" customHeight="false" outlineLevel="0" collapsed="false">
      <c r="A126" s="1" t="s">
        <v>167</v>
      </c>
      <c r="B126" s="1" t="n">
        <v>334512</v>
      </c>
      <c r="C126" s="1" t="n">
        <v>3395</v>
      </c>
      <c r="D126" s="1" t="n">
        <v>1717</v>
      </c>
      <c r="E126" s="1" t="n">
        <v>1530</v>
      </c>
      <c r="F126" s="1" t="n">
        <v>2741</v>
      </c>
      <c r="G126" s="1" t="n">
        <v>1707</v>
      </c>
      <c r="H126" s="1" t="n">
        <v>1522</v>
      </c>
      <c r="I126" s="1" t="n">
        <v>3195</v>
      </c>
      <c r="J126" s="1" t="n">
        <v>2371</v>
      </c>
      <c r="K126" s="1" t="n">
        <v>1467</v>
      </c>
      <c r="L126" s="7" t="n">
        <f aca="false">(J126/G126*F126/I126)</f>
        <v>1.19161567072159</v>
      </c>
      <c r="M126" s="7" t="n">
        <f aca="false">(D126/G126*F126/C126)</f>
        <v>0.812093493567594</v>
      </c>
      <c r="N126" s="7" t="n">
        <f aca="false">(K126/H126*F126/I126)</f>
        <v>0.826901223371768</v>
      </c>
      <c r="O126" s="7" t="n">
        <f aca="false">(E126/H126*F126/C126)</f>
        <v>0.811607469436967</v>
      </c>
      <c r="P126" s="7" t="n">
        <f aca="false">(IF(L126&gt;1,L126,1/L126) - 1)*100</f>
        <v>19.1615670721589</v>
      </c>
      <c r="Q126" s="7" t="n">
        <f aca="false">(IF(M126&gt;1,M126,1/M126) - 1)*100</f>
        <v>23.1385312061691</v>
      </c>
      <c r="R126" s="7" t="n">
        <f aca="false">(IF(N126&gt;1,N126,1/N126) - 1)*100</f>
        <v>20.9334285324195</v>
      </c>
      <c r="S126" s="7" t="n">
        <f aca="false">(IF(O126&gt;1,O126,1/O126) - 1)*100</f>
        <v>23.2122716531584</v>
      </c>
      <c r="T126" s="9" t="n">
        <f aca="false">(P126+Q126) &lt; (R126+S126)</f>
        <v>1</v>
      </c>
      <c r="U126" s="10" t="n">
        <f aca="false">IF($T126,P126,R126)</f>
        <v>19.1615670721589</v>
      </c>
      <c r="V126" s="11" t="n">
        <f aca="false">IF($T126,Q126,S126)</f>
        <v>23.1385312061691</v>
      </c>
      <c r="W126" s="12" t="n">
        <f aca="false">P126 &lt; R126</f>
        <v>1</v>
      </c>
      <c r="X126" s="10" t="n">
        <f aca="false">IF($W126,P126,R126)</f>
        <v>19.1615670721589</v>
      </c>
      <c r="Y126" s="1" t="n">
        <v>334512</v>
      </c>
      <c r="Z126" s="1" t="s">
        <v>167</v>
      </c>
      <c r="AA126" s="12" t="n">
        <f aca="false">T126=W126</f>
        <v>1</v>
      </c>
    </row>
    <row r="127" customFormat="false" ht="12.8" hidden="false" customHeight="false" outlineLevel="0" collapsed="false">
      <c r="A127" s="1" t="s">
        <v>168</v>
      </c>
      <c r="B127" s="1" t="n">
        <v>334513</v>
      </c>
      <c r="C127" s="1" t="n">
        <v>10262</v>
      </c>
      <c r="D127" s="1" t="n">
        <v>5441</v>
      </c>
      <c r="E127" s="1" t="n">
        <v>5035</v>
      </c>
      <c r="F127" s="1" t="n">
        <v>12085</v>
      </c>
      <c r="G127" s="1" t="n">
        <v>7816</v>
      </c>
      <c r="H127" s="1" t="n">
        <v>7236</v>
      </c>
      <c r="I127" s="1" t="n">
        <v>11471</v>
      </c>
      <c r="J127" s="1" t="n">
        <v>8675</v>
      </c>
      <c r="K127" s="1" t="n">
        <v>8013</v>
      </c>
      <c r="L127" s="7" t="n">
        <f aca="false">(J127/G127*F127/I127)</f>
        <v>1.16931173373253</v>
      </c>
      <c r="M127" s="7" t="n">
        <f aca="false">(D127/G127*F127/C127)</f>
        <v>0.819801709539642</v>
      </c>
      <c r="N127" s="7" t="n">
        <f aca="false">(K127/H127*F127/I127)</f>
        <v>1.16665369141275</v>
      </c>
      <c r="O127" s="7" t="n">
        <f aca="false">(E127/H127*F127/C127)</f>
        <v>0.819436983750987</v>
      </c>
      <c r="P127" s="7" t="n">
        <f aca="false">(IF(L127&gt;1,L127,1/L127) - 1)*100</f>
        <v>16.931173373253</v>
      </c>
      <c r="Q127" s="7" t="n">
        <f aca="false">(IF(M127&gt;1,M127,1/M127) - 1)*100</f>
        <v>21.9807166005482</v>
      </c>
      <c r="R127" s="7" t="n">
        <f aca="false">(IF(N127&gt;1,N127,1/N127) - 1)*100</f>
        <v>16.6653691412753</v>
      </c>
      <c r="S127" s="7" t="n">
        <f aca="false">(IF(O127&gt;1,O127,1/O127) - 1)*100</f>
        <v>22.0350093819885</v>
      </c>
      <c r="T127" s="9" t="n">
        <f aca="false">(P127+Q127) &lt; (R127+S127)</f>
        <v>0</v>
      </c>
      <c r="U127" s="10" t="n">
        <f aca="false">IF($T127,P127,R127)</f>
        <v>16.6653691412753</v>
      </c>
      <c r="V127" s="11" t="n">
        <f aca="false">IF($T127,Q127,S127)</f>
        <v>22.0350093819885</v>
      </c>
      <c r="W127" s="12" t="n">
        <f aca="false">P127 &lt; R127</f>
        <v>0</v>
      </c>
      <c r="X127" s="10" t="n">
        <f aca="false">IF($W127,P127,R127)</f>
        <v>16.6653691412753</v>
      </c>
      <c r="Y127" s="1" t="n">
        <v>334513</v>
      </c>
      <c r="Z127" s="1" t="s">
        <v>168</v>
      </c>
      <c r="AA127" s="12" t="n">
        <f aca="false">T127=W127</f>
        <v>1</v>
      </c>
    </row>
    <row r="128" customFormat="false" ht="12.8" hidden="false" customHeight="false" outlineLevel="0" collapsed="false">
      <c r="A128" s="1" t="s">
        <v>169</v>
      </c>
      <c r="B128" s="1" t="n">
        <v>334514</v>
      </c>
      <c r="C128" s="1" t="n">
        <v>5840</v>
      </c>
      <c r="D128" s="1" t="n">
        <v>2672</v>
      </c>
      <c r="E128" s="1" t="n">
        <v>909</v>
      </c>
      <c r="F128" s="1" t="n">
        <v>6907</v>
      </c>
      <c r="G128" s="1" t="n">
        <v>4576</v>
      </c>
      <c r="H128" s="1" t="n">
        <v>1550</v>
      </c>
      <c r="I128" s="1" t="n">
        <v>5904</v>
      </c>
      <c r="J128" s="1" t="n">
        <v>3196</v>
      </c>
      <c r="K128" s="1" t="n">
        <v>1559</v>
      </c>
      <c r="L128" s="7" t="n">
        <f aca="false">(J128/G128*F128/I128)</f>
        <v>0.817078648824076</v>
      </c>
      <c r="M128" s="7" t="n">
        <f aca="false">(D128/G128*F128/C128)</f>
        <v>0.690600751987738</v>
      </c>
      <c r="N128" s="7" t="n">
        <f aca="false">(K128/H128*F128/I128)</f>
        <v>1.17667770347058</v>
      </c>
      <c r="O128" s="7" t="n">
        <f aca="false">(E128/H128*F128/C128)</f>
        <v>0.693599536014141</v>
      </c>
      <c r="P128" s="7" t="n">
        <f aca="false">(IF(L128&gt;1,L128,1/L128) - 1)*100</f>
        <v>22.3872391524587</v>
      </c>
      <c r="Q128" s="7" t="n">
        <f aca="false">(IF(M128&gt;1,M128,1/M128) - 1)*100</f>
        <v>44.8014641052339</v>
      </c>
      <c r="R128" s="7" t="n">
        <f aca="false">(IF(N128&gt;1,N128,1/N128) - 1)*100</f>
        <v>17.6677703470583</v>
      </c>
      <c r="S128" s="7" t="n">
        <f aca="false">(IF(O128&gt;1,O128,1/O128) - 1)*100</f>
        <v>44.1754136322855</v>
      </c>
      <c r="T128" s="9" t="n">
        <f aca="false">(P128+Q128) &lt; (R128+S128)</f>
        <v>0</v>
      </c>
      <c r="U128" s="10" t="n">
        <f aca="false">IF($T128,P128,R128)</f>
        <v>17.6677703470583</v>
      </c>
      <c r="V128" s="11" t="n">
        <f aca="false">IF($T128,Q128,S128)</f>
        <v>44.1754136322855</v>
      </c>
      <c r="W128" s="12" t="n">
        <f aca="false">P128 &lt; R128</f>
        <v>0</v>
      </c>
      <c r="X128" s="10" t="n">
        <f aca="false">IF($W128,P128,R128)</f>
        <v>17.6677703470583</v>
      </c>
      <c r="Y128" s="1" t="n">
        <v>334514</v>
      </c>
      <c r="Z128" s="1" t="s">
        <v>169</v>
      </c>
      <c r="AA128" s="12" t="n">
        <f aca="false">T128=W128</f>
        <v>1</v>
      </c>
    </row>
    <row r="129" customFormat="false" ht="12.8" hidden="false" customHeight="false" outlineLevel="0" collapsed="false">
      <c r="A129" s="1" t="s">
        <v>170</v>
      </c>
      <c r="B129" s="1" t="n">
        <v>334515</v>
      </c>
      <c r="C129" s="1" t="n">
        <v>13382</v>
      </c>
      <c r="D129" s="1" t="n">
        <v>5594</v>
      </c>
      <c r="E129" s="1" t="n">
        <v>4150</v>
      </c>
      <c r="F129" s="1" t="n">
        <v>13340</v>
      </c>
      <c r="G129" s="1" t="n">
        <v>7440</v>
      </c>
      <c r="H129" s="1" t="n">
        <v>4630</v>
      </c>
      <c r="I129" s="1" t="n">
        <v>12042</v>
      </c>
      <c r="J129" s="1" t="n">
        <v>8139</v>
      </c>
      <c r="K129" s="1" t="n">
        <v>4816</v>
      </c>
      <c r="L129" s="7" t="n">
        <f aca="false">(J129/G129*F129/I129)</f>
        <v>1.21186800499328</v>
      </c>
      <c r="M129" s="7" t="n">
        <f aca="false">(D129/G129*F129/C129)</f>
        <v>0.74952190633221</v>
      </c>
      <c r="N129" s="7" t="n">
        <f aca="false">(K129/H129*F129/I129)</f>
        <v>1.15229239059978</v>
      </c>
      <c r="O129" s="7" t="n">
        <f aca="false">(E129/H129*F129/C129)</f>
        <v>0.893515127667383</v>
      </c>
      <c r="P129" s="7" t="n">
        <f aca="false">(IF(L129&gt;1,L129,1/L129) - 1)*100</f>
        <v>21.1868004993276</v>
      </c>
      <c r="Q129" s="7" t="n">
        <f aca="false">(IF(M129&gt;1,M129,1/M129) - 1)*100</f>
        <v>33.4183819781207</v>
      </c>
      <c r="R129" s="7" t="n">
        <f aca="false">(IF(N129&gt;1,N129,1/N129) - 1)*100</f>
        <v>15.2292390599783</v>
      </c>
      <c r="S129" s="7" t="n">
        <f aca="false">(IF(O129&gt;1,O129,1/O129) - 1)*100</f>
        <v>11.9175231661278</v>
      </c>
      <c r="T129" s="9" t="n">
        <f aca="false">(P129+Q129) &lt; (R129+S129)</f>
        <v>0</v>
      </c>
      <c r="U129" s="10" t="n">
        <f aca="false">IF($T129,P129,R129)</f>
        <v>15.2292390599783</v>
      </c>
      <c r="V129" s="11" t="n">
        <f aca="false">IF($T129,Q129,S129)</f>
        <v>11.9175231661278</v>
      </c>
      <c r="W129" s="12" t="n">
        <f aca="false">P129 &lt; R129</f>
        <v>0</v>
      </c>
      <c r="X129" s="10" t="n">
        <f aca="false">IF($W129,P129,R129)</f>
        <v>15.2292390599783</v>
      </c>
      <c r="Y129" s="1" t="n">
        <v>334515</v>
      </c>
      <c r="Z129" s="1" t="s">
        <v>170</v>
      </c>
      <c r="AA129" s="12" t="n">
        <f aca="false">T129=W129</f>
        <v>1</v>
      </c>
    </row>
    <row r="130" customFormat="false" ht="12.8" hidden="false" customHeight="false" outlineLevel="0" collapsed="false">
      <c r="A130" s="1" t="s">
        <v>171</v>
      </c>
      <c r="B130" s="1" t="n">
        <v>334516</v>
      </c>
      <c r="C130" s="1" t="n">
        <v>13721</v>
      </c>
      <c r="D130" s="1" t="n">
        <v>7266</v>
      </c>
      <c r="E130" s="1" t="n">
        <v>3677</v>
      </c>
      <c r="F130" s="1" t="n">
        <v>14579</v>
      </c>
      <c r="G130" s="1" t="n">
        <v>9509</v>
      </c>
      <c r="H130" s="1" t="n">
        <v>3774</v>
      </c>
      <c r="I130" s="1" t="n">
        <v>15890</v>
      </c>
      <c r="J130" s="1" t="n">
        <v>11160</v>
      </c>
      <c r="K130" s="1" t="n">
        <v>6764</v>
      </c>
      <c r="L130" s="7" t="n">
        <f aca="false">(J130/G130*F130/I130)</f>
        <v>1.07679538598821</v>
      </c>
      <c r="M130" s="7" t="n">
        <f aca="false">(D130/G130*F130/C130)</f>
        <v>0.811899955783185</v>
      </c>
      <c r="N130" s="7" t="n">
        <f aca="false">(K130/H130*F130/I130)</f>
        <v>1.64439270648133</v>
      </c>
      <c r="O130" s="7" t="n">
        <f aca="false">(E130/H130*F130/C130)</f>
        <v>1.03522250734767</v>
      </c>
      <c r="P130" s="7" t="n">
        <f aca="false">(IF(L130&gt;1,L130,1/L130) - 1)*100</f>
        <v>7.67953859882071</v>
      </c>
      <c r="Q130" s="7" t="n">
        <f aca="false">(IF(M130&gt;1,M130,1/M130) - 1)*100</f>
        <v>23.1678845253006</v>
      </c>
      <c r="R130" s="7" t="n">
        <f aca="false">(IF(N130&gt;1,N130,1/N130) - 1)*100</f>
        <v>64.4392706481331</v>
      </c>
      <c r="S130" s="7" t="n">
        <f aca="false">(IF(O130&gt;1,O130,1/O130) - 1)*100</f>
        <v>3.5222507347674</v>
      </c>
      <c r="T130" s="9" t="n">
        <f aca="false">(P130+Q130) &lt; (R130+S130)</f>
        <v>1</v>
      </c>
      <c r="U130" s="10" t="n">
        <f aca="false">IF($T130,P130,R130)</f>
        <v>7.67953859882071</v>
      </c>
      <c r="V130" s="11" t="n">
        <f aca="false">IF($T130,Q130,S130)</f>
        <v>23.1678845253006</v>
      </c>
      <c r="W130" s="12" t="n">
        <f aca="false">P130 &lt; R130</f>
        <v>1</v>
      </c>
      <c r="X130" s="10" t="n">
        <f aca="false">IF($W130,P130,R130)</f>
        <v>7.67953859882071</v>
      </c>
      <c r="Y130" s="1" t="n">
        <v>334516</v>
      </c>
      <c r="Z130" s="1" t="s">
        <v>171</v>
      </c>
      <c r="AA130" s="12" t="n">
        <f aca="false">T130=W130</f>
        <v>1</v>
      </c>
    </row>
    <row r="131" customFormat="false" ht="12.8" hidden="false" customHeight="false" outlineLevel="0" collapsed="false">
      <c r="A131" s="1" t="s">
        <v>172</v>
      </c>
      <c r="B131" s="1" t="n">
        <v>334517</v>
      </c>
      <c r="C131" s="1" t="n">
        <v>5684</v>
      </c>
      <c r="D131" s="1" t="n">
        <v>1967</v>
      </c>
      <c r="E131" s="1" t="n">
        <v>882</v>
      </c>
      <c r="F131" s="1" t="n">
        <v>9397</v>
      </c>
      <c r="G131" s="1" t="n">
        <v>5812</v>
      </c>
      <c r="H131" s="1" t="n">
        <v>3286</v>
      </c>
      <c r="I131" s="1" t="n">
        <v>9526</v>
      </c>
      <c r="J131" s="1" t="n">
        <v>6362</v>
      </c>
      <c r="K131" s="1" t="n">
        <v>3723</v>
      </c>
      <c r="L131" s="7" t="n">
        <f aca="false">(J131/G131*F131/I131)</f>
        <v>1.0798084179799</v>
      </c>
      <c r="M131" s="7" t="n">
        <f aca="false">(D131/G131*F131/C131)</f>
        <v>0.559517805864544</v>
      </c>
      <c r="N131" s="7" t="n">
        <f aca="false">(K131/H131*F131/I131)</f>
        <v>1.11764563626933</v>
      </c>
      <c r="O131" s="7" t="n">
        <f aca="false">(E131/H131*F131/C131)</f>
        <v>0.443747770058975</v>
      </c>
      <c r="P131" s="7" t="n">
        <f aca="false">(IF(L131&gt;1,L131,1/L131) - 1)*100</f>
        <v>7.98084179799004</v>
      </c>
      <c r="Q131" s="7" t="n">
        <f aca="false">(IF(M131&gt;1,M131,1/M131) - 1)*100</f>
        <v>78.7253219680545</v>
      </c>
      <c r="R131" s="7" t="n">
        <f aca="false">(IF(N131&gt;1,N131,1/N131) - 1)*100</f>
        <v>11.7645636269331</v>
      </c>
      <c r="S131" s="7" t="n">
        <f aca="false">(IF(O131&gt;1,O131,1/O131) - 1)*100</f>
        <v>125.353245125513</v>
      </c>
      <c r="T131" s="9" t="n">
        <f aca="false">(P131+Q131) &lt; (R131+S131)</f>
        <v>1</v>
      </c>
      <c r="U131" s="10" t="n">
        <f aca="false">IF($T131,P131,R131)</f>
        <v>7.98084179799004</v>
      </c>
      <c r="V131" s="11" t="n">
        <f aca="false">IF($T131,Q131,S131)</f>
        <v>78.7253219680545</v>
      </c>
      <c r="W131" s="12" t="n">
        <f aca="false">P131 &lt; R131</f>
        <v>1</v>
      </c>
      <c r="X131" s="10" t="n">
        <f aca="false">IF($W131,P131,R131)</f>
        <v>7.98084179799004</v>
      </c>
      <c r="Y131" s="1" t="n">
        <v>334517</v>
      </c>
      <c r="Z131" s="1" t="s">
        <v>172</v>
      </c>
      <c r="AA131" s="12" t="n">
        <f aca="false">T131=W131</f>
        <v>1</v>
      </c>
    </row>
    <row r="132" customFormat="false" ht="12.8" hidden="false" customHeight="false" outlineLevel="0" collapsed="false">
      <c r="A132" s="1" t="s">
        <v>173</v>
      </c>
      <c r="B132" s="1" t="s">
        <v>174</v>
      </c>
      <c r="C132" s="1" t="n">
        <v>10276</v>
      </c>
      <c r="D132" s="1" t="n">
        <v>5776</v>
      </c>
      <c r="E132" s="1" t="n">
        <v>3158</v>
      </c>
      <c r="F132" s="1" t="n">
        <v>12362</v>
      </c>
      <c r="G132" s="1" t="n">
        <v>8371</v>
      </c>
      <c r="H132" s="1" t="n">
        <v>4054</v>
      </c>
      <c r="I132" s="1" t="n">
        <v>13200</v>
      </c>
      <c r="J132" s="1" t="n">
        <v>8807</v>
      </c>
      <c r="K132" s="1" t="n">
        <v>5166</v>
      </c>
      <c r="L132" s="7" t="n">
        <f aca="false">(J132/G132*F132/I132)</f>
        <v>0.98529314769967</v>
      </c>
      <c r="M132" s="7" t="n">
        <f aca="false">(D132/G132*F132/C132)</f>
        <v>0.830069556992042</v>
      </c>
      <c r="N132" s="7" t="n">
        <f aca="false">(K132/H132*F132/I132)</f>
        <v>1.19339843925192</v>
      </c>
      <c r="O132" s="7" t="n">
        <f aca="false">(E132/H132*F132/C132)</f>
        <v>0.937115292327422</v>
      </c>
      <c r="P132" s="7" t="n">
        <f aca="false">(IF(L132&gt;1,L132,1/L132) - 1)*100</f>
        <v>1.4926372252426</v>
      </c>
      <c r="Q132" s="7" t="n">
        <f aca="false">(IF(M132&gt;1,M132,1/M132) - 1)*100</f>
        <v>20.4718317370586</v>
      </c>
      <c r="R132" s="7" t="n">
        <f aca="false">(IF(N132&gt;1,N132,1/N132) - 1)*100</f>
        <v>19.3398439251917</v>
      </c>
      <c r="S132" s="7" t="n">
        <f aca="false">(IF(O132&gt;1,O132,1/O132) - 1)*100</f>
        <v>6.71045581983809</v>
      </c>
      <c r="T132" s="9" t="n">
        <f aca="false">(P132+Q132) &lt; (R132+S132)</f>
        <v>1</v>
      </c>
      <c r="U132" s="10" t="n">
        <f aca="false">IF($T132,P132,R132)</f>
        <v>1.4926372252426</v>
      </c>
      <c r="V132" s="11" t="n">
        <f aca="false">IF($T132,Q132,S132)</f>
        <v>20.4718317370586</v>
      </c>
      <c r="W132" s="12" t="n">
        <f aca="false">P132 &lt; R132</f>
        <v>1</v>
      </c>
      <c r="X132" s="10" t="n">
        <f aca="false">IF($W132,P132,R132)</f>
        <v>1.4926372252426</v>
      </c>
      <c r="Y132" s="1" t="s">
        <v>174</v>
      </c>
      <c r="Z132" s="1" t="s">
        <v>173</v>
      </c>
      <c r="AA132" s="12" t="n">
        <f aca="false">T132=W132</f>
        <v>1</v>
      </c>
    </row>
    <row r="133" customFormat="false" ht="12.8" hidden="false" customHeight="false" outlineLevel="0" collapsed="false">
      <c r="A133" s="1" t="s">
        <v>175</v>
      </c>
      <c r="B133" s="1" t="n">
        <v>334300</v>
      </c>
      <c r="C133" s="1" t="n">
        <v>14349</v>
      </c>
      <c r="D133" s="1" t="n">
        <v>4775</v>
      </c>
      <c r="E133" s="1" t="n">
        <v>3000</v>
      </c>
      <c r="F133" s="1" t="n">
        <v>3015</v>
      </c>
      <c r="G133" s="1" t="n">
        <v>1713</v>
      </c>
      <c r="H133" s="1" t="n">
        <v>1282</v>
      </c>
      <c r="I133" s="1" t="n">
        <v>3111</v>
      </c>
      <c r="J133" s="1" t="n">
        <v>2021</v>
      </c>
      <c r="K133" s="1" t="n">
        <v>1159</v>
      </c>
      <c r="L133" s="7" t="n">
        <f aca="false">(J133/G133*F133/I133)</f>
        <v>1.14339491359117</v>
      </c>
      <c r="M133" s="7" t="n">
        <f aca="false">(D133/G133*F133/C133)</f>
        <v>0.58570872540774</v>
      </c>
      <c r="N133" s="7" t="n">
        <f aca="false">(K133/H133*F133/I133)</f>
        <v>0.876158575754795</v>
      </c>
      <c r="O133" s="7" t="n">
        <f aca="false">(E133/H133*F133/C133)</f>
        <v>0.491698530579735</v>
      </c>
      <c r="P133" s="7" t="n">
        <f aca="false">(IF(L133&gt;1,L133,1/L133) - 1)*100</f>
        <v>14.3394913591172</v>
      </c>
      <c r="Q133" s="7" t="n">
        <f aca="false">(IF(M133&gt;1,M133,1/M133) - 1)*100</f>
        <v>70.733328123779</v>
      </c>
      <c r="R133" s="7" t="n">
        <f aca="false">(IF(N133&gt;1,N133,1/N133) - 1)*100</f>
        <v>14.1345902068604</v>
      </c>
      <c r="S133" s="7" t="n">
        <f aca="false">(IF(O133&gt;1,O133,1/O133) - 1)*100</f>
        <v>103.376650082919</v>
      </c>
      <c r="T133" s="9" t="n">
        <f aca="false">(P133+Q133) &lt; (R133+S133)</f>
        <v>1</v>
      </c>
      <c r="U133" s="10" t="n">
        <f aca="false">IF($T133,P133,R133)</f>
        <v>14.3394913591172</v>
      </c>
      <c r="V133" s="11" t="n">
        <f aca="false">IF($T133,Q133,S133)</f>
        <v>70.733328123779</v>
      </c>
      <c r="W133" s="12" t="n">
        <f aca="false">P133 &lt; R133</f>
        <v>0</v>
      </c>
      <c r="X133" s="10" t="n">
        <f aca="false">IF($W133,P133,R133)</f>
        <v>14.1345902068604</v>
      </c>
      <c r="Y133" s="1" t="n">
        <v>334300</v>
      </c>
      <c r="Z133" s="1" t="s">
        <v>175</v>
      </c>
      <c r="AA133" s="12" t="n">
        <f aca="false">T133=W133</f>
        <v>0</v>
      </c>
    </row>
    <row r="134" customFormat="false" ht="12.8" hidden="false" customHeight="false" outlineLevel="0" collapsed="false">
      <c r="A134" s="1" t="s">
        <v>176</v>
      </c>
      <c r="B134" s="1" t="n">
        <v>334610</v>
      </c>
      <c r="C134" s="1" t="n">
        <v>6867</v>
      </c>
      <c r="D134" s="1" t="n">
        <v>2168</v>
      </c>
      <c r="E134" s="1" t="n">
        <v>902</v>
      </c>
      <c r="F134" s="1" t="n">
        <v>3005</v>
      </c>
      <c r="G134" s="1" t="n">
        <v>1954</v>
      </c>
      <c r="H134" s="1" t="n">
        <v>879</v>
      </c>
      <c r="I134" s="1" t="n">
        <v>1867</v>
      </c>
      <c r="J134" s="1" t="n">
        <v>1386</v>
      </c>
      <c r="K134" s="1" t="n">
        <v>869</v>
      </c>
      <c r="L134" s="7" t="n">
        <f aca="false">(J134/G134*F134/I134)</f>
        <v>1.14166537376258</v>
      </c>
      <c r="M134" s="7" t="n">
        <f aca="false">(D134/G134*F134/C134)</f>
        <v>0.485525615440258</v>
      </c>
      <c r="N134" s="7" t="n">
        <f aca="false">(K134/H134*F134/I134)</f>
        <v>1.59122304464159</v>
      </c>
      <c r="O134" s="7" t="n">
        <f aca="false">(E134/H134*F134/C134)</f>
        <v>0.449050403961636</v>
      </c>
      <c r="P134" s="7" t="n">
        <f aca="false">(IF(L134&gt;1,L134,1/L134) - 1)*100</f>
        <v>14.1665373762581</v>
      </c>
      <c r="Q134" s="7" t="n">
        <f aca="false">(IF(M134&gt;1,M134,1/M134) - 1)*100</f>
        <v>105.962356711753</v>
      </c>
      <c r="R134" s="7" t="n">
        <f aca="false">(IF(N134&gt;1,N134,1/N134) - 1)*100</f>
        <v>59.122304464159</v>
      </c>
      <c r="S134" s="7" t="n">
        <f aca="false">(IF(O134&gt;1,O134,1/O134) - 1)*100</f>
        <v>122.692150185758</v>
      </c>
      <c r="T134" s="9" t="n">
        <f aca="false">(P134+Q134) &lt; (R134+S134)</f>
        <v>1</v>
      </c>
      <c r="U134" s="10" t="n">
        <f aca="false">IF($T134,P134,R134)</f>
        <v>14.1665373762581</v>
      </c>
      <c r="V134" s="11" t="n">
        <f aca="false">IF($T134,Q134,S134)</f>
        <v>105.962356711753</v>
      </c>
      <c r="W134" s="12" t="n">
        <f aca="false">P134 &lt; R134</f>
        <v>1</v>
      </c>
      <c r="X134" s="10" t="n">
        <f aca="false">IF($W134,P134,R134)</f>
        <v>14.1665373762581</v>
      </c>
      <c r="Y134" s="1" t="n">
        <v>334610</v>
      </c>
      <c r="Z134" s="1" t="s">
        <v>176</v>
      </c>
      <c r="AA134" s="12" t="n">
        <f aca="false">T134=W134</f>
        <v>1</v>
      </c>
    </row>
    <row r="135" customFormat="false" ht="12.8" hidden="false" customHeight="false" outlineLevel="0" collapsed="false">
      <c r="A135" s="1" t="s">
        <v>177</v>
      </c>
      <c r="B135" s="1" t="n">
        <v>335110</v>
      </c>
      <c r="C135" s="1" t="n">
        <v>2083</v>
      </c>
      <c r="D135" s="1" t="n">
        <v>667</v>
      </c>
      <c r="E135" s="1" t="n">
        <v>607</v>
      </c>
      <c r="F135" s="1" t="n">
        <v>1815</v>
      </c>
      <c r="G135" s="1" t="n">
        <v>866</v>
      </c>
      <c r="H135" s="1" t="n">
        <v>771</v>
      </c>
      <c r="I135" s="1" t="n">
        <v>1500</v>
      </c>
      <c r="J135" s="1" t="n">
        <v>864</v>
      </c>
      <c r="K135" s="1" t="n">
        <v>803</v>
      </c>
      <c r="L135" s="7" t="n">
        <f aca="false">(J135/G135*F135/I135)</f>
        <v>1.20720554272517</v>
      </c>
      <c r="M135" s="7" t="n">
        <f aca="false">(D135/G135*F135/C135)</f>
        <v>0.671112458824821</v>
      </c>
      <c r="N135" s="7" t="n">
        <f aca="false">(K135/H135*F135/I135)</f>
        <v>1.26022049286641</v>
      </c>
      <c r="O135" s="7" t="n">
        <f aca="false">(E135/H135*F135/C135)</f>
        <v>0.68599614070547</v>
      </c>
      <c r="P135" s="7" t="n">
        <f aca="false">(IF(L135&gt;1,L135,1/L135) - 1)*100</f>
        <v>20.7205542725173</v>
      </c>
      <c r="Q135" s="7" t="n">
        <f aca="false">(IF(M135&gt;1,M135,1/M135) - 1)*100</f>
        <v>49.0063232846387</v>
      </c>
      <c r="R135" s="7" t="n">
        <f aca="false">(IF(N135&gt;1,N135,1/N135) - 1)*100</f>
        <v>26.0220492866407</v>
      </c>
      <c r="S135" s="7" t="n">
        <f aca="false">(IF(O135&gt;1,O135,1/O135) - 1)*100</f>
        <v>45.7734148433564</v>
      </c>
      <c r="T135" s="9" t="n">
        <f aca="false">(P135+Q135) &lt; (R135+S135)</f>
        <v>1</v>
      </c>
      <c r="U135" s="10" t="n">
        <f aca="false">IF($T135,P135,R135)</f>
        <v>20.7205542725173</v>
      </c>
      <c r="V135" s="11" t="n">
        <f aca="false">IF($T135,Q135,S135)</f>
        <v>49.0063232846387</v>
      </c>
      <c r="W135" s="12" t="n">
        <f aca="false">P135 &lt; R135</f>
        <v>1</v>
      </c>
      <c r="X135" s="10" t="n">
        <f aca="false">IF($W135,P135,R135)</f>
        <v>20.7205542725173</v>
      </c>
      <c r="Y135" s="1" t="n">
        <v>335110</v>
      </c>
      <c r="Z135" s="1" t="s">
        <v>177</v>
      </c>
      <c r="AA135" s="12" t="n">
        <f aca="false">T135=W135</f>
        <v>1</v>
      </c>
    </row>
    <row r="136" customFormat="false" ht="12.8" hidden="false" customHeight="false" outlineLevel="0" collapsed="false">
      <c r="A136" s="1" t="s">
        <v>178</v>
      </c>
      <c r="B136" s="1" t="n">
        <v>335120</v>
      </c>
      <c r="C136" s="1" t="n">
        <v>11270</v>
      </c>
      <c r="D136" s="1" t="n">
        <v>4506</v>
      </c>
      <c r="E136" s="1" t="n">
        <v>2769</v>
      </c>
      <c r="F136" s="1" t="n">
        <v>10181</v>
      </c>
      <c r="G136" s="1" t="n">
        <v>4328</v>
      </c>
      <c r="H136" s="1" t="n">
        <v>2723</v>
      </c>
      <c r="I136" s="1" t="n">
        <v>11951</v>
      </c>
      <c r="J136" s="1" t="n">
        <v>5634</v>
      </c>
      <c r="K136" s="1" t="n">
        <v>3406</v>
      </c>
      <c r="L136" s="7" t="n">
        <f aca="false">(J136/G136*F136/I136)</f>
        <v>1.10895974489795</v>
      </c>
      <c r="M136" s="7" t="n">
        <f aca="false">(D136/G136*F136/C136)</f>
        <v>0.940525244092654</v>
      </c>
      <c r="N136" s="7" t="n">
        <f aca="false">(K136/H136*F136/I136)</f>
        <v>1.06557296498958</v>
      </c>
      <c r="O136" s="7" t="n">
        <f aca="false">(E136/H136*F136/C136)</f>
        <v>0.918632562798547</v>
      </c>
      <c r="P136" s="7" t="n">
        <f aca="false">(IF(L136&gt;1,L136,1/L136) - 1)*100</f>
        <v>10.8959744897951</v>
      </c>
      <c r="Q136" s="7" t="n">
        <f aca="false">(IF(M136&gt;1,M136,1/M136) - 1)*100</f>
        <v>6.3235682700598</v>
      </c>
      <c r="R136" s="7" t="n">
        <f aca="false">(IF(N136&gt;1,N136,1/N136) - 1)*100</f>
        <v>6.55729649895844</v>
      </c>
      <c r="S136" s="7" t="n">
        <f aca="false">(IF(O136&gt;1,O136,1/O136) - 1)*100</f>
        <v>8.8574518797345</v>
      </c>
      <c r="T136" s="9" t="n">
        <f aca="false">(P136+Q136) &lt; (R136+S136)</f>
        <v>0</v>
      </c>
      <c r="U136" s="10" t="n">
        <f aca="false">IF($T136,P136,R136)</f>
        <v>6.55729649895844</v>
      </c>
      <c r="V136" s="11" t="n">
        <f aca="false">IF($T136,Q136,S136)</f>
        <v>8.8574518797345</v>
      </c>
      <c r="W136" s="12" t="n">
        <f aca="false">P136 &lt; R136</f>
        <v>0</v>
      </c>
      <c r="X136" s="10" t="n">
        <f aca="false">IF($W136,P136,R136)</f>
        <v>6.55729649895844</v>
      </c>
      <c r="Y136" s="1" t="n">
        <v>335120</v>
      </c>
      <c r="Z136" s="1" t="s">
        <v>178</v>
      </c>
      <c r="AA136" s="12" t="n">
        <f aca="false">T136=W136</f>
        <v>1</v>
      </c>
    </row>
    <row r="137" customFormat="false" ht="12.8" hidden="false" customHeight="false" outlineLevel="0" collapsed="false">
      <c r="A137" s="1" t="s">
        <v>179</v>
      </c>
      <c r="B137" s="1" t="n">
        <v>335210</v>
      </c>
      <c r="C137" s="1" t="n">
        <v>3560</v>
      </c>
      <c r="D137" s="1" t="n">
        <v>1254</v>
      </c>
      <c r="E137" s="1" t="n">
        <v>861</v>
      </c>
      <c r="F137" s="1" t="n">
        <v>3440</v>
      </c>
      <c r="G137" s="1" t="n">
        <v>1403</v>
      </c>
      <c r="H137" s="1" t="n">
        <v>922</v>
      </c>
      <c r="I137" s="1" t="n">
        <v>3595</v>
      </c>
      <c r="J137" s="1" t="n">
        <v>1923</v>
      </c>
      <c r="K137" s="1" t="n">
        <v>1002</v>
      </c>
      <c r="L137" s="7" t="n">
        <f aca="false">(J137/G137*F137/I137)</f>
        <v>1.3115388542533</v>
      </c>
      <c r="M137" s="7" t="n">
        <f aca="false">(D137/G137*F137/C137)</f>
        <v>0.863670945886423</v>
      </c>
      <c r="N137" s="7" t="n">
        <f aca="false">(K137/H137*F137/I137)</f>
        <v>1.03991142192549</v>
      </c>
      <c r="O137" s="7" t="n">
        <f aca="false">(E137/H137*F137/C137)</f>
        <v>0.902361744132199</v>
      </c>
      <c r="P137" s="7" t="n">
        <f aca="false">(IF(L137&gt;1,L137,1/L137) - 1)*100</f>
        <v>31.1538854253304</v>
      </c>
      <c r="Q137" s="7" t="n">
        <f aca="false">(IF(M137&gt;1,M137,1/M137) - 1)*100</f>
        <v>15.7848373576648</v>
      </c>
      <c r="R137" s="7" t="n">
        <f aca="false">(IF(N137&gt;1,N137,1/N137) - 1)*100</f>
        <v>3.9911421925487</v>
      </c>
      <c r="S137" s="7" t="n">
        <f aca="false">(IF(O137&gt;1,O137,1/O137) - 1)*100</f>
        <v>10.8203008940388</v>
      </c>
      <c r="T137" s="9" t="n">
        <f aca="false">(P137+Q137) &lt; (R137+S137)</f>
        <v>0</v>
      </c>
      <c r="U137" s="10" t="n">
        <f aca="false">IF($T137,P137,R137)</f>
        <v>3.9911421925487</v>
      </c>
      <c r="V137" s="11" t="n">
        <f aca="false">IF($T137,Q137,S137)</f>
        <v>10.8203008940388</v>
      </c>
      <c r="W137" s="12" t="n">
        <f aca="false">P137 &lt; R137</f>
        <v>0</v>
      </c>
      <c r="X137" s="10" t="n">
        <f aca="false">IF($W137,P137,R137)</f>
        <v>3.9911421925487</v>
      </c>
      <c r="Y137" s="1" t="n">
        <v>335210</v>
      </c>
      <c r="Z137" s="1" t="s">
        <v>179</v>
      </c>
      <c r="AA137" s="12" t="n">
        <f aca="false">T137=W137</f>
        <v>1</v>
      </c>
    </row>
    <row r="138" customFormat="false" ht="12.8" hidden="false" customHeight="false" outlineLevel="0" collapsed="false">
      <c r="A138" s="1" t="s">
        <v>180</v>
      </c>
      <c r="B138" s="1" t="n">
        <v>335220</v>
      </c>
      <c r="C138" s="1" t="n">
        <v>18130</v>
      </c>
      <c r="D138" s="1" t="n">
        <v>6218</v>
      </c>
      <c r="E138" s="1" t="n">
        <v>3211</v>
      </c>
      <c r="F138" s="1" t="n">
        <v>16032</v>
      </c>
      <c r="G138" s="1" t="n">
        <v>7142</v>
      </c>
      <c r="H138" s="1" t="n">
        <v>3641</v>
      </c>
      <c r="I138" s="1" t="n">
        <v>19044</v>
      </c>
      <c r="J138" s="1" t="n">
        <v>9217</v>
      </c>
      <c r="K138" s="1" t="n">
        <v>4761</v>
      </c>
      <c r="L138" s="7" t="n">
        <f aca="false">(J138/G138*F138/I138)</f>
        <v>1.08642380500909</v>
      </c>
      <c r="M138" s="7" t="n">
        <f aca="false">(D138/G138*F138/C138)</f>
        <v>0.769875983573627</v>
      </c>
      <c r="N138" s="7" t="n">
        <f aca="false">(K138/H138*F138/I138)</f>
        <v>1.10079648448229</v>
      </c>
      <c r="O138" s="7" t="n">
        <f aca="false">(E138/H138*F138/C138)</f>
        <v>0.779847217136816</v>
      </c>
      <c r="P138" s="7" t="n">
        <f aca="false">(IF(L138&gt;1,L138,1/L138) - 1)*100</f>
        <v>8.642380500909</v>
      </c>
      <c r="Q138" s="7" t="n">
        <f aca="false">(IF(M138&gt;1,M138,1/M138) - 1)*100</f>
        <v>29.8910501608555</v>
      </c>
      <c r="R138" s="7" t="n">
        <f aca="false">(IF(N138&gt;1,N138,1/N138) - 1)*100</f>
        <v>10.0796484482285</v>
      </c>
      <c r="S138" s="7" t="n">
        <f aca="false">(IF(O138&gt;1,O138,1/O138) - 1)*100</f>
        <v>28.2302453641456</v>
      </c>
      <c r="T138" s="9" t="n">
        <f aca="false">(P138+Q138) &lt; (R138+S138)</f>
        <v>0</v>
      </c>
      <c r="U138" s="10" t="n">
        <f aca="false">IF($T138,P138,R138)</f>
        <v>10.0796484482285</v>
      </c>
      <c r="V138" s="11" t="n">
        <f aca="false">IF($T138,Q138,S138)</f>
        <v>28.2302453641456</v>
      </c>
      <c r="W138" s="12" t="n">
        <f aca="false">P138 &lt; R138</f>
        <v>1</v>
      </c>
      <c r="X138" s="10" t="n">
        <f aca="false">IF($W138,P138,R138)</f>
        <v>8.642380500909</v>
      </c>
      <c r="Y138" s="1" t="n">
        <v>335220</v>
      </c>
      <c r="Z138" s="1" t="s">
        <v>180</v>
      </c>
      <c r="AA138" s="12" t="n">
        <f aca="false">T138=W138</f>
        <v>0</v>
      </c>
    </row>
    <row r="139" customFormat="false" ht="12.8" hidden="false" customHeight="false" outlineLevel="0" collapsed="false">
      <c r="A139" s="1" t="s">
        <v>181</v>
      </c>
      <c r="B139" s="1" t="n">
        <v>335311</v>
      </c>
      <c r="C139" s="1" t="n">
        <v>7460</v>
      </c>
      <c r="D139" s="1" t="n">
        <v>2748</v>
      </c>
      <c r="E139" s="1" t="n">
        <v>2166</v>
      </c>
      <c r="F139" s="1" t="n">
        <v>5896</v>
      </c>
      <c r="G139" s="1" t="n">
        <v>2446</v>
      </c>
      <c r="H139" s="1" t="n">
        <v>1944</v>
      </c>
      <c r="I139" s="1" t="n">
        <v>5345</v>
      </c>
      <c r="J139" s="1" t="n">
        <v>2937</v>
      </c>
      <c r="K139" s="1" t="n">
        <v>2472</v>
      </c>
      <c r="L139" s="7" t="n">
        <f aca="false">(J139/G139*F139/I139)</f>
        <v>1.32451615321248</v>
      </c>
      <c r="M139" s="7" t="n">
        <f aca="false">(D139/G139*F139/C139)</f>
        <v>0.887930395743776</v>
      </c>
      <c r="N139" s="7" t="n">
        <f aca="false">(K139/H139*F139/I139)</f>
        <v>1.40269087297463</v>
      </c>
      <c r="O139" s="7" t="n">
        <f aca="false">(E139/H139*F139/C139)</f>
        <v>0.880604375599907</v>
      </c>
      <c r="P139" s="7" t="n">
        <f aca="false">(IF(L139&gt;1,L139,1/L139) - 1)*100</f>
        <v>32.4516153212477</v>
      </c>
      <c r="Q139" s="7" t="n">
        <f aca="false">(IF(M139&gt;1,M139,1/M139) - 1)*100</f>
        <v>12.6214402382687</v>
      </c>
      <c r="R139" s="7" t="n">
        <f aca="false">(IF(N139&gt;1,N139,1/N139) - 1)*100</f>
        <v>40.2690872974627</v>
      </c>
      <c r="S139" s="7" t="n">
        <f aca="false">(IF(O139&gt;1,O139,1/O139) - 1)*100</f>
        <v>13.5583728298823</v>
      </c>
      <c r="T139" s="9" t="n">
        <f aca="false">(P139+Q139) &lt; (R139+S139)</f>
        <v>1</v>
      </c>
      <c r="U139" s="10" t="n">
        <f aca="false">IF($T139,P139,R139)</f>
        <v>32.4516153212477</v>
      </c>
      <c r="V139" s="11" t="n">
        <f aca="false">IF($T139,Q139,S139)</f>
        <v>12.6214402382687</v>
      </c>
      <c r="W139" s="12" t="n">
        <f aca="false">P139 &lt; R139</f>
        <v>1</v>
      </c>
      <c r="X139" s="10" t="n">
        <f aca="false">IF($W139,P139,R139)</f>
        <v>32.4516153212477</v>
      </c>
      <c r="Y139" s="1" t="n">
        <v>335311</v>
      </c>
      <c r="Z139" s="1" t="s">
        <v>181</v>
      </c>
      <c r="AA139" s="12" t="n">
        <f aca="false">T139=W139</f>
        <v>1</v>
      </c>
    </row>
    <row r="140" customFormat="false" ht="12.8" hidden="false" customHeight="false" outlineLevel="0" collapsed="false">
      <c r="A140" s="1" t="s">
        <v>182</v>
      </c>
      <c r="B140" s="1" t="n">
        <v>335312</v>
      </c>
      <c r="C140" s="1" t="n">
        <v>12406</v>
      </c>
      <c r="D140" s="1" t="n">
        <v>4637</v>
      </c>
      <c r="E140" s="1" t="n">
        <v>2998</v>
      </c>
      <c r="F140" s="1" t="n">
        <v>11444</v>
      </c>
      <c r="G140" s="1" t="n">
        <v>4682</v>
      </c>
      <c r="H140" s="1" t="n">
        <v>3012</v>
      </c>
      <c r="I140" s="1" t="n">
        <v>10290</v>
      </c>
      <c r="J140" s="1" t="n">
        <v>3947</v>
      </c>
      <c r="K140" s="1" t="n">
        <v>3097</v>
      </c>
      <c r="L140" s="7" t="n">
        <f aca="false">(J140/G140*F140/I140)</f>
        <v>0.937558102511158</v>
      </c>
      <c r="M140" s="7" t="n">
        <f aca="false">(D140/G140*F140/C140)</f>
        <v>0.91359088693838</v>
      </c>
      <c r="N140" s="7" t="n">
        <f aca="false">(K140/H140*F140/I140)</f>
        <v>1.14353302694631</v>
      </c>
      <c r="O140" s="7" t="n">
        <f aca="false">(E140/H140*F140/C140)</f>
        <v>0.918169227544655</v>
      </c>
      <c r="P140" s="7" t="n">
        <f aca="false">(IF(L140&gt;1,L140,1/L140) - 1)*100</f>
        <v>6.66005630174789</v>
      </c>
      <c r="Q140" s="7" t="n">
        <f aca="false">(IF(M140&gt;1,M140,1/M140) - 1)*100</f>
        <v>9.45818465321977</v>
      </c>
      <c r="R140" s="7" t="n">
        <f aca="false">(IF(N140&gt;1,N140,1/N140) - 1)*100</f>
        <v>14.3533026946313</v>
      </c>
      <c r="S140" s="7" t="n">
        <f aca="false">(IF(O140&gt;1,O140,1/O140) - 1)*100</f>
        <v>8.91238455836456</v>
      </c>
      <c r="T140" s="9" t="n">
        <f aca="false">(P140+Q140) &lt; (R140+S140)</f>
        <v>1</v>
      </c>
      <c r="U140" s="10" t="n">
        <f aca="false">IF($T140,P140,R140)</f>
        <v>6.66005630174789</v>
      </c>
      <c r="V140" s="11" t="n">
        <f aca="false">IF($T140,Q140,S140)</f>
        <v>9.45818465321977</v>
      </c>
      <c r="W140" s="12" t="n">
        <f aca="false">P140 &lt; R140</f>
        <v>1</v>
      </c>
      <c r="X140" s="10" t="n">
        <f aca="false">IF($W140,P140,R140)</f>
        <v>6.66005630174789</v>
      </c>
      <c r="Y140" s="1" t="n">
        <v>335312</v>
      </c>
      <c r="Z140" s="1" t="s">
        <v>182</v>
      </c>
      <c r="AA140" s="12" t="n">
        <f aca="false">T140=W140</f>
        <v>1</v>
      </c>
    </row>
    <row r="141" customFormat="false" ht="12.8" hidden="false" customHeight="false" outlineLevel="0" collapsed="false">
      <c r="A141" s="1" t="s">
        <v>183</v>
      </c>
      <c r="B141" s="1" t="n">
        <v>335313</v>
      </c>
      <c r="C141" s="1" t="n">
        <v>10514</v>
      </c>
      <c r="D141" s="1" t="n">
        <v>4342</v>
      </c>
      <c r="E141" s="1" t="n">
        <v>2639</v>
      </c>
      <c r="F141" s="1" t="n">
        <v>11036</v>
      </c>
      <c r="G141" s="1" t="n">
        <v>4803</v>
      </c>
      <c r="H141" s="1" t="n">
        <v>2830</v>
      </c>
      <c r="I141" s="1" t="n">
        <v>12093</v>
      </c>
      <c r="J141" s="1" t="n">
        <v>5449</v>
      </c>
      <c r="K141" s="1" t="n">
        <v>3309</v>
      </c>
      <c r="L141" s="7" t="n">
        <f aca="false">(J141/G141*F141/I141)</f>
        <v>1.03533729909393</v>
      </c>
      <c r="M141" s="7" t="n">
        <f aca="false">(D141/G141*F141/C141)</f>
        <v>0.948901103318574</v>
      </c>
      <c r="N141" s="7" t="n">
        <f aca="false">(K141/H141*F141/I141)</f>
        <v>1.06705786339614</v>
      </c>
      <c r="O141" s="7" t="n">
        <f aca="false">(E141/H141*F141/C141)</f>
        <v>0.978806114815111</v>
      </c>
      <c r="P141" s="7" t="n">
        <f aca="false">(IF(L141&gt;1,L141,1/L141) - 1)*100</f>
        <v>3.53372990939347</v>
      </c>
      <c r="Q141" s="7" t="n">
        <f aca="false">(IF(M141&gt;1,M141,1/M141) - 1)*100</f>
        <v>5.38506030846828</v>
      </c>
      <c r="R141" s="7" t="n">
        <f aca="false">(IF(N141&gt;1,N141,1/N141) - 1)*100</f>
        <v>6.70578633961358</v>
      </c>
      <c r="S141" s="7" t="n">
        <f aca="false">(IF(O141&gt;1,O141,1/O141) - 1)*100</f>
        <v>2.16527919718732</v>
      </c>
      <c r="T141" s="9" t="n">
        <f aca="false">(P141+Q141) &lt; (R141+S141)</f>
        <v>0</v>
      </c>
      <c r="U141" s="10" t="n">
        <f aca="false">IF($T141,P141,R141)</f>
        <v>6.70578633961358</v>
      </c>
      <c r="V141" s="11" t="n">
        <f aca="false">IF($T141,Q141,S141)</f>
        <v>2.16527919718732</v>
      </c>
      <c r="W141" s="12" t="n">
        <f aca="false">P141 &lt; R141</f>
        <v>1</v>
      </c>
      <c r="X141" s="10" t="n">
        <f aca="false">IF($W141,P141,R141)</f>
        <v>3.53372990939347</v>
      </c>
      <c r="Y141" s="1" t="n">
        <v>335313</v>
      </c>
      <c r="Z141" s="1" t="s">
        <v>183</v>
      </c>
      <c r="AA141" s="12" t="n">
        <f aca="false">T141=W141</f>
        <v>0</v>
      </c>
    </row>
    <row r="142" customFormat="false" ht="12.8" hidden="false" customHeight="false" outlineLevel="0" collapsed="false">
      <c r="A142" s="1" t="s">
        <v>184</v>
      </c>
      <c r="B142" s="1" t="n">
        <v>335314</v>
      </c>
      <c r="C142" s="1" t="n">
        <v>11099</v>
      </c>
      <c r="D142" s="1" t="n">
        <v>5587</v>
      </c>
      <c r="E142" s="1" t="n">
        <v>5312</v>
      </c>
      <c r="F142" s="1" t="n">
        <v>10007</v>
      </c>
      <c r="G142" s="1" t="n">
        <v>5251</v>
      </c>
      <c r="H142" s="1" t="n">
        <v>5088</v>
      </c>
      <c r="I142" s="1" t="n">
        <v>10666</v>
      </c>
      <c r="J142" s="1" t="n">
        <v>5146</v>
      </c>
      <c r="K142" s="1" t="n">
        <v>4911</v>
      </c>
      <c r="L142" s="7" t="n">
        <f aca="false">(J142/G142*F142/I142)</f>
        <v>0.919454164133211</v>
      </c>
      <c r="M142" s="7" t="n">
        <f aca="false">(D142/G142*F142/C142)</f>
        <v>0.959304985416393</v>
      </c>
      <c r="N142" s="7" t="n">
        <f aca="false">(K142/H142*F142/I142)</f>
        <v>0.905576516722154</v>
      </c>
      <c r="O142" s="7" t="n">
        <f aca="false">(E142/H142*F142/C142)</f>
        <v>0.941306401335947</v>
      </c>
      <c r="P142" s="7" t="n">
        <f aca="false">(IF(L142&gt;1,L142,1/L142) - 1)*100</f>
        <v>8.76017957270563</v>
      </c>
      <c r="Q142" s="7" t="n">
        <f aca="false">(IF(M142&gt;1,M142,1/M142) - 1)*100</f>
        <v>4.24213521270747</v>
      </c>
      <c r="R142" s="7" t="n">
        <f aca="false">(IF(N142&gt;1,N142,1/N142) - 1)*100</f>
        <v>10.4268917683095</v>
      </c>
      <c r="S142" s="7" t="n">
        <f aca="false">(IF(O142&gt;1,O142,1/O142) - 1)*100</f>
        <v>6.23533406133778</v>
      </c>
      <c r="T142" s="9" t="n">
        <f aca="false">(P142+Q142) &lt; (R142+S142)</f>
        <v>1</v>
      </c>
      <c r="U142" s="10" t="n">
        <f aca="false">IF($T142,P142,R142)</f>
        <v>8.76017957270563</v>
      </c>
      <c r="V142" s="11" t="n">
        <f aca="false">IF($T142,Q142,S142)</f>
        <v>4.24213521270747</v>
      </c>
      <c r="W142" s="12" t="n">
        <f aca="false">P142 &lt; R142</f>
        <v>1</v>
      </c>
      <c r="X142" s="10" t="n">
        <f aca="false">IF($W142,P142,R142)</f>
        <v>8.76017957270563</v>
      </c>
      <c r="Y142" s="1" t="n">
        <v>335314</v>
      </c>
      <c r="Z142" s="1" t="s">
        <v>184</v>
      </c>
      <c r="AA142" s="12" t="n">
        <f aca="false">T142=W142</f>
        <v>1</v>
      </c>
    </row>
    <row r="143" customFormat="false" ht="12.8" hidden="false" customHeight="false" outlineLevel="0" collapsed="false">
      <c r="A143" s="1" t="s">
        <v>185</v>
      </c>
      <c r="B143" s="1" t="n">
        <v>335911</v>
      </c>
      <c r="C143" s="1" t="n">
        <v>5703</v>
      </c>
      <c r="D143" s="1" t="n">
        <v>2657</v>
      </c>
      <c r="E143" s="1" t="n">
        <v>1313</v>
      </c>
      <c r="F143" s="1" t="n">
        <v>6529</v>
      </c>
      <c r="G143" s="1" t="n">
        <v>2689</v>
      </c>
      <c r="H143" s="1" t="n">
        <v>1274</v>
      </c>
      <c r="I143" s="1" t="n">
        <v>7502</v>
      </c>
      <c r="J143" s="1" t="n">
        <v>2649</v>
      </c>
      <c r="K143" s="1" t="n">
        <v>1839</v>
      </c>
      <c r="L143" s="7" t="n">
        <f aca="false">(J143/G143*F143/I143)</f>
        <v>0.857355157751908</v>
      </c>
      <c r="M143" s="7" t="n">
        <f aca="false">(D143/G143*F143/C143)</f>
        <v>1.13121211901874</v>
      </c>
      <c r="N143" s="7" t="n">
        <f aca="false">(K143/H143*F143/I143)</f>
        <v>1.2562668793293</v>
      </c>
      <c r="O143" s="7" t="n">
        <f aca="false">(E143/H143*F143/C143)</f>
        <v>1.1798820527685</v>
      </c>
      <c r="P143" s="7" t="n">
        <f aca="false">(IF(L143&gt;1,L143,1/L143) - 1)*100</f>
        <v>16.6377773503019</v>
      </c>
      <c r="Q143" s="7" t="n">
        <f aca="false">(IF(M143&gt;1,M143,1/M143) - 1)*100</f>
        <v>13.1212119018736</v>
      </c>
      <c r="R143" s="7" t="n">
        <f aca="false">(IF(N143&gt;1,N143,1/N143) - 1)*100</f>
        <v>25.6266879329301</v>
      </c>
      <c r="S143" s="7" t="n">
        <f aca="false">(IF(O143&gt;1,O143,1/O143) - 1)*100</f>
        <v>17.9882052768503</v>
      </c>
      <c r="T143" s="9" t="n">
        <f aca="false">(P143+Q143) &lt; (R143+S143)</f>
        <v>1</v>
      </c>
      <c r="U143" s="10" t="n">
        <f aca="false">IF($T143,P143,R143)</f>
        <v>16.6377773503019</v>
      </c>
      <c r="V143" s="11" t="n">
        <f aca="false">IF($T143,Q143,S143)</f>
        <v>13.1212119018736</v>
      </c>
      <c r="W143" s="12" t="n">
        <f aca="false">P143 &lt; R143</f>
        <v>1</v>
      </c>
      <c r="X143" s="10" t="n">
        <f aca="false">IF($W143,P143,R143)</f>
        <v>16.6377773503019</v>
      </c>
      <c r="Y143" s="1" t="n">
        <v>335911</v>
      </c>
      <c r="Z143" s="1" t="s">
        <v>185</v>
      </c>
      <c r="AA143" s="12" t="n">
        <f aca="false">T143=W143</f>
        <v>1</v>
      </c>
    </row>
    <row r="144" customFormat="false" ht="12.8" hidden="false" customHeight="false" outlineLevel="0" collapsed="false">
      <c r="A144" s="1" t="s">
        <v>186</v>
      </c>
      <c r="B144" s="1" t="n">
        <v>335912</v>
      </c>
      <c r="C144" s="1" t="n">
        <v>3089</v>
      </c>
      <c r="D144" s="1" t="n">
        <v>2011</v>
      </c>
      <c r="E144" s="1" t="n">
        <v>877</v>
      </c>
      <c r="F144" s="1" t="n">
        <v>5390</v>
      </c>
      <c r="G144" s="1" t="n">
        <v>3081</v>
      </c>
      <c r="H144" s="1" t="n">
        <v>1264</v>
      </c>
      <c r="I144" s="1" t="n">
        <v>2423</v>
      </c>
      <c r="J144" s="1" t="n">
        <v>1789</v>
      </c>
      <c r="K144" s="1" t="n">
        <v>1086</v>
      </c>
      <c r="L144" s="7" t="n">
        <f aca="false">(J144/G144*F144/I144)</f>
        <v>1.29167719878054</v>
      </c>
      <c r="M144" s="7" t="n">
        <f aca="false">(D144/G144*F144/C144)</f>
        <v>1.13891478058326</v>
      </c>
      <c r="N144" s="7" t="n">
        <f aca="false">(K144/H144*F144/I144)</f>
        <v>1.91125265780991</v>
      </c>
      <c r="O144" s="7" t="n">
        <f aca="false">(E144/H144*F144/C144)</f>
        <v>1.21066329687622</v>
      </c>
      <c r="P144" s="7" t="n">
        <f aca="false">(IF(L144&gt;1,L144,1/L144) - 1)*100</f>
        <v>29.1677198780539</v>
      </c>
      <c r="Q144" s="7" t="n">
        <f aca="false">(IF(M144&gt;1,M144,1/M144) - 1)*100</f>
        <v>13.8914780583257</v>
      </c>
      <c r="R144" s="7" t="n">
        <f aca="false">(IF(N144&gt;1,N144,1/N144) - 1)*100</f>
        <v>91.1252657809913</v>
      </c>
      <c r="S144" s="7" t="n">
        <f aca="false">(IF(O144&gt;1,O144,1/O144) - 1)*100</f>
        <v>21.0663296876217</v>
      </c>
      <c r="T144" s="9" t="n">
        <f aca="false">(P144+Q144) &lt; (R144+S144)</f>
        <v>1</v>
      </c>
      <c r="U144" s="10" t="n">
        <f aca="false">IF($T144,P144,R144)</f>
        <v>29.1677198780539</v>
      </c>
      <c r="V144" s="11" t="n">
        <f aca="false">IF($T144,Q144,S144)</f>
        <v>13.8914780583257</v>
      </c>
      <c r="W144" s="12" t="n">
        <f aca="false">P144 &lt; R144</f>
        <v>1</v>
      </c>
      <c r="X144" s="10" t="n">
        <f aca="false">IF($W144,P144,R144)</f>
        <v>29.1677198780539</v>
      </c>
      <c r="Y144" s="1" t="n">
        <v>335912</v>
      </c>
      <c r="Z144" s="1" t="s">
        <v>186</v>
      </c>
      <c r="AA144" s="12" t="n">
        <f aca="false">T144=W144</f>
        <v>1</v>
      </c>
    </row>
    <row r="145" customFormat="false" ht="12.8" hidden="false" customHeight="false" outlineLevel="0" collapsed="false">
      <c r="A145" s="1" t="s">
        <v>187</v>
      </c>
      <c r="B145" s="1" t="n">
        <v>335920</v>
      </c>
      <c r="C145" s="1" t="n">
        <v>16028</v>
      </c>
      <c r="D145" s="1" t="n">
        <v>4091</v>
      </c>
      <c r="E145" s="1" t="n">
        <v>1855</v>
      </c>
      <c r="F145" s="1" t="n">
        <v>15153</v>
      </c>
      <c r="G145" s="1" t="n">
        <v>4551</v>
      </c>
      <c r="H145" s="1" t="n">
        <v>2005</v>
      </c>
      <c r="I145" s="1" t="n">
        <v>11411</v>
      </c>
      <c r="J145" s="1" t="n">
        <v>3908</v>
      </c>
      <c r="K145" s="1" t="n">
        <v>2330</v>
      </c>
      <c r="L145" s="7" t="n">
        <f aca="false">(J145/G145*F145/I145)</f>
        <v>1.14030922411368</v>
      </c>
      <c r="M145" s="7" t="n">
        <f aca="false">(D145/G145*F145/C145)</f>
        <v>0.849849324328437</v>
      </c>
      <c r="N145" s="7" t="n">
        <f aca="false">(K145/H145*F145/I145)</f>
        <v>1.54317955877111</v>
      </c>
      <c r="O145" s="7" t="n">
        <f aca="false">(E145/H145*F145/C145)</f>
        <v>0.874679255193685</v>
      </c>
      <c r="P145" s="7" t="n">
        <f aca="false">(IF(L145&gt;1,L145,1/L145) - 1)*100</f>
        <v>14.0309224113683</v>
      </c>
      <c r="Q145" s="7" t="n">
        <f aca="false">(IF(M145&gt;1,M145,1/M145) - 1)*100</f>
        <v>17.6679172852451</v>
      </c>
      <c r="R145" s="7" t="n">
        <f aca="false">(IF(N145&gt;1,N145,1/N145) - 1)*100</f>
        <v>54.3179558771112</v>
      </c>
      <c r="S145" s="7" t="n">
        <f aca="false">(IF(O145&gt;1,O145,1/O145) - 1)*100</f>
        <v>14.3276228471389</v>
      </c>
      <c r="T145" s="9" t="n">
        <f aca="false">(P145+Q145) &lt; (R145+S145)</f>
        <v>1</v>
      </c>
      <c r="U145" s="10" t="n">
        <f aca="false">IF($T145,P145,R145)</f>
        <v>14.0309224113683</v>
      </c>
      <c r="V145" s="11" t="n">
        <f aca="false">IF($T145,Q145,S145)</f>
        <v>17.6679172852451</v>
      </c>
      <c r="W145" s="12" t="n">
        <f aca="false">P145 &lt; R145</f>
        <v>1</v>
      </c>
      <c r="X145" s="10" t="n">
        <f aca="false">IF($W145,P145,R145)</f>
        <v>14.0309224113683</v>
      </c>
      <c r="Y145" s="1" t="n">
        <v>335920</v>
      </c>
      <c r="Z145" s="1" t="s">
        <v>187</v>
      </c>
      <c r="AA145" s="12" t="n">
        <f aca="false">T145=W145</f>
        <v>1</v>
      </c>
    </row>
    <row r="146" customFormat="false" ht="12.8" hidden="false" customHeight="false" outlineLevel="0" collapsed="false">
      <c r="A146" s="1" t="s">
        <v>188</v>
      </c>
      <c r="B146" s="1" t="n">
        <v>335930</v>
      </c>
      <c r="C146" s="1" t="n">
        <v>12567</v>
      </c>
      <c r="D146" s="1" t="n">
        <v>6298</v>
      </c>
      <c r="E146" s="1" t="n">
        <v>3322</v>
      </c>
      <c r="F146" s="1" t="n">
        <v>12875</v>
      </c>
      <c r="G146" s="1" t="n">
        <v>6415</v>
      </c>
      <c r="H146" s="1" t="n">
        <v>3338</v>
      </c>
      <c r="I146" s="1" t="n">
        <v>14313</v>
      </c>
      <c r="J146" s="1" t="n">
        <v>7844</v>
      </c>
      <c r="K146" s="1" t="n">
        <v>3960</v>
      </c>
      <c r="L146" s="7" t="n">
        <f aca="false">(J146/G146*F146/I146)</f>
        <v>1.09991086160274</v>
      </c>
      <c r="M146" s="7" t="n">
        <f aca="false">(D146/G146*F146/C146)</f>
        <v>1.00582312941372</v>
      </c>
      <c r="N146" s="7" t="n">
        <f aca="false">(K146/H146*F146/I146)</f>
        <v>1.0671498803373</v>
      </c>
      <c r="O146" s="7" t="n">
        <f aca="false">(E146/H146*F146/C146)</f>
        <v>1.01959786735429</v>
      </c>
      <c r="P146" s="7" t="n">
        <f aca="false">(IF(L146&gt;1,L146,1/L146) - 1)*100</f>
        <v>9.99108616027411</v>
      </c>
      <c r="Q146" s="7" t="n">
        <f aca="false">(IF(M146&gt;1,M146,1/M146) - 1)*100</f>
        <v>0.582312941371566</v>
      </c>
      <c r="R146" s="7" t="n">
        <f aca="false">(IF(N146&gt;1,N146,1/N146) - 1)*100</f>
        <v>6.71498803373036</v>
      </c>
      <c r="S146" s="7" t="n">
        <f aca="false">(IF(O146&gt;1,O146,1/O146) - 1)*100</f>
        <v>1.95978673542885</v>
      </c>
      <c r="T146" s="9" t="n">
        <f aca="false">(P146+Q146) &lt; (R146+S146)</f>
        <v>0</v>
      </c>
      <c r="U146" s="10" t="n">
        <f aca="false">IF($T146,P146,R146)</f>
        <v>6.71498803373036</v>
      </c>
      <c r="V146" s="11" t="n">
        <f aca="false">IF($T146,Q146,S146)</f>
        <v>1.95978673542885</v>
      </c>
      <c r="W146" s="12" t="n">
        <f aca="false">P146 &lt; R146</f>
        <v>0</v>
      </c>
      <c r="X146" s="10" t="n">
        <f aca="false">IF($W146,P146,R146)</f>
        <v>6.71498803373036</v>
      </c>
      <c r="Y146" s="1" t="n">
        <v>335930</v>
      </c>
      <c r="Z146" s="1" t="s">
        <v>188</v>
      </c>
      <c r="AA146" s="12" t="n">
        <f aca="false">T146=W146</f>
        <v>1</v>
      </c>
    </row>
    <row r="147" customFormat="false" ht="12.8" hidden="false" customHeight="false" outlineLevel="0" collapsed="false">
      <c r="A147" s="1" t="s">
        <v>189</v>
      </c>
      <c r="B147" s="1" t="n">
        <v>335991</v>
      </c>
      <c r="C147" s="1" t="n">
        <v>2668</v>
      </c>
      <c r="D147" s="1" t="n">
        <v>1109</v>
      </c>
      <c r="E147" s="1" t="n">
        <v>425</v>
      </c>
      <c r="F147" s="1" t="n">
        <v>3437</v>
      </c>
      <c r="G147" s="1" t="n">
        <v>1372</v>
      </c>
      <c r="H147" s="1" t="n">
        <v>530</v>
      </c>
      <c r="I147" s="1" t="n">
        <v>3439</v>
      </c>
      <c r="J147" s="1" t="n">
        <v>1876</v>
      </c>
      <c r="K147" s="1" t="n">
        <v>715</v>
      </c>
      <c r="L147" s="7" t="n">
        <f aca="false">(J147/G147*F147/I147)</f>
        <v>1.36655173846218</v>
      </c>
      <c r="M147" s="7" t="n">
        <f aca="false">(D147/G147*F147/C147)</f>
        <v>1.04128866689104</v>
      </c>
      <c r="N147" s="7" t="n">
        <f aca="false">(K147/H147*F147/I147)</f>
        <v>1.3482720404681</v>
      </c>
      <c r="O147" s="7" t="n">
        <f aca="false">(E147/H147*F147/C147)</f>
        <v>1.03301533195666</v>
      </c>
      <c r="P147" s="7" t="n">
        <f aca="false">(IF(L147&gt;1,L147,1/L147) - 1)*100</f>
        <v>36.6551738462178</v>
      </c>
      <c r="Q147" s="7" t="n">
        <f aca="false">(IF(M147&gt;1,M147,1/M147) - 1)*100</f>
        <v>4.12886668910442</v>
      </c>
      <c r="R147" s="7" t="n">
        <f aca="false">(IF(N147&gt;1,N147,1/N147) - 1)*100</f>
        <v>34.8272040468105</v>
      </c>
      <c r="S147" s="7" t="n">
        <f aca="false">(IF(O147&gt;1,O147,1/O147) - 1)*100</f>
        <v>3.30153319566633</v>
      </c>
      <c r="T147" s="9" t="n">
        <f aca="false">(P147+Q147) &lt; (R147+S147)</f>
        <v>0</v>
      </c>
      <c r="U147" s="10" t="n">
        <f aca="false">IF($T147,P147,R147)</f>
        <v>34.8272040468105</v>
      </c>
      <c r="V147" s="11" t="n">
        <f aca="false">IF($T147,Q147,S147)</f>
        <v>3.30153319566633</v>
      </c>
      <c r="W147" s="12" t="n">
        <f aca="false">P147 &lt; R147</f>
        <v>0</v>
      </c>
      <c r="X147" s="10" t="n">
        <f aca="false">IF($W147,P147,R147)</f>
        <v>34.8272040468105</v>
      </c>
      <c r="Y147" s="1" t="n">
        <v>335991</v>
      </c>
      <c r="Z147" s="1" t="s">
        <v>189</v>
      </c>
      <c r="AA147" s="12" t="n">
        <f aca="false">T147=W147</f>
        <v>1</v>
      </c>
    </row>
    <row r="148" customFormat="false" ht="12.8" hidden="false" customHeight="false" outlineLevel="0" collapsed="false">
      <c r="A148" s="1" t="s">
        <v>190</v>
      </c>
      <c r="B148" s="1" t="n">
        <v>335999</v>
      </c>
      <c r="C148" s="1" t="n">
        <v>9616</v>
      </c>
      <c r="D148" s="1" t="n">
        <v>4087</v>
      </c>
      <c r="E148" s="1" t="n">
        <v>2681</v>
      </c>
      <c r="F148" s="1" t="n">
        <v>10307</v>
      </c>
      <c r="G148" s="1" t="n">
        <v>3873</v>
      </c>
      <c r="H148" s="1" t="n">
        <v>2548</v>
      </c>
      <c r="I148" s="1" t="n">
        <v>10835</v>
      </c>
      <c r="J148" s="1" t="n">
        <v>4598</v>
      </c>
      <c r="K148" s="1" t="n">
        <v>2767</v>
      </c>
      <c r="L148" s="7" t="n">
        <f aca="false">(J148/G148*F148/I148)</f>
        <v>1.12934031122662</v>
      </c>
      <c r="M148" s="7" t="n">
        <f aca="false">(D148/G148*F148/C148)</f>
        <v>1.13108426849476</v>
      </c>
      <c r="N148" s="7" t="n">
        <f aca="false">(K148/H148*F148/I148)</f>
        <v>1.03303038513336</v>
      </c>
      <c r="O148" s="7" t="n">
        <f aca="false">(E148/H148*F148/C148)</f>
        <v>1.1278081059955</v>
      </c>
      <c r="P148" s="7" t="n">
        <f aca="false">(IF(L148&gt;1,L148,1/L148) - 1)*100</f>
        <v>12.9340311226623</v>
      </c>
      <c r="Q148" s="7" t="n">
        <f aca="false">(IF(M148&gt;1,M148,1/M148) - 1)*100</f>
        <v>13.1084268494758</v>
      </c>
      <c r="R148" s="7" t="n">
        <f aca="false">(IF(N148&gt;1,N148,1/N148) - 1)*100</f>
        <v>3.30303851333582</v>
      </c>
      <c r="S148" s="7" t="n">
        <f aca="false">(IF(O148&gt;1,O148,1/O148) - 1)*100</f>
        <v>12.7808105995502</v>
      </c>
      <c r="T148" s="9" t="n">
        <f aca="false">(P148+Q148) &lt; (R148+S148)</f>
        <v>0</v>
      </c>
      <c r="U148" s="10" t="n">
        <f aca="false">IF($T148,P148,R148)</f>
        <v>3.30303851333582</v>
      </c>
      <c r="V148" s="11" t="n">
        <f aca="false">IF($T148,Q148,S148)</f>
        <v>12.7808105995502</v>
      </c>
      <c r="W148" s="12" t="n">
        <f aca="false">P148 &lt; R148</f>
        <v>0</v>
      </c>
      <c r="X148" s="10" t="n">
        <f aca="false">IF($W148,P148,R148)</f>
        <v>3.30303851333582</v>
      </c>
      <c r="Y148" s="1" t="n">
        <v>335999</v>
      </c>
      <c r="Z148" s="1" t="s">
        <v>190</v>
      </c>
      <c r="AA148" s="12" t="n">
        <f aca="false">T148=W148</f>
        <v>1</v>
      </c>
    </row>
    <row r="149" customFormat="false" ht="12.8" hidden="false" customHeight="false" outlineLevel="0" collapsed="false">
      <c r="A149" s="1" t="s">
        <v>191</v>
      </c>
      <c r="B149" s="1" t="n">
        <v>336111</v>
      </c>
      <c r="C149" s="1" t="n">
        <v>87756</v>
      </c>
      <c r="D149" s="1" t="n">
        <v>21581</v>
      </c>
      <c r="E149" s="1" t="n">
        <v>12922</v>
      </c>
      <c r="F149" s="1" t="n">
        <v>58557</v>
      </c>
      <c r="G149" s="1" t="n">
        <v>16763</v>
      </c>
      <c r="H149" s="1" t="n">
        <v>8014</v>
      </c>
      <c r="I149" s="1" t="n">
        <v>40000</v>
      </c>
      <c r="J149" s="1" t="n">
        <v>11949</v>
      </c>
      <c r="K149" s="1" t="n">
        <v>6382</v>
      </c>
      <c r="L149" s="7" t="n">
        <f aca="false">(J149/G149*F149/I149)</f>
        <v>1.04351487353099</v>
      </c>
      <c r="M149" s="7" t="n">
        <f aca="false">(D149/G149*F149/C149)</f>
        <v>0.859056679603705</v>
      </c>
      <c r="N149" s="7" t="n">
        <f aca="false">(K149/H149*F149/I149)</f>
        <v>1.16580600823559</v>
      </c>
      <c r="O149" s="7" t="n">
        <f aca="false">(E149/H149*F149/C149)</f>
        <v>1.075925988743</v>
      </c>
      <c r="P149" s="7" t="n">
        <f aca="false">(IF(L149&gt;1,L149,1/L149) - 1)*100</f>
        <v>4.35148735309909</v>
      </c>
      <c r="Q149" s="7" t="n">
        <f aca="false">(IF(M149&gt;1,M149,1/M149) - 1)*100</f>
        <v>16.406754495095</v>
      </c>
      <c r="R149" s="7" t="n">
        <f aca="false">(IF(N149&gt;1,N149,1/N149) - 1)*100</f>
        <v>16.5806008235588</v>
      </c>
      <c r="S149" s="7" t="n">
        <f aca="false">(IF(O149&gt;1,O149,1/O149) - 1)*100</f>
        <v>7.59259887430006</v>
      </c>
      <c r="T149" s="9" t="n">
        <f aca="false">(P149+Q149) &lt; (R149+S149)</f>
        <v>1</v>
      </c>
      <c r="U149" s="10" t="n">
        <f aca="false">IF($T149,P149,R149)</f>
        <v>4.35148735309909</v>
      </c>
      <c r="V149" s="11" t="n">
        <f aca="false">IF($T149,Q149,S149)</f>
        <v>16.406754495095</v>
      </c>
      <c r="W149" s="12" t="n">
        <f aca="false">P149 &lt; R149</f>
        <v>1</v>
      </c>
      <c r="X149" s="10" t="n">
        <f aca="false">IF($W149,P149,R149)</f>
        <v>4.35148735309909</v>
      </c>
      <c r="Y149" s="1" t="n">
        <v>336111</v>
      </c>
      <c r="Z149" s="1" t="s">
        <v>191</v>
      </c>
      <c r="AA149" s="12" t="n">
        <f aca="false">T149=W149</f>
        <v>1</v>
      </c>
    </row>
    <row r="150" customFormat="false" ht="12.8" hidden="false" customHeight="false" outlineLevel="0" collapsed="false">
      <c r="A150" s="1" t="s">
        <v>192</v>
      </c>
      <c r="B150" s="1" t="n">
        <v>336112</v>
      </c>
      <c r="C150" s="1" t="n">
        <v>162080</v>
      </c>
      <c r="D150" s="1" t="n">
        <v>31216</v>
      </c>
      <c r="E150" s="1" t="n">
        <v>6126</v>
      </c>
      <c r="F150" s="1" t="n">
        <v>172420</v>
      </c>
      <c r="G150" s="1" t="n">
        <v>33981</v>
      </c>
      <c r="H150" s="1" t="n">
        <v>6504</v>
      </c>
      <c r="I150" s="1" t="n">
        <v>212846</v>
      </c>
      <c r="J150" s="1" t="n">
        <v>55732</v>
      </c>
      <c r="K150" s="1" t="n">
        <v>14210</v>
      </c>
      <c r="L150" s="7" t="n">
        <f aca="false">(J150/G150*F150/I150)</f>
        <v>1.32858890407973</v>
      </c>
      <c r="M150" s="7" t="n">
        <f aca="false">(D150/G150*F150/C150)</f>
        <v>0.977235667350604</v>
      </c>
      <c r="N150" s="7" t="n">
        <f aca="false">(K150/H150*F150/I150)</f>
        <v>1.76984687425781</v>
      </c>
      <c r="O150" s="7" t="n">
        <f aca="false">(E150/H150*F150/C150)</f>
        <v>1.00196989414366</v>
      </c>
      <c r="P150" s="7" t="n">
        <f aca="false">(IF(L150&gt;1,L150,1/L150) - 1)*100</f>
        <v>32.8588904079735</v>
      </c>
      <c r="Q150" s="7" t="n">
        <f aca="false">(IF(M150&gt;1,M150,1/M150) - 1)*100</f>
        <v>2.3294619107705</v>
      </c>
      <c r="R150" s="7" t="n">
        <f aca="false">(IF(N150&gt;1,N150,1/N150) - 1)*100</f>
        <v>76.9846874257811</v>
      </c>
      <c r="S150" s="7" t="n">
        <f aca="false">(IF(O150&gt;1,O150,1/O150) - 1)*100</f>
        <v>0.196989414366011</v>
      </c>
      <c r="T150" s="9" t="n">
        <f aca="false">(P150+Q150) &lt; (R150+S150)</f>
        <v>1</v>
      </c>
      <c r="U150" s="10" t="n">
        <f aca="false">IF($T150,P150,R150)</f>
        <v>32.8588904079735</v>
      </c>
      <c r="V150" s="11" t="n">
        <f aca="false">IF($T150,Q150,S150)</f>
        <v>2.3294619107705</v>
      </c>
      <c r="W150" s="12" t="n">
        <f aca="false">P150 &lt; R150</f>
        <v>1</v>
      </c>
      <c r="X150" s="10" t="n">
        <f aca="false">IF($W150,P150,R150)</f>
        <v>32.8588904079735</v>
      </c>
      <c r="Y150" s="1" t="n">
        <v>336112</v>
      </c>
      <c r="Z150" s="1" t="s">
        <v>192</v>
      </c>
      <c r="AA150" s="12" t="n">
        <f aca="false">T150=W150</f>
        <v>1</v>
      </c>
    </row>
    <row r="151" customFormat="false" ht="12.8" hidden="false" customHeight="false" outlineLevel="0" collapsed="false">
      <c r="A151" s="1" t="s">
        <v>193</v>
      </c>
      <c r="B151" s="1" t="n">
        <v>336120</v>
      </c>
      <c r="C151" s="1" t="n">
        <v>21586</v>
      </c>
      <c r="D151" s="1" t="n">
        <v>3779</v>
      </c>
      <c r="E151" s="1" t="n">
        <v>2361</v>
      </c>
      <c r="F151" s="1" t="n">
        <v>31641</v>
      </c>
      <c r="G151" s="1" t="n">
        <v>6192</v>
      </c>
      <c r="H151" s="1" t="n">
        <v>2272</v>
      </c>
      <c r="I151" s="1" t="n">
        <v>26192</v>
      </c>
      <c r="J151" s="1" t="n">
        <v>5592</v>
      </c>
      <c r="K151" s="1" t="n">
        <v>2619</v>
      </c>
      <c r="L151" s="7" t="n">
        <f aca="false">(J151/G151*F151/I151)</f>
        <v>1.0909824231791</v>
      </c>
      <c r="M151" s="7" t="n">
        <f aca="false">(D151/G151*F151/C151)</f>
        <v>0.894589862112753</v>
      </c>
      <c r="N151" s="7" t="n">
        <f aca="false">(K151/H151*F151/I151)</f>
        <v>1.39254330628318</v>
      </c>
      <c r="O151" s="7" t="n">
        <f aca="false">(E151/H151*F151/C151)</f>
        <v>1.52323071373204</v>
      </c>
      <c r="P151" s="7" t="n">
        <f aca="false">(IF(L151&gt;1,L151,1/L151) - 1)*100</f>
        <v>9.09824231790997</v>
      </c>
      <c r="Q151" s="7" t="n">
        <f aca="false">(IF(M151&gt;1,M151,1/M151) - 1)*100</f>
        <v>11.783068683374</v>
      </c>
      <c r="R151" s="7" t="n">
        <f aca="false">(IF(N151&gt;1,N151,1/N151) - 1)*100</f>
        <v>39.2543306283178</v>
      </c>
      <c r="S151" s="7" t="n">
        <f aca="false">(IF(O151&gt;1,O151,1/O151) - 1)*100</f>
        <v>52.3230713732036</v>
      </c>
      <c r="T151" s="9" t="n">
        <f aca="false">(P151+Q151) &lt; (R151+S151)</f>
        <v>1</v>
      </c>
      <c r="U151" s="10" t="n">
        <f aca="false">IF($T151,P151,R151)</f>
        <v>9.09824231790997</v>
      </c>
      <c r="V151" s="11" t="n">
        <f aca="false">IF($T151,Q151,S151)</f>
        <v>11.783068683374</v>
      </c>
      <c r="W151" s="12" t="n">
        <f aca="false">P151 &lt; R151</f>
        <v>1</v>
      </c>
      <c r="X151" s="10" t="n">
        <f aca="false">IF($W151,P151,R151)</f>
        <v>9.09824231790997</v>
      </c>
      <c r="Y151" s="1" t="n">
        <v>336120</v>
      </c>
      <c r="Z151" s="1" t="s">
        <v>193</v>
      </c>
      <c r="AA151" s="12" t="n">
        <f aca="false">T151=W151</f>
        <v>1</v>
      </c>
    </row>
    <row r="152" customFormat="false" ht="12.8" hidden="false" customHeight="false" outlineLevel="0" collapsed="false">
      <c r="A152" s="1" t="s">
        <v>194</v>
      </c>
      <c r="B152" s="1" t="n">
        <v>336211</v>
      </c>
      <c r="C152" s="1" t="n">
        <v>11459</v>
      </c>
      <c r="D152" s="1" t="n">
        <v>4709</v>
      </c>
      <c r="E152" s="1" t="n">
        <v>4585</v>
      </c>
      <c r="F152" s="1" t="n">
        <v>12048</v>
      </c>
      <c r="G152" s="1" t="n">
        <v>3188</v>
      </c>
      <c r="H152" s="1" t="n">
        <v>2958</v>
      </c>
      <c r="I152" s="1" t="n">
        <v>14892</v>
      </c>
      <c r="J152" s="1" t="n">
        <v>4119</v>
      </c>
      <c r="K152" s="1" t="n">
        <v>3658</v>
      </c>
      <c r="L152" s="7" t="n">
        <f aca="false">(J152/G152*F152/I152)</f>
        <v>1.04528666625551</v>
      </c>
      <c r="M152" s="7" t="n">
        <f aca="false">(D152/G152*F152/C152)</f>
        <v>1.55302560883968</v>
      </c>
      <c r="N152" s="7" t="n">
        <f aca="false">(K152/H152*F152/I152)</f>
        <v>1.0004778148443</v>
      </c>
      <c r="O152" s="7" t="n">
        <f aca="false">(E152/H152*F152/C152)</f>
        <v>1.62970654526846</v>
      </c>
      <c r="P152" s="7" t="n">
        <f aca="false">(IF(L152&gt;1,L152,1/L152) - 1)*100</f>
        <v>4.52866662555089</v>
      </c>
      <c r="Q152" s="7" t="n">
        <f aca="false">(IF(M152&gt;1,M152,1/M152) - 1)*100</f>
        <v>55.3025608839677</v>
      </c>
      <c r="R152" s="7" t="n">
        <f aca="false">(IF(N152&gt;1,N152,1/N152) - 1)*100</f>
        <v>0.0477814844296098</v>
      </c>
      <c r="S152" s="7" t="n">
        <f aca="false">(IF(O152&gt;1,O152,1/O152) - 1)*100</f>
        <v>62.9706545268456</v>
      </c>
      <c r="T152" s="9" t="n">
        <f aca="false">(P152+Q152) &lt; (R152+S152)</f>
        <v>1</v>
      </c>
      <c r="U152" s="10" t="n">
        <f aca="false">IF($T152,P152,R152)</f>
        <v>4.52866662555089</v>
      </c>
      <c r="V152" s="11" t="n">
        <f aca="false">IF($T152,Q152,S152)</f>
        <v>55.3025608839677</v>
      </c>
      <c r="W152" s="12" t="n">
        <f aca="false">P152 &lt; R152</f>
        <v>0</v>
      </c>
      <c r="X152" s="10" t="n">
        <f aca="false">IF($W152,P152,R152)</f>
        <v>0.0477814844296098</v>
      </c>
      <c r="Y152" s="1" t="n">
        <v>336211</v>
      </c>
      <c r="Z152" s="1" t="s">
        <v>194</v>
      </c>
      <c r="AA152" s="12" t="n">
        <f aca="false">T152=W152</f>
        <v>0</v>
      </c>
    </row>
    <row r="153" customFormat="false" ht="12.8" hidden="false" customHeight="false" outlineLevel="0" collapsed="false">
      <c r="A153" s="1" t="s">
        <v>195</v>
      </c>
      <c r="B153" s="1" t="n">
        <v>336212</v>
      </c>
      <c r="C153" s="1" t="n">
        <v>7226</v>
      </c>
      <c r="D153" s="1" t="n">
        <v>1949</v>
      </c>
      <c r="E153" s="1" t="n">
        <v>1567</v>
      </c>
      <c r="F153" s="1" t="n">
        <v>8248</v>
      </c>
      <c r="G153" s="1" t="n">
        <v>2152</v>
      </c>
      <c r="H153" s="1" t="n">
        <v>1671</v>
      </c>
      <c r="I153" s="1" t="n">
        <v>11042</v>
      </c>
      <c r="J153" s="1" t="n">
        <v>2878</v>
      </c>
      <c r="K153" s="1" t="n">
        <v>2103</v>
      </c>
      <c r="L153" s="7" t="n">
        <f aca="false">(J153/G153*F153/I153)</f>
        <v>0.998963067005398</v>
      </c>
      <c r="M153" s="7" t="n">
        <f aca="false">(D153/G153*F153/C153)</f>
        <v>1.03376129363503</v>
      </c>
      <c r="N153" s="7" t="n">
        <f aca="false">(K153/H153*F153/I153)</f>
        <v>0.940077660065355</v>
      </c>
      <c r="O153" s="7" t="n">
        <f aca="false">(E153/H153*F153/C153)</f>
        <v>1.07039295396321</v>
      </c>
      <c r="P153" s="7" t="n">
        <f aca="false">(IF(L153&gt;1,L153,1/L153) - 1)*100</f>
        <v>0.103800934073628</v>
      </c>
      <c r="Q153" s="7" t="n">
        <f aca="false">(IF(M153&gt;1,M153,1/M153) - 1)*100</f>
        <v>3.37612936350251</v>
      </c>
      <c r="R153" s="7" t="n">
        <f aca="false">(IF(N153&gt;1,N153,1/N153) - 1)*100</f>
        <v>6.37419039725706</v>
      </c>
      <c r="S153" s="7" t="n">
        <f aca="false">(IF(O153&gt;1,O153,1/O153) - 1)*100</f>
        <v>7.03929539632051</v>
      </c>
      <c r="T153" s="9" t="n">
        <f aca="false">(P153+Q153) &lt; (R153+S153)</f>
        <v>1</v>
      </c>
      <c r="U153" s="10" t="n">
        <f aca="false">IF($T153,P153,R153)</f>
        <v>0.103800934073628</v>
      </c>
      <c r="V153" s="11" t="n">
        <f aca="false">IF($T153,Q153,S153)</f>
        <v>3.37612936350251</v>
      </c>
      <c r="W153" s="12" t="n">
        <f aca="false">P153 &lt; R153</f>
        <v>1</v>
      </c>
      <c r="X153" s="10" t="n">
        <f aca="false">IF($W153,P153,R153)</f>
        <v>0.103800934073628</v>
      </c>
      <c r="Y153" s="1" t="n">
        <v>336212</v>
      </c>
      <c r="Z153" s="1" t="s">
        <v>195</v>
      </c>
      <c r="AA153" s="12" t="n">
        <f aca="false">T153=W153</f>
        <v>1</v>
      </c>
    </row>
    <row r="154" customFormat="false" ht="12.8" hidden="false" customHeight="false" outlineLevel="0" collapsed="false">
      <c r="A154" s="1" t="s">
        <v>196</v>
      </c>
      <c r="B154" s="1" t="n">
        <v>336213</v>
      </c>
      <c r="C154" s="1" t="n">
        <v>5603</v>
      </c>
      <c r="D154" s="1" t="n">
        <v>1376</v>
      </c>
      <c r="E154" s="1" t="n">
        <v>1265</v>
      </c>
      <c r="F154" s="1" t="n">
        <v>2343</v>
      </c>
      <c r="G154" s="1" t="n">
        <v>633</v>
      </c>
      <c r="H154" s="1" t="n">
        <v>584</v>
      </c>
      <c r="I154" s="1" t="n">
        <v>5565</v>
      </c>
      <c r="J154" s="1" t="n">
        <v>1368</v>
      </c>
      <c r="K154" s="1" t="n">
        <v>1318</v>
      </c>
      <c r="L154" s="7" t="n">
        <f aca="false">(J154/G154*F154/I154)</f>
        <v>0.909891289073977</v>
      </c>
      <c r="M154" s="7" t="n">
        <f aca="false">(D154/G154*F154/C154)</f>
        <v>0.909005246850663</v>
      </c>
      <c r="N154" s="7" t="n">
        <f aca="false">(K154/H154*F154/I154)</f>
        <v>0.950188310009969</v>
      </c>
      <c r="O154" s="7" t="n">
        <f aca="false">(E154/H154*F154/C154)</f>
        <v>0.905793801754931</v>
      </c>
      <c r="P154" s="7" t="n">
        <f aca="false">(IF(L154&gt;1,L154,1/L154) - 1)*100</f>
        <v>9.90323921198644</v>
      </c>
      <c r="Q154" s="7" t="n">
        <f aca="false">(IF(M154&gt;1,M154,1/M154) - 1)*100</f>
        <v>10.0103661078522</v>
      </c>
      <c r="R154" s="7" t="n">
        <f aca="false">(IF(N154&gt;1,N154,1/N154) - 1)*100</f>
        <v>5.24229665480815</v>
      </c>
      <c r="S154" s="7" t="n">
        <f aca="false">(IF(O154&gt;1,O154,1/O154) - 1)*100</f>
        <v>10.4004021734913</v>
      </c>
      <c r="T154" s="9" t="n">
        <f aca="false">(P154+Q154) &lt; (R154+S154)</f>
        <v>0</v>
      </c>
      <c r="U154" s="10" t="n">
        <f aca="false">IF($T154,P154,R154)</f>
        <v>5.24229665480815</v>
      </c>
      <c r="V154" s="11" t="n">
        <f aca="false">IF($T154,Q154,S154)</f>
        <v>10.4004021734913</v>
      </c>
      <c r="W154" s="12" t="n">
        <f aca="false">P154 &lt; R154</f>
        <v>0</v>
      </c>
      <c r="X154" s="10" t="n">
        <f aca="false">IF($W154,P154,R154)</f>
        <v>5.24229665480815</v>
      </c>
      <c r="Y154" s="1" t="n">
        <v>336213</v>
      </c>
      <c r="Z154" s="1" t="s">
        <v>196</v>
      </c>
      <c r="AA154" s="12" t="n">
        <f aca="false">T154=W154</f>
        <v>1</v>
      </c>
    </row>
    <row r="155" customFormat="false" ht="12.8" hidden="false" customHeight="false" outlineLevel="0" collapsed="false">
      <c r="A155" s="1" t="s">
        <v>197</v>
      </c>
      <c r="B155" s="1" t="n">
        <v>336214</v>
      </c>
      <c r="C155" s="1" t="n">
        <v>10591</v>
      </c>
      <c r="D155" s="1" t="n">
        <v>2177</v>
      </c>
      <c r="E155" s="1" t="n">
        <v>1372</v>
      </c>
      <c r="F155" s="1" t="n">
        <v>10560</v>
      </c>
      <c r="G155" s="1" t="n">
        <v>2413</v>
      </c>
      <c r="H155" s="1" t="n">
        <v>1433</v>
      </c>
      <c r="I155" s="1" t="n">
        <v>17704</v>
      </c>
      <c r="J155" s="1" t="n">
        <v>6064</v>
      </c>
      <c r="K155" s="1" t="n">
        <v>2885</v>
      </c>
      <c r="L155" s="7" t="n">
        <f aca="false">(J155/G155*F155/I155)</f>
        <v>1.49897499404959</v>
      </c>
      <c r="M155" s="7" t="n">
        <f aca="false">(D155/G155*F155/C155)</f>
        <v>0.899555694822247</v>
      </c>
      <c r="N155" s="7" t="n">
        <f aca="false">(K155/H155*F155/I155)</f>
        <v>1.2008593513745</v>
      </c>
      <c r="O155" s="7" t="n">
        <f aca="false">(E155/H155*F155/C155)</f>
        <v>0.954629544644253</v>
      </c>
      <c r="P155" s="7" t="n">
        <f aca="false">(IF(L155&gt;1,L155,1/L155) - 1)*100</f>
        <v>49.8974994049591</v>
      </c>
      <c r="Q155" s="7" t="n">
        <f aca="false">(IF(M155&gt;1,M155,1/M155) - 1)*100</f>
        <v>11.1659906947286</v>
      </c>
      <c r="R155" s="7" t="n">
        <f aca="false">(IF(N155&gt;1,N155,1/N155) - 1)*100</f>
        <v>20.0859351374499</v>
      </c>
      <c r="S155" s="7" t="n">
        <f aca="false">(IF(O155&gt;1,O155,1/O155) - 1)*100</f>
        <v>4.75267663883736</v>
      </c>
      <c r="T155" s="9" t="n">
        <f aca="false">(P155+Q155) &lt; (R155+S155)</f>
        <v>0</v>
      </c>
      <c r="U155" s="10" t="n">
        <f aca="false">IF($T155,P155,R155)</f>
        <v>20.0859351374499</v>
      </c>
      <c r="V155" s="11" t="n">
        <f aca="false">IF($T155,Q155,S155)</f>
        <v>4.75267663883736</v>
      </c>
      <c r="W155" s="12" t="n">
        <f aca="false">P155 &lt; R155</f>
        <v>0</v>
      </c>
      <c r="X155" s="10" t="n">
        <f aca="false">IF($W155,P155,R155)</f>
        <v>20.0859351374499</v>
      </c>
      <c r="Y155" s="1" t="n">
        <v>336214</v>
      </c>
      <c r="Z155" s="1" t="s">
        <v>197</v>
      </c>
      <c r="AA155" s="12" t="n">
        <f aca="false">T155=W155</f>
        <v>1</v>
      </c>
    </row>
    <row r="156" customFormat="false" ht="12.8" hidden="false" customHeight="false" outlineLevel="0" collapsed="false">
      <c r="A156" s="1" t="s">
        <v>198</v>
      </c>
      <c r="B156" s="1" t="n">
        <v>336310</v>
      </c>
      <c r="C156" s="1" t="n">
        <v>28010</v>
      </c>
      <c r="D156" s="1" t="n">
        <v>7893</v>
      </c>
      <c r="E156" s="1" t="n">
        <v>5455</v>
      </c>
      <c r="F156" s="1" t="n">
        <v>30026</v>
      </c>
      <c r="G156" s="1" t="n">
        <v>6406</v>
      </c>
      <c r="H156" s="1" t="n">
        <v>3999</v>
      </c>
      <c r="I156" s="1" t="n">
        <v>39889</v>
      </c>
      <c r="J156" s="1" t="n">
        <v>8805</v>
      </c>
      <c r="K156" s="1" t="n">
        <v>5110</v>
      </c>
      <c r="L156" s="7" t="n">
        <f aca="false">(J156/G156*F156/I156)</f>
        <v>1.0346340270022</v>
      </c>
      <c r="M156" s="7" t="n">
        <f aca="false">(D156/G156*F156/C156)</f>
        <v>1.32080754130561</v>
      </c>
      <c r="N156" s="7" t="n">
        <f aca="false">(K156/H156*F156/I156)</f>
        <v>0.961864347357365</v>
      </c>
      <c r="O156" s="7" t="n">
        <f aca="false">(E156/H156*F156/C156)</f>
        <v>1.46227051229069</v>
      </c>
      <c r="P156" s="7" t="n">
        <f aca="false">(IF(L156&gt;1,L156,1/L156) - 1)*100</f>
        <v>3.46340270022023</v>
      </c>
      <c r="Q156" s="7" t="n">
        <f aca="false">(IF(M156&gt;1,M156,1/M156) - 1)*100</f>
        <v>32.0807541305606</v>
      </c>
      <c r="R156" s="7" t="n">
        <f aca="false">(IF(N156&gt;1,N156,1/N156) - 1)*100</f>
        <v>3.96476413201188</v>
      </c>
      <c r="S156" s="7" t="n">
        <f aca="false">(IF(O156&gt;1,O156,1/O156) - 1)*100</f>
        <v>46.2270512290693</v>
      </c>
      <c r="T156" s="9" t="n">
        <f aca="false">(P156+Q156) &lt; (R156+S156)</f>
        <v>1</v>
      </c>
      <c r="U156" s="10" t="n">
        <f aca="false">IF($T156,P156,R156)</f>
        <v>3.46340270022023</v>
      </c>
      <c r="V156" s="11" t="n">
        <f aca="false">IF($T156,Q156,S156)</f>
        <v>32.0807541305606</v>
      </c>
      <c r="W156" s="12" t="n">
        <f aca="false">P156 &lt; R156</f>
        <v>1</v>
      </c>
      <c r="X156" s="10" t="n">
        <f aca="false">IF($W156,P156,R156)</f>
        <v>3.46340270022023</v>
      </c>
      <c r="Y156" s="1" t="n">
        <v>336310</v>
      </c>
      <c r="Z156" s="1" t="s">
        <v>198</v>
      </c>
      <c r="AA156" s="12" t="n">
        <f aca="false">T156=W156</f>
        <v>1</v>
      </c>
    </row>
    <row r="157" customFormat="false" ht="12.8" hidden="false" customHeight="false" outlineLevel="0" collapsed="false">
      <c r="A157" s="1" t="s">
        <v>199</v>
      </c>
      <c r="B157" s="1" t="n">
        <v>336320</v>
      </c>
      <c r="C157" s="1" t="n">
        <v>19808</v>
      </c>
      <c r="D157" s="1" t="n">
        <v>6552</v>
      </c>
      <c r="E157" s="1" t="n">
        <v>5510</v>
      </c>
      <c r="F157" s="1" t="n">
        <v>19690</v>
      </c>
      <c r="G157" s="1" t="n">
        <v>4467</v>
      </c>
      <c r="H157" s="1" t="n">
        <v>3264</v>
      </c>
      <c r="I157" s="1" t="n">
        <v>24026</v>
      </c>
      <c r="J157" s="1" t="n">
        <v>6344</v>
      </c>
      <c r="K157" s="1" t="n">
        <v>4364</v>
      </c>
      <c r="L157" s="7" t="n">
        <f aca="false">(J157/G157*F157/I157)</f>
        <v>1.16388873623607</v>
      </c>
      <c r="M157" s="7" t="n">
        <f aca="false">(D157/G157*F157/C157)</f>
        <v>1.45801846822851</v>
      </c>
      <c r="N157" s="7" t="n">
        <f aca="false">(K157/H157*F157/I157)</f>
        <v>1.09571809869374</v>
      </c>
      <c r="O157" s="7" t="n">
        <f aca="false">(E157/H157*F157/C157)</f>
        <v>1.67805633839764</v>
      </c>
      <c r="P157" s="7" t="n">
        <f aca="false">(IF(L157&gt;1,L157,1/L157) - 1)*100</f>
        <v>16.3888736236065</v>
      </c>
      <c r="Q157" s="7" t="n">
        <f aca="false">(IF(M157&gt;1,M157,1/M157) - 1)*100</f>
        <v>45.8018468228506</v>
      </c>
      <c r="R157" s="7" t="n">
        <f aca="false">(IF(N157&gt;1,N157,1/N157) - 1)*100</f>
        <v>9.57180986937354</v>
      </c>
      <c r="S157" s="7" t="n">
        <f aca="false">(IF(O157&gt;1,O157,1/O157) - 1)*100</f>
        <v>67.8056338397637</v>
      </c>
      <c r="T157" s="9" t="n">
        <f aca="false">(P157+Q157) &lt; (R157+S157)</f>
        <v>1</v>
      </c>
      <c r="U157" s="10" t="n">
        <f aca="false">IF($T157,P157,R157)</f>
        <v>16.3888736236065</v>
      </c>
      <c r="V157" s="11" t="n">
        <f aca="false">IF($T157,Q157,S157)</f>
        <v>45.8018468228506</v>
      </c>
      <c r="W157" s="12" t="n">
        <f aca="false">P157 &lt; R157</f>
        <v>0</v>
      </c>
      <c r="X157" s="10" t="n">
        <f aca="false">IF($W157,P157,R157)</f>
        <v>9.57180986937354</v>
      </c>
      <c r="Y157" s="1" t="n">
        <v>336320</v>
      </c>
      <c r="Z157" s="1" t="s">
        <v>199</v>
      </c>
      <c r="AA157" s="12" t="n">
        <f aca="false">T157=W157</f>
        <v>0</v>
      </c>
    </row>
    <row r="158" customFormat="false" ht="12.8" hidden="false" customHeight="false" outlineLevel="0" collapsed="false">
      <c r="A158" s="1" t="s">
        <v>200</v>
      </c>
      <c r="B158" s="1" t="n">
        <v>336350</v>
      </c>
      <c r="C158" s="1" t="n">
        <v>36768</v>
      </c>
      <c r="D158" s="1" t="n">
        <v>8033</v>
      </c>
      <c r="E158" s="1" t="n">
        <v>6078</v>
      </c>
      <c r="F158" s="1" t="n">
        <v>35570</v>
      </c>
      <c r="G158" s="1" t="n">
        <v>8304</v>
      </c>
      <c r="H158" s="1" t="n">
        <v>5829</v>
      </c>
      <c r="I158" s="1" t="n">
        <v>41967</v>
      </c>
      <c r="J158" s="1" t="n">
        <v>12493</v>
      </c>
      <c r="K158" s="1" t="n">
        <v>7132</v>
      </c>
      <c r="L158" s="7" t="n">
        <f aca="false">(J158/G158*F158/I158)</f>
        <v>1.27513257273939</v>
      </c>
      <c r="M158" s="7" t="n">
        <f aca="false">(D158/G158*F158/C158)</f>
        <v>0.93584577634946</v>
      </c>
      <c r="N158" s="7" t="n">
        <f aca="false">(K158/H158*F158/I158)</f>
        <v>1.03703453525516</v>
      </c>
      <c r="O158" s="7" t="n">
        <f aca="false">(E158/H158*F158/C158)</f>
        <v>1.00874291771538</v>
      </c>
      <c r="P158" s="7" t="n">
        <f aca="false">(IF(L158&gt;1,L158,1/L158) - 1)*100</f>
        <v>27.5132572739394</v>
      </c>
      <c r="Q158" s="7" t="n">
        <f aca="false">(IF(M158&gt;1,M158,1/M158) - 1)*100</f>
        <v>6.85521324900262</v>
      </c>
      <c r="R158" s="7" t="n">
        <f aca="false">(IF(N158&gt;1,N158,1/N158) - 1)*100</f>
        <v>3.70345352551613</v>
      </c>
      <c r="S158" s="7" t="n">
        <f aca="false">(IF(O158&gt;1,O158,1/O158) - 1)*100</f>
        <v>0.87429177153755</v>
      </c>
      <c r="T158" s="9" t="n">
        <f aca="false">(P158+Q158) &lt; (R158+S158)</f>
        <v>0</v>
      </c>
      <c r="U158" s="10" t="n">
        <f aca="false">IF($T158,P158,R158)</f>
        <v>3.70345352551613</v>
      </c>
      <c r="V158" s="11" t="n">
        <f aca="false">IF($T158,Q158,S158)</f>
        <v>0.87429177153755</v>
      </c>
      <c r="W158" s="12" t="n">
        <f aca="false">P158 &lt; R158</f>
        <v>0</v>
      </c>
      <c r="X158" s="10" t="n">
        <f aca="false">IF($W158,P158,R158)</f>
        <v>3.70345352551613</v>
      </c>
      <c r="Y158" s="1" t="n">
        <v>336350</v>
      </c>
      <c r="Z158" s="1" t="s">
        <v>200</v>
      </c>
      <c r="AA158" s="12" t="n">
        <f aca="false">T158=W158</f>
        <v>1</v>
      </c>
    </row>
    <row r="159" customFormat="false" ht="12.8" hidden="false" customHeight="false" outlineLevel="0" collapsed="false">
      <c r="A159" s="1" t="s">
        <v>201</v>
      </c>
      <c r="B159" s="1" t="n">
        <v>336360</v>
      </c>
      <c r="C159" s="1" t="n">
        <v>20480</v>
      </c>
      <c r="D159" s="1" t="n">
        <v>4749</v>
      </c>
      <c r="E159" s="1" t="n">
        <v>3848</v>
      </c>
      <c r="F159" s="1" t="n">
        <v>23104</v>
      </c>
      <c r="G159" s="1" t="n">
        <v>4423</v>
      </c>
      <c r="H159" s="1" t="n">
        <v>3431</v>
      </c>
      <c r="I159" s="1" t="n">
        <v>31795</v>
      </c>
      <c r="J159" s="1" t="n">
        <v>8104</v>
      </c>
      <c r="K159" s="1" t="n">
        <v>4702</v>
      </c>
      <c r="L159" s="7" t="n">
        <f aca="false">(J159/G159*F159/I159)</f>
        <v>1.33140701099348</v>
      </c>
      <c r="M159" s="7" t="n">
        <f aca="false">(D159/G159*F159/C159)</f>
        <v>1.21127416346371</v>
      </c>
      <c r="N159" s="7" t="n">
        <f aca="false">(K159/H159*F159/I159)</f>
        <v>0.995841574528678</v>
      </c>
      <c r="O159" s="7" t="n">
        <f aca="false">(E159/H159*F159/C159)</f>
        <v>1.2652360827747</v>
      </c>
      <c r="P159" s="7" t="n">
        <f aca="false">(IF(L159&gt;1,L159,1/L159) - 1)*100</f>
        <v>33.1407010993478</v>
      </c>
      <c r="Q159" s="7" t="n">
        <f aca="false">(IF(M159&gt;1,M159,1/M159) - 1)*100</f>
        <v>21.1274163463713</v>
      </c>
      <c r="R159" s="7" t="n">
        <f aca="false">(IF(N159&gt;1,N159,1/N159) - 1)*100</f>
        <v>0.417579018358416</v>
      </c>
      <c r="S159" s="7" t="n">
        <f aca="false">(IF(O159&gt;1,O159,1/O159) - 1)*100</f>
        <v>26.5236082774701</v>
      </c>
      <c r="T159" s="9" t="n">
        <f aca="false">(P159+Q159) &lt; (R159+S159)</f>
        <v>0</v>
      </c>
      <c r="U159" s="10" t="n">
        <f aca="false">IF($T159,P159,R159)</f>
        <v>0.417579018358416</v>
      </c>
      <c r="V159" s="11" t="n">
        <f aca="false">IF($T159,Q159,S159)</f>
        <v>26.5236082774701</v>
      </c>
      <c r="W159" s="12" t="n">
        <f aca="false">P159 &lt; R159</f>
        <v>0</v>
      </c>
      <c r="X159" s="10" t="n">
        <f aca="false">IF($W159,P159,R159)</f>
        <v>0.417579018358416</v>
      </c>
      <c r="Y159" s="1" t="n">
        <v>336360</v>
      </c>
      <c r="Z159" s="1" t="s">
        <v>201</v>
      </c>
      <c r="AA159" s="12" t="n">
        <f aca="false">T159=W159</f>
        <v>1</v>
      </c>
    </row>
    <row r="160" customFormat="false" ht="12.8" hidden="false" customHeight="false" outlineLevel="0" collapsed="false">
      <c r="A160" s="1" t="s">
        <v>202</v>
      </c>
      <c r="B160" s="1" t="n">
        <v>336370</v>
      </c>
      <c r="C160" s="1" t="n">
        <v>30670</v>
      </c>
      <c r="D160" s="1" t="n">
        <v>9445</v>
      </c>
      <c r="E160" s="1" t="n">
        <v>6522</v>
      </c>
      <c r="F160" s="1" t="n">
        <v>30283</v>
      </c>
      <c r="G160" s="1" t="n">
        <v>7986</v>
      </c>
      <c r="H160" s="1" t="n">
        <v>5102</v>
      </c>
      <c r="I160" s="1" t="n">
        <v>37909</v>
      </c>
      <c r="J160" s="1" t="n">
        <v>11179</v>
      </c>
      <c r="K160" s="1" t="n">
        <v>6486</v>
      </c>
      <c r="L160" s="7" t="n">
        <f aca="false">(J160/G160*F160/I160)</f>
        <v>1.1182276289159</v>
      </c>
      <c r="M160" s="7" t="n">
        <f aca="false">(D160/G160*F160/C160)</f>
        <v>1.16777124477127</v>
      </c>
      <c r="N160" s="7" t="n">
        <f aca="false">(K160/H160*F160/I160)</f>
        <v>1.0155307032638</v>
      </c>
      <c r="O160" s="7" t="n">
        <f aca="false">(E160/H160*F160/C160)</f>
        <v>1.26219210914431</v>
      </c>
      <c r="P160" s="7" t="n">
        <f aca="false">(IF(L160&gt;1,L160,1/L160) - 1)*100</f>
        <v>11.8227628915904</v>
      </c>
      <c r="Q160" s="7" t="n">
        <f aca="false">(IF(M160&gt;1,M160,1/M160) - 1)*100</f>
        <v>16.7771244771274</v>
      </c>
      <c r="R160" s="7" t="n">
        <f aca="false">(IF(N160&gt;1,N160,1/N160) - 1)*100</f>
        <v>1.55307032638012</v>
      </c>
      <c r="S160" s="7" t="n">
        <f aca="false">(IF(O160&gt;1,O160,1/O160) - 1)*100</f>
        <v>26.2192109144307</v>
      </c>
      <c r="T160" s="9" t="n">
        <f aca="false">(P160+Q160) &lt; (R160+S160)</f>
        <v>0</v>
      </c>
      <c r="U160" s="10" t="n">
        <f aca="false">IF($T160,P160,R160)</f>
        <v>1.55307032638012</v>
      </c>
      <c r="V160" s="11" t="n">
        <f aca="false">IF($T160,Q160,S160)</f>
        <v>26.2192109144307</v>
      </c>
      <c r="W160" s="12" t="n">
        <f aca="false">P160 &lt; R160</f>
        <v>0</v>
      </c>
      <c r="X160" s="10" t="n">
        <f aca="false">IF($W160,P160,R160)</f>
        <v>1.55307032638012</v>
      </c>
      <c r="Y160" s="1" t="n">
        <v>336370</v>
      </c>
      <c r="Z160" s="1" t="s">
        <v>202</v>
      </c>
      <c r="AA160" s="12" t="n">
        <f aca="false">T160=W160</f>
        <v>1</v>
      </c>
    </row>
    <row r="161" customFormat="false" ht="12.8" hidden="false" customHeight="false" outlineLevel="0" collapsed="false">
      <c r="A161" s="1" t="s">
        <v>203</v>
      </c>
      <c r="B161" s="1" t="n">
        <v>336390</v>
      </c>
      <c r="C161" s="1" t="n">
        <v>50090</v>
      </c>
      <c r="D161" s="1" t="n">
        <v>15217</v>
      </c>
      <c r="E161" s="1" t="n">
        <v>10018</v>
      </c>
      <c r="F161" s="1" t="n">
        <v>58388</v>
      </c>
      <c r="G161" s="1" t="n">
        <v>13007</v>
      </c>
      <c r="H161" s="1" t="n">
        <v>7564</v>
      </c>
      <c r="I161" s="1" t="n">
        <v>65677</v>
      </c>
      <c r="J161" s="1" t="n">
        <v>17918</v>
      </c>
      <c r="K161" s="1" t="n">
        <v>9975</v>
      </c>
      <c r="L161" s="7" t="n">
        <f aca="false">(J161/G161*F161/I161)</f>
        <v>1.22468016641462</v>
      </c>
      <c r="M161" s="7" t="n">
        <f aca="false">(D161/G161*F161/C161)</f>
        <v>1.36371767076662</v>
      </c>
      <c r="N161" s="7" t="n">
        <f aca="false">(K161/H161*F161/I161)</f>
        <v>1.17238884267088</v>
      </c>
      <c r="O161" s="7" t="n">
        <f aca="false">(E161/H161*F161/C161)</f>
        <v>1.54383923849815</v>
      </c>
      <c r="P161" s="7" t="n">
        <f aca="false">(IF(L161&gt;1,L161,1/L161) - 1)*100</f>
        <v>22.4680166414624</v>
      </c>
      <c r="Q161" s="7" t="n">
        <f aca="false">(IF(M161&gt;1,M161,1/M161) - 1)*100</f>
        <v>36.3717670766619</v>
      </c>
      <c r="R161" s="7" t="n">
        <f aca="false">(IF(N161&gt;1,N161,1/N161) - 1)*100</f>
        <v>17.2388842670877</v>
      </c>
      <c r="S161" s="7" t="n">
        <f aca="false">(IF(O161&gt;1,O161,1/O161) - 1)*100</f>
        <v>54.3839238498149</v>
      </c>
      <c r="T161" s="9" t="n">
        <f aca="false">(P161+Q161) &lt; (R161+S161)</f>
        <v>1</v>
      </c>
      <c r="U161" s="10" t="n">
        <f aca="false">IF($T161,P161,R161)</f>
        <v>22.4680166414624</v>
      </c>
      <c r="V161" s="11" t="n">
        <f aca="false">IF($T161,Q161,S161)</f>
        <v>36.3717670766619</v>
      </c>
      <c r="W161" s="12" t="n">
        <f aca="false">P161 &lt; R161</f>
        <v>0</v>
      </c>
      <c r="X161" s="10" t="n">
        <f aca="false">IF($W161,P161,R161)</f>
        <v>17.2388842670877</v>
      </c>
      <c r="Y161" s="1" t="n">
        <v>336390</v>
      </c>
      <c r="Z161" s="1" t="s">
        <v>203</v>
      </c>
      <c r="AA161" s="12" t="n">
        <f aca="false">T161=W161</f>
        <v>0</v>
      </c>
    </row>
    <row r="162" customFormat="false" ht="12.8" hidden="false" customHeight="false" outlineLevel="0" collapsed="false">
      <c r="A162" s="1" t="s">
        <v>204</v>
      </c>
      <c r="B162" s="1" t="s">
        <v>205</v>
      </c>
      <c r="C162" s="1" t="n">
        <v>22293</v>
      </c>
      <c r="D162" s="1" t="n">
        <v>6183</v>
      </c>
      <c r="E162" s="1" t="n">
        <v>4854</v>
      </c>
      <c r="F162" s="1" t="n">
        <v>23671</v>
      </c>
      <c r="G162" s="1" t="n">
        <v>5699</v>
      </c>
      <c r="H162" s="1" t="n">
        <v>4210</v>
      </c>
      <c r="I162" s="1" t="n">
        <v>27452</v>
      </c>
      <c r="J162" s="1" t="n">
        <v>6366</v>
      </c>
      <c r="K162" s="1" t="n">
        <v>4394</v>
      </c>
      <c r="L162" s="7" t="n">
        <f aca="false">(J162/G162*F162/I162)</f>
        <v>0.963186956041405</v>
      </c>
      <c r="M162" s="7" t="n">
        <f aca="false">(D162/G162*F162/C162)</f>
        <v>1.15198991982601</v>
      </c>
      <c r="N162" s="7" t="n">
        <f aca="false">(K162/H162*F162/I162)</f>
        <v>0.899954539523619</v>
      </c>
      <c r="O162" s="7" t="n">
        <f aca="false">(E162/H162*F162/C162)</f>
        <v>1.22423774577259</v>
      </c>
      <c r="P162" s="7" t="n">
        <f aca="false">(IF(L162&gt;1,L162,1/L162) - 1)*100</f>
        <v>3.82200399701145</v>
      </c>
      <c r="Q162" s="7" t="n">
        <f aca="false">(IF(M162&gt;1,M162,1/M162) - 1)*100</f>
        <v>15.1989919826007</v>
      </c>
      <c r="R162" s="7" t="n">
        <f aca="false">(IF(N162&gt;1,N162,1/N162) - 1)*100</f>
        <v>11.1167237991087</v>
      </c>
      <c r="S162" s="7" t="n">
        <f aca="false">(IF(O162&gt;1,O162,1/O162) - 1)*100</f>
        <v>22.4237745772588</v>
      </c>
      <c r="T162" s="9" t="n">
        <f aca="false">(P162+Q162) &lt; (R162+S162)</f>
        <v>1</v>
      </c>
      <c r="U162" s="10" t="n">
        <f aca="false">IF($T162,P162,R162)</f>
        <v>3.82200399701145</v>
      </c>
      <c r="V162" s="11" t="n">
        <f aca="false">IF($T162,Q162,S162)</f>
        <v>15.1989919826007</v>
      </c>
      <c r="W162" s="12" t="n">
        <f aca="false">P162 &lt; R162</f>
        <v>1</v>
      </c>
      <c r="X162" s="10" t="n">
        <f aca="false">IF($W162,P162,R162)</f>
        <v>3.82200399701145</v>
      </c>
      <c r="Y162" s="1" t="s">
        <v>205</v>
      </c>
      <c r="Z162" s="1" t="s">
        <v>204</v>
      </c>
      <c r="AA162" s="12" t="n">
        <f aca="false">T162=W162</f>
        <v>1</v>
      </c>
    </row>
    <row r="163" customFormat="false" ht="12.8" hidden="false" customHeight="false" outlineLevel="0" collapsed="false">
      <c r="A163" s="1" t="s">
        <v>206</v>
      </c>
      <c r="B163" s="1" t="n">
        <v>336411</v>
      </c>
      <c r="C163" s="1" t="n">
        <v>101240</v>
      </c>
      <c r="D163" s="1" t="n">
        <v>44135</v>
      </c>
      <c r="E163" s="1" t="n">
        <v>22122</v>
      </c>
      <c r="F163" s="1" t="n">
        <v>117844</v>
      </c>
      <c r="G163" s="1" t="n">
        <v>50961</v>
      </c>
      <c r="H163" s="1" t="n">
        <v>24210</v>
      </c>
      <c r="I163" s="1" t="n">
        <v>149569</v>
      </c>
      <c r="J163" s="1" t="n">
        <v>74423</v>
      </c>
      <c r="K163" s="1" t="n">
        <v>29130</v>
      </c>
      <c r="L163" s="7" t="n">
        <f aca="false">(J163/G163*F163/I163)</f>
        <v>1.15062847216928</v>
      </c>
      <c r="M163" s="7" t="n">
        <f aca="false">(D163/G163*F163/C163)</f>
        <v>1.00809283578317</v>
      </c>
      <c r="N163" s="7" t="n">
        <f aca="false">(K163/H163*F163/I163)</f>
        <v>0.948007079540558</v>
      </c>
      <c r="O163" s="7" t="n">
        <f aca="false">(E163/H163*F163/C163)</f>
        <v>1.06361618532428</v>
      </c>
      <c r="P163" s="7" t="n">
        <f aca="false">(IF(L163&gt;1,L163,1/L163) - 1)*100</f>
        <v>15.0628472169275</v>
      </c>
      <c r="Q163" s="7" t="n">
        <f aca="false">(IF(M163&gt;1,M163,1/M163) - 1)*100</f>
        <v>0.809283578316955</v>
      </c>
      <c r="R163" s="7" t="n">
        <f aca="false">(IF(N163&gt;1,N163,1/N163) - 1)*100</f>
        <v>5.48444432341577</v>
      </c>
      <c r="S163" s="7" t="n">
        <f aca="false">(IF(O163&gt;1,O163,1/O163) - 1)*100</f>
        <v>6.36161853242836</v>
      </c>
      <c r="T163" s="9" t="n">
        <f aca="false">(P163+Q163) &lt; (R163+S163)</f>
        <v>0</v>
      </c>
      <c r="U163" s="10" t="n">
        <f aca="false">IF($T163,P163,R163)</f>
        <v>5.48444432341577</v>
      </c>
      <c r="V163" s="11" t="n">
        <f aca="false">IF($T163,Q163,S163)</f>
        <v>6.36161853242836</v>
      </c>
      <c r="W163" s="12" t="n">
        <f aca="false">P163 &lt; R163</f>
        <v>0</v>
      </c>
      <c r="X163" s="10" t="n">
        <f aca="false">IF($W163,P163,R163)</f>
        <v>5.48444432341577</v>
      </c>
      <c r="Y163" s="1" t="n">
        <v>336411</v>
      </c>
      <c r="Z163" s="1" t="s">
        <v>206</v>
      </c>
      <c r="AA163" s="12" t="n">
        <f aca="false">T163=W163</f>
        <v>1</v>
      </c>
    </row>
    <row r="164" customFormat="false" ht="12.8" hidden="false" customHeight="false" outlineLevel="0" collapsed="false">
      <c r="A164" s="1" t="s">
        <v>207</v>
      </c>
      <c r="B164" s="1" t="n">
        <v>336412</v>
      </c>
      <c r="C164" s="1" t="n">
        <v>38176</v>
      </c>
      <c r="D164" s="1" t="n">
        <v>19290</v>
      </c>
      <c r="E164" s="1" t="n">
        <v>9548</v>
      </c>
      <c r="F164" s="1" t="n">
        <v>44009</v>
      </c>
      <c r="G164" s="1" t="n">
        <v>20808</v>
      </c>
      <c r="H164" s="1" t="n">
        <v>9321</v>
      </c>
      <c r="I164" s="1" t="n">
        <v>46666</v>
      </c>
      <c r="J164" s="1" t="n">
        <v>18364</v>
      </c>
      <c r="K164" s="1" t="n">
        <v>9060</v>
      </c>
      <c r="L164" s="7" t="n">
        <f aca="false">(J164/G164*F164/I164)</f>
        <v>0.832296117164831</v>
      </c>
      <c r="M164" s="7" t="n">
        <f aca="false">(D164/G164*F164/C164)</f>
        <v>1.06869300512844</v>
      </c>
      <c r="N164" s="7" t="n">
        <f aca="false">(K164/H164*F164/I164)</f>
        <v>0.916656480995386</v>
      </c>
      <c r="O164" s="7" t="n">
        <f aca="false">(E164/H164*F164/C164)</f>
        <v>1.18086698522916</v>
      </c>
      <c r="P164" s="7" t="n">
        <f aca="false">(IF(L164&gt;1,L164,1/L164) - 1)*100</f>
        <v>20.1495452611797</v>
      </c>
      <c r="Q164" s="7" t="n">
        <f aca="false">(IF(M164&gt;1,M164,1/M164) - 1)*100</f>
        <v>6.86930051284356</v>
      </c>
      <c r="R164" s="7" t="n">
        <f aca="false">(IF(N164&gt;1,N164,1/N164) - 1)*100</f>
        <v>9.09212128344006</v>
      </c>
      <c r="S164" s="7" t="n">
        <f aca="false">(IF(O164&gt;1,O164,1/O164) - 1)*100</f>
        <v>18.0866985229164</v>
      </c>
      <c r="T164" s="9" t="n">
        <f aca="false">(P164+Q164) &lt; (R164+S164)</f>
        <v>1</v>
      </c>
      <c r="U164" s="10" t="n">
        <f aca="false">IF($T164,P164,R164)</f>
        <v>20.1495452611797</v>
      </c>
      <c r="V164" s="11" t="n">
        <f aca="false">IF($T164,Q164,S164)</f>
        <v>6.86930051284356</v>
      </c>
      <c r="W164" s="12" t="n">
        <f aca="false">P164 &lt; R164</f>
        <v>0</v>
      </c>
      <c r="X164" s="10" t="n">
        <f aca="false">IF($W164,P164,R164)</f>
        <v>9.09212128344006</v>
      </c>
      <c r="Y164" s="1" t="n">
        <v>336412</v>
      </c>
      <c r="Z164" s="1" t="s">
        <v>207</v>
      </c>
      <c r="AA164" s="12" t="n">
        <f aca="false">T164=W164</f>
        <v>0</v>
      </c>
    </row>
    <row r="165" customFormat="false" ht="12.8" hidden="false" customHeight="false" outlineLevel="0" collapsed="false">
      <c r="A165" s="1" t="s">
        <v>208</v>
      </c>
      <c r="B165" s="1" t="n">
        <v>336413</v>
      </c>
      <c r="C165" s="1" t="n">
        <v>33367</v>
      </c>
      <c r="D165" s="1" t="n">
        <v>19262</v>
      </c>
      <c r="E165" s="1" t="n">
        <v>12129</v>
      </c>
      <c r="F165" s="1" t="n">
        <v>35902</v>
      </c>
      <c r="G165" s="1" t="n">
        <v>17334</v>
      </c>
      <c r="H165" s="1" t="n">
        <v>9665</v>
      </c>
      <c r="I165" s="1" t="n">
        <v>37139</v>
      </c>
      <c r="J165" s="1" t="n">
        <v>17515</v>
      </c>
      <c r="K165" s="1" t="n">
        <v>9554</v>
      </c>
      <c r="L165" s="7" t="n">
        <f aca="false">(J165/G165*F165/I165)</f>
        <v>0.976786809340676</v>
      </c>
      <c r="M165" s="7" t="n">
        <f aca="false">(D165/G165*F165/C165)</f>
        <v>1.19564999820932</v>
      </c>
      <c r="N165" s="7" t="n">
        <f aca="false">(K165/H165*F165/I165)</f>
        <v>0.955590481958781</v>
      </c>
      <c r="O165" s="7" t="n">
        <f aca="false">(E165/H165*F165/C165)</f>
        <v>1.35028243719058</v>
      </c>
      <c r="P165" s="7" t="n">
        <f aca="false">(IF(L165&gt;1,L165,1/L165) - 1)*100</f>
        <v>2.37648486213613</v>
      </c>
      <c r="Q165" s="7" t="n">
        <f aca="false">(IF(M165&gt;1,M165,1/M165) - 1)*100</f>
        <v>19.564999820932</v>
      </c>
      <c r="R165" s="7" t="n">
        <f aca="false">(IF(N165&gt;1,N165,1/N165) - 1)*100</f>
        <v>4.64733783766749</v>
      </c>
      <c r="S165" s="7" t="n">
        <f aca="false">(IF(O165&gt;1,O165,1/O165) - 1)*100</f>
        <v>35.0282437190584</v>
      </c>
      <c r="T165" s="9" t="n">
        <f aca="false">(P165+Q165) &lt; (R165+S165)</f>
        <v>1</v>
      </c>
      <c r="U165" s="10" t="n">
        <f aca="false">IF($T165,P165,R165)</f>
        <v>2.37648486213613</v>
      </c>
      <c r="V165" s="11" t="n">
        <f aca="false">IF($T165,Q165,S165)</f>
        <v>19.564999820932</v>
      </c>
      <c r="W165" s="12" t="n">
        <f aca="false">P165 &lt; R165</f>
        <v>1</v>
      </c>
      <c r="X165" s="10" t="n">
        <f aca="false">IF($W165,P165,R165)</f>
        <v>2.37648486213613</v>
      </c>
      <c r="Y165" s="1" t="n">
        <v>336413</v>
      </c>
      <c r="Z165" s="1" t="s">
        <v>208</v>
      </c>
      <c r="AA165" s="12" t="n">
        <f aca="false">T165=W165</f>
        <v>1</v>
      </c>
    </row>
    <row r="166" customFormat="false" ht="12.8" hidden="false" customHeight="false" outlineLevel="0" collapsed="false">
      <c r="A166" s="1" t="s">
        <v>209</v>
      </c>
      <c r="B166" s="1" t="n">
        <v>336414</v>
      </c>
      <c r="C166" s="1" t="n">
        <v>16266</v>
      </c>
      <c r="D166" s="1" t="n">
        <v>7707</v>
      </c>
      <c r="E166" s="1" t="n">
        <v>7424</v>
      </c>
      <c r="F166" s="1" t="n">
        <v>20952</v>
      </c>
      <c r="G166" s="1" t="n">
        <v>10517</v>
      </c>
      <c r="H166" s="1" t="n">
        <v>10286</v>
      </c>
      <c r="I166" s="1" t="n">
        <v>19803</v>
      </c>
      <c r="J166" s="1" t="n">
        <v>10078</v>
      </c>
      <c r="K166" s="1" t="n">
        <v>9833</v>
      </c>
      <c r="L166" s="7" t="n">
        <f aca="false">(J166/G166*F166/I166)</f>
        <v>1.0138576397118</v>
      </c>
      <c r="M166" s="7" t="n">
        <f aca="false">(D166/G166*F166/C166)</f>
        <v>0.943926551685811</v>
      </c>
      <c r="N166" s="7" t="n">
        <f aca="false">(K166/H166*F166/I166)</f>
        <v>1.01142577546523</v>
      </c>
      <c r="O166" s="7" t="n">
        <f aca="false">(E166/H166*F166/C166)</f>
        <v>0.929685720951786</v>
      </c>
      <c r="P166" s="7" t="n">
        <f aca="false">(IF(L166&gt;1,L166,1/L166) - 1)*100</f>
        <v>1.38576397117964</v>
      </c>
      <c r="Q166" s="7" t="n">
        <f aca="false">(IF(M166&gt;1,M166,1/M166) - 1)*100</f>
        <v>5.94044613047955</v>
      </c>
      <c r="R166" s="7" t="n">
        <f aca="false">(IF(N166&gt;1,N166,1/N166) - 1)*100</f>
        <v>1.14257754652332</v>
      </c>
      <c r="S166" s="7" t="n">
        <f aca="false">(IF(O166&gt;1,O166,1/O166) - 1)*100</f>
        <v>7.56323104287633</v>
      </c>
      <c r="T166" s="9" t="n">
        <f aca="false">(P166+Q166) &lt; (R166+S166)</f>
        <v>1</v>
      </c>
      <c r="U166" s="10" t="n">
        <f aca="false">IF($T166,P166,R166)</f>
        <v>1.38576397117964</v>
      </c>
      <c r="V166" s="11" t="n">
        <f aca="false">IF($T166,Q166,S166)</f>
        <v>5.94044613047955</v>
      </c>
      <c r="W166" s="12" t="n">
        <f aca="false">P166 &lt; R166</f>
        <v>0</v>
      </c>
      <c r="X166" s="10" t="n">
        <f aca="false">IF($W166,P166,R166)</f>
        <v>1.14257754652332</v>
      </c>
      <c r="Y166" s="1" t="n">
        <v>336414</v>
      </c>
      <c r="Z166" s="1" t="s">
        <v>209</v>
      </c>
      <c r="AA166" s="12" t="n">
        <f aca="false">T166=W166</f>
        <v>0</v>
      </c>
    </row>
    <row r="167" customFormat="false" ht="12.8" hidden="false" customHeight="false" outlineLevel="0" collapsed="false">
      <c r="A167" s="1" t="s">
        <v>210</v>
      </c>
      <c r="B167" s="1" t="s">
        <v>211</v>
      </c>
      <c r="C167" s="1" t="n">
        <v>5912</v>
      </c>
      <c r="D167" s="1" t="n">
        <v>1959</v>
      </c>
      <c r="E167" s="1" t="n">
        <v>1131</v>
      </c>
      <c r="F167" s="1" t="n">
        <v>5874</v>
      </c>
      <c r="G167" s="1" t="n">
        <v>3077</v>
      </c>
      <c r="H167" s="1" t="n">
        <v>1714</v>
      </c>
      <c r="I167" s="1" t="n">
        <v>9506</v>
      </c>
      <c r="J167" s="1" t="n">
        <v>2481</v>
      </c>
      <c r="K167" s="1" t="n">
        <v>1973</v>
      </c>
      <c r="L167" s="7" t="n">
        <f aca="false">(J167/G167*F167/I167)</f>
        <v>0.498236339589091</v>
      </c>
      <c r="M167" s="7" t="n">
        <f aca="false">(D167/G167*F167/C167)</f>
        <v>0.632566890496209</v>
      </c>
      <c r="N167" s="7" t="n">
        <f aca="false">(K167/H167*F167/I167)</f>
        <v>0.711299330448055</v>
      </c>
      <c r="O167" s="7" t="n">
        <f aca="false">(E167/H167*F167/C167)</f>
        <v>0.655618657462306</v>
      </c>
      <c r="P167" s="7" t="n">
        <f aca="false">(IF(L167&gt;1,L167,1/L167) - 1)*100</f>
        <v>100.70796137125</v>
      </c>
      <c r="Q167" s="7" t="n">
        <f aca="false">(IF(M167&gt;1,M167,1/M167) - 1)*100</f>
        <v>58.0860482937328</v>
      </c>
      <c r="R167" s="7" t="n">
        <f aca="false">(IF(N167&gt;1,N167,1/N167) - 1)*100</f>
        <v>40.587788740092</v>
      </c>
      <c r="S167" s="7" t="n">
        <f aca="false">(IF(O167&gt;1,O167,1/O167) - 1)*100</f>
        <v>52.5276910011509</v>
      </c>
      <c r="T167" s="9" t="n">
        <f aca="false">(P167+Q167) &lt; (R167+S167)</f>
        <v>0</v>
      </c>
      <c r="U167" s="10" t="n">
        <f aca="false">IF($T167,P167,R167)</f>
        <v>40.587788740092</v>
      </c>
      <c r="V167" s="11" t="n">
        <f aca="false">IF($T167,Q167,S167)</f>
        <v>52.5276910011509</v>
      </c>
      <c r="W167" s="12" t="n">
        <f aca="false">P167 &lt; R167</f>
        <v>0</v>
      </c>
      <c r="X167" s="10" t="n">
        <f aca="false">IF($W167,P167,R167)</f>
        <v>40.587788740092</v>
      </c>
      <c r="Y167" s="1" t="s">
        <v>211</v>
      </c>
      <c r="Z167" s="1" t="s">
        <v>210</v>
      </c>
      <c r="AA167" s="12" t="n">
        <f aca="false">T167=W167</f>
        <v>1</v>
      </c>
    </row>
    <row r="168" customFormat="false" ht="12.8" hidden="false" customHeight="false" outlineLevel="0" collapsed="false">
      <c r="A168" s="1" t="s">
        <v>212</v>
      </c>
      <c r="B168" s="1" t="n">
        <v>336500</v>
      </c>
      <c r="C168" s="1" t="n">
        <v>12753</v>
      </c>
      <c r="D168" s="1" t="n">
        <v>3276</v>
      </c>
      <c r="E168" s="1" t="n">
        <v>1506</v>
      </c>
      <c r="F168" s="1" t="n">
        <v>16634</v>
      </c>
      <c r="G168" s="1" t="n">
        <v>4187</v>
      </c>
      <c r="H168" s="1" t="n">
        <v>2007</v>
      </c>
      <c r="I168" s="1" t="n">
        <v>12800</v>
      </c>
      <c r="J168" s="1" t="n">
        <v>3135</v>
      </c>
      <c r="K168" s="1" t="n">
        <v>1480</v>
      </c>
      <c r="L168" s="7" t="n">
        <f aca="false">(J168/G168*F168/I168)</f>
        <v>0.973018979878194</v>
      </c>
      <c r="M168" s="7" t="n">
        <f aca="false">(D168/G168*F168/C168)</f>
        <v>1.02052881023176</v>
      </c>
      <c r="N168" s="7" t="n">
        <f aca="false">(K168/H168*F168/I168)</f>
        <v>0.958299078226208</v>
      </c>
      <c r="O168" s="7" t="n">
        <f aca="false">(E168/H168*F168/C168)</f>
        <v>0.978727828277341</v>
      </c>
      <c r="P168" s="7" t="n">
        <f aca="false">(IF(L168&gt;1,L168,1/L168) - 1)*100</f>
        <v>2.77291817320799</v>
      </c>
      <c r="Q168" s="7" t="n">
        <f aca="false">(IF(M168&gt;1,M168,1/M168) - 1)*100</f>
        <v>2.05288102317571</v>
      </c>
      <c r="R168" s="7" t="n">
        <f aca="false">(IF(N168&gt;1,N168,1/N168) - 1)*100</f>
        <v>4.35155607693782</v>
      </c>
      <c r="S168" s="7" t="n">
        <f aca="false">(IF(O168&gt;1,O168,1/O168) - 1)*100</f>
        <v>2.17345119941059</v>
      </c>
      <c r="T168" s="9" t="n">
        <f aca="false">(P168+Q168) &lt; (R168+S168)</f>
        <v>1</v>
      </c>
      <c r="U168" s="10" t="n">
        <f aca="false">IF($T168,P168,R168)</f>
        <v>2.77291817320799</v>
      </c>
      <c r="V168" s="11" t="n">
        <f aca="false">IF($T168,Q168,S168)</f>
        <v>2.05288102317571</v>
      </c>
      <c r="W168" s="12" t="n">
        <f aca="false">P168 &lt; R168</f>
        <v>1</v>
      </c>
      <c r="X168" s="10" t="n">
        <f aca="false">IF($W168,P168,R168)</f>
        <v>2.77291817320799</v>
      </c>
      <c r="Y168" s="1" t="n">
        <v>336500</v>
      </c>
      <c r="Z168" s="1" t="s">
        <v>212</v>
      </c>
      <c r="AA168" s="12" t="n">
        <f aca="false">T168=W168</f>
        <v>1</v>
      </c>
    </row>
    <row r="169" customFormat="false" ht="12.8" hidden="false" customHeight="false" outlineLevel="0" collapsed="false">
      <c r="A169" s="1" t="s">
        <v>213</v>
      </c>
      <c r="B169" s="1" t="n">
        <v>336611</v>
      </c>
      <c r="C169" s="1" t="n">
        <v>18345</v>
      </c>
      <c r="D169" s="1" t="n">
        <v>7974</v>
      </c>
      <c r="E169" s="1" t="n">
        <v>6692</v>
      </c>
      <c r="F169" s="1" t="n">
        <v>22695</v>
      </c>
      <c r="G169" s="1" t="n">
        <v>10281</v>
      </c>
      <c r="H169" s="1" t="n">
        <v>9169</v>
      </c>
      <c r="I169" s="1" t="n">
        <v>25522</v>
      </c>
      <c r="J169" s="1" t="n">
        <v>12224</v>
      </c>
      <c r="K169" s="1" t="n">
        <v>10395</v>
      </c>
      <c r="L169" s="7" t="n">
        <f aca="false">(J169/G169*F169/I169)</f>
        <v>1.05728839376852</v>
      </c>
      <c r="M169" s="7" t="n">
        <f aca="false">(D169/G169*F169/C169)</f>
        <v>0.95951847922121</v>
      </c>
      <c r="N169" s="7" t="n">
        <f aca="false">(K169/H169*F169/I169)</f>
        <v>1.00813340068167</v>
      </c>
      <c r="O169" s="7" t="n">
        <f aca="false">(E169/H169*F169/C169)</f>
        <v>0.902914090610876</v>
      </c>
      <c r="P169" s="7" t="n">
        <f aca="false">(IF(L169&gt;1,L169,1/L169) - 1)*100</f>
        <v>5.72883937685189</v>
      </c>
      <c r="Q169" s="7" t="n">
        <f aca="false">(IF(M169&gt;1,M169,1/M169) - 1)*100</f>
        <v>4.21894123515436</v>
      </c>
      <c r="R169" s="7" t="n">
        <f aca="false">(IF(N169&gt;1,N169,1/N169) - 1)*100</f>
        <v>0.813340068167157</v>
      </c>
      <c r="S169" s="7" t="n">
        <f aca="false">(IF(O169&gt;1,O169,1/O169) - 1)*100</f>
        <v>10.7525079516081</v>
      </c>
      <c r="T169" s="9" t="n">
        <f aca="false">(P169+Q169) &lt; (R169+S169)</f>
        <v>1</v>
      </c>
      <c r="U169" s="10" t="n">
        <f aca="false">IF($T169,P169,R169)</f>
        <v>5.72883937685189</v>
      </c>
      <c r="V169" s="11" t="n">
        <f aca="false">IF($T169,Q169,S169)</f>
        <v>4.21894123515436</v>
      </c>
      <c r="W169" s="12" t="n">
        <f aca="false">P169 &lt; R169</f>
        <v>0</v>
      </c>
      <c r="X169" s="10" t="n">
        <f aca="false">IF($W169,P169,R169)</f>
        <v>0.813340068167157</v>
      </c>
      <c r="Y169" s="1" t="n">
        <v>336611</v>
      </c>
      <c r="Z169" s="1" t="s">
        <v>213</v>
      </c>
      <c r="AA169" s="12" t="n">
        <f aca="false">T169=W169</f>
        <v>0</v>
      </c>
    </row>
    <row r="170" customFormat="false" ht="12.8" hidden="false" customHeight="false" outlineLevel="0" collapsed="false">
      <c r="A170" s="1" t="s">
        <v>214</v>
      </c>
      <c r="B170" s="1" t="n">
        <v>336612</v>
      </c>
      <c r="C170" s="1" t="n">
        <v>10660</v>
      </c>
      <c r="D170" s="1" t="n">
        <v>2133</v>
      </c>
      <c r="E170" s="1" t="n">
        <v>1660</v>
      </c>
      <c r="F170" s="1" t="n">
        <v>7238</v>
      </c>
      <c r="G170" s="1" t="n">
        <v>2234</v>
      </c>
      <c r="H170" s="1" t="n">
        <v>1707</v>
      </c>
      <c r="I170" s="1" t="n">
        <v>10467</v>
      </c>
      <c r="J170" s="1" t="n">
        <v>2732</v>
      </c>
      <c r="K170" s="1" t="n">
        <v>2055</v>
      </c>
      <c r="L170" s="7" t="n">
        <f aca="false">(J170/G170*F170/I170)</f>
        <v>0.845656284803183</v>
      </c>
      <c r="M170" s="7" t="n">
        <f aca="false">(D170/G170*F170/C170)</f>
        <v>0.6482896091615</v>
      </c>
      <c r="N170" s="7" t="n">
        <f aca="false">(K170/H170*F170/I170)</f>
        <v>0.832481631533233</v>
      </c>
      <c r="O170" s="7" t="n">
        <f aca="false">(E170/H170*F170/C170)</f>
        <v>0.660291856399705</v>
      </c>
      <c r="P170" s="7" t="n">
        <f aca="false">(IF(L170&gt;1,L170,1/L170) - 1)*100</f>
        <v>18.2513531762776</v>
      </c>
      <c r="Q170" s="7" t="n">
        <f aca="false">(IF(M170&gt;1,M170,1/M170) - 1)*100</f>
        <v>54.2520481383934</v>
      </c>
      <c r="R170" s="7" t="n">
        <f aca="false">(IF(N170&gt;1,N170,1/N170) - 1)*100</f>
        <v>20.1227705358782</v>
      </c>
      <c r="S170" s="7" t="n">
        <f aca="false">(IF(O170&gt;1,O170,1/O170) - 1)*100</f>
        <v>51.4481801203155</v>
      </c>
      <c r="T170" s="9" t="n">
        <f aca="false">(P170+Q170) &lt; (R170+S170)</f>
        <v>0</v>
      </c>
      <c r="U170" s="10" t="n">
        <f aca="false">IF($T170,P170,R170)</f>
        <v>20.1227705358782</v>
      </c>
      <c r="V170" s="11" t="n">
        <f aca="false">IF($T170,Q170,S170)</f>
        <v>51.4481801203155</v>
      </c>
      <c r="W170" s="12" t="n">
        <f aca="false">P170 &lt; R170</f>
        <v>1</v>
      </c>
      <c r="X170" s="10" t="n">
        <f aca="false">IF($W170,P170,R170)</f>
        <v>18.2513531762776</v>
      </c>
      <c r="Y170" s="1" t="n">
        <v>336612</v>
      </c>
      <c r="Z170" s="1" t="s">
        <v>214</v>
      </c>
      <c r="AA170" s="12" t="n">
        <f aca="false">T170=W170</f>
        <v>0</v>
      </c>
    </row>
    <row r="171" customFormat="false" ht="12.8" hidden="false" customHeight="false" outlineLevel="0" collapsed="false">
      <c r="A171" s="1" t="s">
        <v>215</v>
      </c>
      <c r="B171" s="1" t="n">
        <v>336991</v>
      </c>
      <c r="C171" s="1" t="n">
        <v>6625</v>
      </c>
      <c r="D171" s="1" t="n">
        <v>3057</v>
      </c>
      <c r="E171" s="1" t="n">
        <v>1411</v>
      </c>
      <c r="F171" s="1" t="n">
        <v>6101</v>
      </c>
      <c r="G171" s="1" t="n">
        <v>2893</v>
      </c>
      <c r="H171" s="1" t="n">
        <v>1326</v>
      </c>
      <c r="I171" s="1" t="n">
        <v>7579</v>
      </c>
      <c r="J171" s="1" t="n">
        <v>3710</v>
      </c>
      <c r="K171" s="1" t="n">
        <v>2188</v>
      </c>
      <c r="L171" s="7" t="n">
        <f aca="false">(J171/G171*F171/I171)</f>
        <v>1.03232060024317</v>
      </c>
      <c r="M171" s="7" t="n">
        <f aca="false">(D171/G171*F171/C171)</f>
        <v>0.973110474861246</v>
      </c>
      <c r="N171" s="7" t="n">
        <f aca="false">(K171/H171*F171/I171)</f>
        <v>1.32829002580561</v>
      </c>
      <c r="O171" s="7" t="n">
        <f aca="false">(E171/H171*F171/C171)</f>
        <v>0.979938074504112</v>
      </c>
      <c r="P171" s="7" t="n">
        <f aca="false">(IF(L171&gt;1,L171,1/L171) - 1)*100</f>
        <v>3.2320600243172</v>
      </c>
      <c r="Q171" s="7" t="n">
        <f aca="false">(IF(M171&gt;1,M171,1/M171) - 1)*100</f>
        <v>2.76325513221796</v>
      </c>
      <c r="R171" s="7" t="n">
        <f aca="false">(IF(N171&gt;1,N171,1/N171) - 1)*100</f>
        <v>32.8290025805607</v>
      </c>
      <c r="S171" s="7" t="n">
        <f aca="false">(IF(O171&gt;1,O171,1/O171) - 1)*100</f>
        <v>2.04726461986284</v>
      </c>
      <c r="T171" s="9" t="n">
        <f aca="false">(P171+Q171) &lt; (R171+S171)</f>
        <v>1</v>
      </c>
      <c r="U171" s="10" t="n">
        <f aca="false">IF($T171,P171,R171)</f>
        <v>3.2320600243172</v>
      </c>
      <c r="V171" s="11" t="n">
        <f aca="false">IF($T171,Q171,S171)</f>
        <v>2.76325513221796</v>
      </c>
      <c r="W171" s="12" t="n">
        <f aca="false">P171 &lt; R171</f>
        <v>1</v>
      </c>
      <c r="X171" s="10" t="n">
        <f aca="false">IF($W171,P171,R171)</f>
        <v>3.2320600243172</v>
      </c>
      <c r="Y171" s="1" t="n">
        <v>336991</v>
      </c>
      <c r="Z171" s="1" t="s">
        <v>215</v>
      </c>
      <c r="AA171" s="12" t="n">
        <f aca="false">T171=W171</f>
        <v>1</v>
      </c>
    </row>
    <row r="172" customFormat="false" ht="12.8" hidden="false" customHeight="false" outlineLevel="0" collapsed="false">
      <c r="A172" s="1" t="s">
        <v>216</v>
      </c>
      <c r="B172" s="1" t="n">
        <v>336992</v>
      </c>
      <c r="C172" s="1" t="n">
        <v>11480</v>
      </c>
      <c r="D172" s="1" t="n">
        <v>3102</v>
      </c>
      <c r="E172" s="1" t="n">
        <v>1153</v>
      </c>
      <c r="F172" s="1" t="n">
        <v>6131</v>
      </c>
      <c r="G172" s="1" t="n">
        <v>2491</v>
      </c>
      <c r="H172" s="1" t="n">
        <v>1169</v>
      </c>
      <c r="I172" s="1" t="n">
        <v>7647</v>
      </c>
      <c r="J172" s="1" t="n">
        <v>3391</v>
      </c>
      <c r="K172" s="1" t="n">
        <v>1840</v>
      </c>
      <c r="L172" s="7" t="n">
        <f aca="false">(J172/G172*F172/I172)</f>
        <v>1.0914259819724</v>
      </c>
      <c r="M172" s="7" t="n">
        <f aca="false">(D172/G172*F172/C172)</f>
        <v>0.665054894484255</v>
      </c>
      <c r="N172" s="7" t="n">
        <f aca="false">(K172/H172*F172/I172)</f>
        <v>1.26195403845674</v>
      </c>
      <c r="O172" s="7" t="n">
        <f aca="false">(E172/H172*F172/C172)</f>
        <v>0.526749611776944</v>
      </c>
      <c r="P172" s="7" t="n">
        <f aca="false">(IF(L172&gt;1,L172,1/L172) - 1)*100</f>
        <v>9.14259819723964</v>
      </c>
      <c r="Q172" s="7" t="n">
        <f aca="false">(IF(M172&gt;1,M172,1/M172) - 1)*100</f>
        <v>50.3635276266168</v>
      </c>
      <c r="R172" s="7" t="n">
        <f aca="false">(IF(N172&gt;1,N172,1/N172) - 1)*100</f>
        <v>26.1954038456741</v>
      </c>
      <c r="S172" s="7" t="n">
        <f aca="false">(IF(O172&gt;1,O172,1/O172) - 1)*100</f>
        <v>89.8435191298172</v>
      </c>
      <c r="T172" s="9" t="n">
        <f aca="false">(P172+Q172) &lt; (R172+S172)</f>
        <v>1</v>
      </c>
      <c r="U172" s="10" t="n">
        <f aca="false">IF($T172,P172,R172)</f>
        <v>9.14259819723964</v>
      </c>
      <c r="V172" s="11" t="n">
        <f aca="false">IF($T172,Q172,S172)</f>
        <v>50.3635276266168</v>
      </c>
      <c r="W172" s="12" t="n">
        <f aca="false">P172 &lt; R172</f>
        <v>1</v>
      </c>
      <c r="X172" s="10" t="n">
        <f aca="false">IF($W172,P172,R172)</f>
        <v>9.14259819723964</v>
      </c>
      <c r="Y172" s="1" t="n">
        <v>336992</v>
      </c>
      <c r="Z172" s="1" t="s">
        <v>216</v>
      </c>
      <c r="AA172" s="12" t="n">
        <f aca="false">T172=W172</f>
        <v>1</v>
      </c>
    </row>
    <row r="173" customFormat="false" ht="12.8" hidden="false" customHeight="false" outlineLevel="0" collapsed="false">
      <c r="A173" s="1" t="s">
        <v>217</v>
      </c>
      <c r="B173" s="1" t="n">
        <v>336999</v>
      </c>
      <c r="C173" s="1" t="n">
        <v>8754</v>
      </c>
      <c r="D173" s="1" t="n">
        <v>2288</v>
      </c>
      <c r="E173" s="1" t="n">
        <v>1008</v>
      </c>
      <c r="F173" s="1" t="n">
        <v>7354</v>
      </c>
      <c r="G173" s="1" t="n">
        <v>2034</v>
      </c>
      <c r="H173" s="1" t="n">
        <v>946</v>
      </c>
      <c r="I173" s="1" t="n">
        <v>8768</v>
      </c>
      <c r="J173" s="1" t="n">
        <v>2758</v>
      </c>
      <c r="K173" s="1" t="n">
        <v>1457</v>
      </c>
      <c r="L173" s="7" t="n">
        <f aca="false">(J173/G173*F173/I173)</f>
        <v>1.13727737046846</v>
      </c>
      <c r="M173" s="7" t="n">
        <f aca="false">(D173/G173*F173/C173)</f>
        <v>0.94497899429147</v>
      </c>
      <c r="N173" s="7" t="n">
        <f aca="false">(K173/H173*F173/I173)</f>
        <v>1.29178875518896</v>
      </c>
      <c r="O173" s="7" t="n">
        <f aca="false">(E173/H173*F173/C173)</f>
        <v>0.895130755085806</v>
      </c>
      <c r="P173" s="7" t="n">
        <f aca="false">(IF(L173&gt;1,L173,1/L173) - 1)*100</f>
        <v>13.727737046846</v>
      </c>
      <c r="Q173" s="7" t="n">
        <f aca="false">(IF(M173&gt;1,M173,1/M173) - 1)*100</f>
        <v>5.8224580695345</v>
      </c>
      <c r="R173" s="7" t="n">
        <f aca="false">(IF(N173&gt;1,N173,1/N173) - 1)*100</f>
        <v>29.1788755188963</v>
      </c>
      <c r="S173" s="7" t="n">
        <f aca="false">(IF(O173&gt;1,O173,1/O173) - 1)*100</f>
        <v>11.7155224885712</v>
      </c>
      <c r="T173" s="9" t="n">
        <f aca="false">(P173+Q173) &lt; (R173+S173)</f>
        <v>1</v>
      </c>
      <c r="U173" s="10" t="n">
        <f aca="false">IF($T173,P173,R173)</f>
        <v>13.727737046846</v>
      </c>
      <c r="V173" s="11" t="n">
        <f aca="false">IF($T173,Q173,S173)</f>
        <v>5.8224580695345</v>
      </c>
      <c r="W173" s="12" t="n">
        <f aca="false">P173 &lt; R173</f>
        <v>1</v>
      </c>
      <c r="X173" s="10" t="n">
        <f aca="false">IF($W173,P173,R173)</f>
        <v>13.727737046846</v>
      </c>
      <c r="Y173" s="1" t="n">
        <v>336999</v>
      </c>
      <c r="Z173" s="1" t="s">
        <v>217</v>
      </c>
      <c r="AA173" s="12" t="n">
        <f aca="false">T173=W173</f>
        <v>1</v>
      </c>
    </row>
    <row r="174" customFormat="false" ht="12.8" hidden="false" customHeight="false" outlineLevel="0" collapsed="false">
      <c r="A174" s="1" t="s">
        <v>218</v>
      </c>
      <c r="B174" s="1" t="n">
        <v>337110</v>
      </c>
      <c r="C174" s="1" t="n">
        <v>19344</v>
      </c>
      <c r="D174" s="1" t="n">
        <v>7223</v>
      </c>
      <c r="E174" s="1" t="n">
        <v>6562</v>
      </c>
      <c r="F174" s="1" t="n">
        <v>11435</v>
      </c>
      <c r="G174" s="1" t="n">
        <v>4933</v>
      </c>
      <c r="H174" s="1" t="n">
        <v>4588</v>
      </c>
      <c r="I174" s="1" t="n">
        <v>15060</v>
      </c>
      <c r="J174" s="1" t="n">
        <v>6730</v>
      </c>
      <c r="K174" s="1" t="n">
        <v>6033</v>
      </c>
      <c r="L174" s="7" t="n">
        <f aca="false">(J174/G174*F174/I174)</f>
        <v>1.03589359031204</v>
      </c>
      <c r="M174" s="7" t="n">
        <f aca="false">(D174/G174*F174/C174)</f>
        <v>0.865558418708125</v>
      </c>
      <c r="N174" s="7" t="n">
        <f aca="false">(K174/H174*F174/I174)</f>
        <v>0.998438026446959</v>
      </c>
      <c r="O174" s="7" t="n">
        <f aca="false">(E174/H174*F174/C174)</f>
        <v>0.845478760898896</v>
      </c>
      <c r="P174" s="7" t="n">
        <f aca="false">(IF(L174&gt;1,L174,1/L174) - 1)*100</f>
        <v>3.58935903120408</v>
      </c>
      <c r="Q174" s="7" t="n">
        <f aca="false">(IF(M174&gt;1,M174,1/M174) - 1)*100</f>
        <v>15.5323521077334</v>
      </c>
      <c r="R174" s="7" t="n">
        <f aca="false">(IF(N174&gt;1,N174,1/N174) - 1)*100</f>
        <v>0.156441713122635</v>
      </c>
      <c r="S174" s="7" t="n">
        <f aca="false">(IF(O174&gt;1,O174,1/O174) - 1)*100</f>
        <v>18.2761822351185</v>
      </c>
      <c r="T174" s="9" t="n">
        <f aca="false">(P174+Q174) &lt; (R174+S174)</f>
        <v>0</v>
      </c>
      <c r="U174" s="10" t="n">
        <f aca="false">IF($T174,P174,R174)</f>
        <v>0.156441713122635</v>
      </c>
      <c r="V174" s="11" t="n">
        <f aca="false">IF($T174,Q174,S174)</f>
        <v>18.2761822351185</v>
      </c>
      <c r="W174" s="12" t="n">
        <f aca="false">P174 &lt; R174</f>
        <v>0</v>
      </c>
      <c r="X174" s="10" t="n">
        <f aca="false">IF($W174,P174,R174)</f>
        <v>0.156441713122635</v>
      </c>
      <c r="Y174" s="1" t="n">
        <v>337110</v>
      </c>
      <c r="Z174" s="1" t="s">
        <v>218</v>
      </c>
      <c r="AA174" s="12" t="n">
        <f aca="false">T174=W174</f>
        <v>1</v>
      </c>
    </row>
    <row r="175" customFormat="false" ht="12.8" hidden="false" customHeight="false" outlineLevel="0" collapsed="false">
      <c r="A175" s="1" t="s">
        <v>219</v>
      </c>
      <c r="B175" s="1" t="n">
        <v>337121</v>
      </c>
      <c r="C175" s="1" t="n">
        <v>13166</v>
      </c>
      <c r="D175" s="1" t="n">
        <v>3849</v>
      </c>
      <c r="E175" s="1" t="n">
        <v>3433</v>
      </c>
      <c r="F175" s="1" t="n">
        <v>9802</v>
      </c>
      <c r="G175" s="1" t="n">
        <v>2866</v>
      </c>
      <c r="H175" s="1" t="n">
        <v>2178</v>
      </c>
      <c r="I175" s="1" t="n">
        <v>12304</v>
      </c>
      <c r="J175" s="1" t="n">
        <v>4206</v>
      </c>
      <c r="K175" s="1" t="n">
        <v>2962</v>
      </c>
      <c r="L175" s="7" t="n">
        <f aca="false">(J175/G175*F175/I175)</f>
        <v>1.1691263746884</v>
      </c>
      <c r="M175" s="7" t="n">
        <f aca="false">(D175/G175*F175/C175)</f>
        <v>0.999844754389147</v>
      </c>
      <c r="N175" s="7" t="n">
        <f aca="false">(K175/H175*F175/I175)</f>
        <v>1.08341677204722</v>
      </c>
      <c r="O175" s="7" t="n">
        <f aca="false">(E175/H175*F175/C175)</f>
        <v>1.17348292698713</v>
      </c>
      <c r="P175" s="7" t="n">
        <f aca="false">(IF(L175&gt;1,L175,1/L175) - 1)*100</f>
        <v>16.9126374688401</v>
      </c>
      <c r="Q175" s="7" t="n">
        <f aca="false">(IF(M175&gt;1,M175,1/M175) - 1)*100</f>
        <v>0.0155269715794937</v>
      </c>
      <c r="R175" s="7" t="n">
        <f aca="false">(IF(N175&gt;1,N175,1/N175) - 1)*100</f>
        <v>8.34167720472248</v>
      </c>
      <c r="S175" s="7" t="n">
        <f aca="false">(IF(O175&gt;1,O175,1/O175) - 1)*100</f>
        <v>17.3482926987132</v>
      </c>
      <c r="T175" s="9" t="n">
        <f aca="false">(P175+Q175) &lt; (R175+S175)</f>
        <v>1</v>
      </c>
      <c r="U175" s="10" t="n">
        <f aca="false">IF($T175,P175,R175)</f>
        <v>16.9126374688401</v>
      </c>
      <c r="V175" s="11" t="n">
        <f aca="false">IF($T175,Q175,S175)</f>
        <v>0.0155269715794937</v>
      </c>
      <c r="W175" s="12" t="n">
        <f aca="false">P175 &lt; R175</f>
        <v>0</v>
      </c>
      <c r="X175" s="10" t="n">
        <f aca="false">IF($W175,P175,R175)</f>
        <v>8.34167720472248</v>
      </c>
      <c r="Y175" s="1" t="n">
        <v>337121</v>
      </c>
      <c r="Z175" s="1" t="s">
        <v>219</v>
      </c>
      <c r="AA175" s="12" t="n">
        <f aca="false">T175=W175</f>
        <v>0</v>
      </c>
    </row>
    <row r="176" customFormat="false" ht="12.8" hidden="false" customHeight="false" outlineLevel="0" collapsed="false">
      <c r="A176" s="1" t="s">
        <v>220</v>
      </c>
      <c r="B176" s="1" t="n">
        <v>337122</v>
      </c>
      <c r="C176" s="1" t="n">
        <v>7377</v>
      </c>
      <c r="D176" s="1" t="n">
        <v>2527</v>
      </c>
      <c r="E176" s="1" t="n">
        <v>1984</v>
      </c>
      <c r="F176" s="1" t="n">
        <v>4193</v>
      </c>
      <c r="G176" s="1" t="n">
        <v>1521</v>
      </c>
      <c r="H176" s="1" t="n">
        <v>1358</v>
      </c>
      <c r="I176" s="1" t="n">
        <v>4086</v>
      </c>
      <c r="J176" s="1" t="n">
        <v>1610</v>
      </c>
      <c r="K176" s="1" t="n">
        <v>1502</v>
      </c>
      <c r="L176" s="7" t="n">
        <f aca="false">(J176/G176*F176/I176)</f>
        <v>1.08623342385909</v>
      </c>
      <c r="M176" s="7" t="n">
        <f aca="false">(D176/G176*F176/C176)</f>
        <v>0.944324172622105</v>
      </c>
      <c r="N176" s="7" t="n">
        <f aca="false">(K176/H176*F176/I176)</f>
        <v>1.13500209415101</v>
      </c>
      <c r="O176" s="7" t="n">
        <f aca="false">(E176/H176*F176/C176)</f>
        <v>0.830399304609339</v>
      </c>
      <c r="P176" s="7" t="n">
        <f aca="false">(IF(L176&gt;1,L176,1/L176) - 1)*100</f>
        <v>8.62334238590874</v>
      </c>
      <c r="Q176" s="7" t="n">
        <f aca="false">(IF(M176&gt;1,M176,1/M176) - 1)*100</f>
        <v>5.89583841990407</v>
      </c>
      <c r="R176" s="7" t="n">
        <f aca="false">(IF(N176&gt;1,N176,1/N176) - 1)*100</f>
        <v>13.5002094151011</v>
      </c>
      <c r="S176" s="7" t="n">
        <f aca="false">(IF(O176&gt;1,O176,1/O176) - 1)*100</f>
        <v>20.4239929452313</v>
      </c>
      <c r="T176" s="9" t="n">
        <f aca="false">(P176+Q176) &lt; (R176+S176)</f>
        <v>1</v>
      </c>
      <c r="U176" s="10" t="n">
        <f aca="false">IF($T176,P176,R176)</f>
        <v>8.62334238590874</v>
      </c>
      <c r="V176" s="11" t="n">
        <f aca="false">IF($T176,Q176,S176)</f>
        <v>5.89583841990407</v>
      </c>
      <c r="W176" s="12" t="n">
        <f aca="false">P176 &lt; R176</f>
        <v>1</v>
      </c>
      <c r="X176" s="10" t="n">
        <f aca="false">IF($W176,P176,R176)</f>
        <v>8.62334238590874</v>
      </c>
      <c r="Y176" s="1" t="n">
        <v>337122</v>
      </c>
      <c r="Z176" s="1" t="s">
        <v>220</v>
      </c>
      <c r="AA176" s="12" t="n">
        <f aca="false">T176=W176</f>
        <v>1</v>
      </c>
    </row>
    <row r="177" customFormat="false" ht="12.8" hidden="false" customHeight="false" outlineLevel="0" collapsed="false">
      <c r="A177" s="1" t="s">
        <v>221</v>
      </c>
      <c r="B177" s="1" t="n">
        <v>337127</v>
      </c>
      <c r="C177" s="1" t="n">
        <v>5834</v>
      </c>
      <c r="D177" s="1" t="n">
        <v>1994</v>
      </c>
      <c r="E177" s="1" t="n">
        <v>1456</v>
      </c>
      <c r="F177" s="1" t="n">
        <v>4645</v>
      </c>
      <c r="G177" s="1" t="n">
        <v>1473</v>
      </c>
      <c r="H177" s="1" t="n">
        <v>1147</v>
      </c>
      <c r="I177" s="1" t="n">
        <v>4910</v>
      </c>
      <c r="J177" s="1" t="n">
        <v>1919</v>
      </c>
      <c r="K177" s="1" t="n">
        <v>1514</v>
      </c>
      <c r="L177" s="7" t="n">
        <f aca="false">(J177/G177*F177/I177)</f>
        <v>1.23247027624187</v>
      </c>
      <c r="M177" s="7" t="n">
        <f aca="false">(D177/G177*F177/C177)</f>
        <v>1.07780873922817</v>
      </c>
      <c r="N177" s="7" t="n">
        <f aca="false">(K177/H177*F177/I177)</f>
        <v>1.24872464607042</v>
      </c>
      <c r="O177" s="7" t="n">
        <f aca="false">(E177/H177*F177/C177)</f>
        <v>1.01068832885658</v>
      </c>
      <c r="P177" s="7" t="n">
        <f aca="false">(IF(L177&gt;1,L177,1/L177) - 1)*100</f>
        <v>23.2470276241872</v>
      </c>
      <c r="Q177" s="7" t="n">
        <f aca="false">(IF(M177&gt;1,M177,1/M177) - 1)*100</f>
        <v>7.78087392281732</v>
      </c>
      <c r="R177" s="7" t="n">
        <f aca="false">(IF(N177&gt;1,N177,1/N177) - 1)*100</f>
        <v>24.8724646070418</v>
      </c>
      <c r="S177" s="7" t="n">
        <f aca="false">(IF(O177&gt;1,O177,1/O177) - 1)*100</f>
        <v>1.06883288565751</v>
      </c>
      <c r="T177" s="9" t="n">
        <f aca="false">(P177+Q177) &lt; (R177+S177)</f>
        <v>0</v>
      </c>
      <c r="U177" s="10" t="n">
        <f aca="false">IF($T177,P177,R177)</f>
        <v>24.8724646070418</v>
      </c>
      <c r="V177" s="11" t="n">
        <f aca="false">IF($T177,Q177,S177)</f>
        <v>1.06883288565751</v>
      </c>
      <c r="W177" s="12" t="n">
        <f aca="false">P177 &lt; R177</f>
        <v>1</v>
      </c>
      <c r="X177" s="10" t="n">
        <f aca="false">IF($W177,P177,R177)</f>
        <v>23.2470276241872</v>
      </c>
      <c r="Y177" s="1" t="n">
        <v>337127</v>
      </c>
      <c r="Z177" s="1" t="s">
        <v>221</v>
      </c>
      <c r="AA177" s="12" t="n">
        <f aca="false">T177=W177</f>
        <v>0</v>
      </c>
    </row>
    <row r="178" customFormat="false" ht="12.8" hidden="false" customHeight="false" outlineLevel="0" collapsed="false">
      <c r="A178" s="1" t="s">
        <v>222</v>
      </c>
      <c r="B178" s="1" t="s">
        <v>223</v>
      </c>
      <c r="C178" s="1" t="n">
        <v>3297</v>
      </c>
      <c r="D178" s="1" t="n">
        <v>890</v>
      </c>
      <c r="E178" s="1" t="n">
        <v>744</v>
      </c>
      <c r="F178" s="1" t="n">
        <v>2871</v>
      </c>
      <c r="G178" s="1" t="n">
        <v>747</v>
      </c>
      <c r="H178" s="1" t="n">
        <v>502</v>
      </c>
      <c r="I178" s="1" t="n">
        <v>3377</v>
      </c>
      <c r="J178" s="1" t="n">
        <v>975</v>
      </c>
      <c r="K178" s="1" t="n">
        <v>638</v>
      </c>
      <c r="L178" s="7" t="n">
        <f aca="false">(J178/G178*F178/I178)</f>
        <v>1.10965032769515</v>
      </c>
      <c r="M178" s="7" t="n">
        <f aca="false">(D178/G178*F178/C178)</f>
        <v>1.03748935688158</v>
      </c>
      <c r="N178" s="7" t="n">
        <f aca="false">(K178/H178*F178/I178)</f>
        <v>1.0804858740932</v>
      </c>
      <c r="O178" s="7" t="n">
        <f aca="false">(E178/H178*F178/C178)</f>
        <v>1.29057564102099</v>
      </c>
      <c r="P178" s="7" t="n">
        <f aca="false">(IF(L178&gt;1,L178,1/L178) - 1)*100</f>
        <v>10.9650327695145</v>
      </c>
      <c r="Q178" s="7" t="n">
        <f aca="false">(IF(M178&gt;1,M178,1/M178) - 1)*100</f>
        <v>3.74893568815753</v>
      </c>
      <c r="R178" s="7" t="n">
        <f aca="false">(IF(N178&gt;1,N178,1/N178) - 1)*100</f>
        <v>8.04858740932037</v>
      </c>
      <c r="S178" s="7" t="n">
        <f aca="false">(IF(O178&gt;1,O178,1/O178) - 1)*100</f>
        <v>29.0575641020993</v>
      </c>
      <c r="T178" s="9" t="n">
        <f aca="false">(P178+Q178) &lt; (R178+S178)</f>
        <v>1</v>
      </c>
      <c r="U178" s="10" t="n">
        <f aca="false">IF($T178,P178,R178)</f>
        <v>10.9650327695145</v>
      </c>
      <c r="V178" s="11" t="n">
        <f aca="false">IF($T178,Q178,S178)</f>
        <v>3.74893568815753</v>
      </c>
      <c r="W178" s="12" t="n">
        <f aca="false">P178 &lt; R178</f>
        <v>0</v>
      </c>
      <c r="X178" s="10" t="n">
        <f aca="false">IF($W178,P178,R178)</f>
        <v>8.04858740932037</v>
      </c>
      <c r="Y178" s="1" t="s">
        <v>223</v>
      </c>
      <c r="Z178" s="1" t="s">
        <v>222</v>
      </c>
      <c r="AA178" s="12" t="n">
        <f aca="false">T178=W178</f>
        <v>0</v>
      </c>
    </row>
    <row r="179" customFormat="false" ht="12.8" hidden="false" customHeight="false" outlineLevel="0" collapsed="false">
      <c r="A179" s="1" t="s">
        <v>224</v>
      </c>
      <c r="B179" s="1" t="n">
        <v>337215</v>
      </c>
      <c r="C179" s="1" t="n">
        <v>8323</v>
      </c>
      <c r="D179" s="1" t="n">
        <v>2962</v>
      </c>
      <c r="E179" s="1" t="n">
        <v>2737</v>
      </c>
      <c r="F179" s="1" t="n">
        <v>6692</v>
      </c>
      <c r="G179" s="1" t="n">
        <v>2472</v>
      </c>
      <c r="H179" s="1" t="n">
        <v>2226</v>
      </c>
      <c r="I179" s="1" t="n">
        <v>7293</v>
      </c>
      <c r="J179" s="1" t="n">
        <v>3021</v>
      </c>
      <c r="K179" s="1" t="n">
        <v>2698</v>
      </c>
      <c r="L179" s="7" t="n">
        <f aca="false">(J179/G179*F179/I179)</f>
        <v>1.12137786066969</v>
      </c>
      <c r="M179" s="7" t="n">
        <f aca="false">(D179/G179*F179/C179)</f>
        <v>0.963413273235511</v>
      </c>
      <c r="N179" s="7" t="n">
        <f aca="false">(K179/H179*F179/I179)</f>
        <v>1.11215803557646</v>
      </c>
      <c r="O179" s="7" t="n">
        <f aca="false">(E179/H179*F179/C179)</f>
        <v>0.988611538685328</v>
      </c>
      <c r="P179" s="7" t="n">
        <f aca="false">(IF(L179&gt;1,L179,1/L179) - 1)*100</f>
        <v>12.1377860669694</v>
      </c>
      <c r="Q179" s="7" t="n">
        <f aca="false">(IF(M179&gt;1,M179,1/M179) - 1)*100</f>
        <v>3.79761497800595</v>
      </c>
      <c r="R179" s="7" t="n">
        <f aca="false">(IF(N179&gt;1,N179,1/N179) - 1)*100</f>
        <v>11.215803557646</v>
      </c>
      <c r="S179" s="7" t="n">
        <f aca="false">(IF(O179&gt;1,O179,1/O179) - 1)*100</f>
        <v>1.15196524307375</v>
      </c>
      <c r="T179" s="9" t="n">
        <f aca="false">(P179+Q179) &lt; (R179+S179)</f>
        <v>0</v>
      </c>
      <c r="U179" s="10" t="n">
        <f aca="false">IF($T179,P179,R179)</f>
        <v>11.215803557646</v>
      </c>
      <c r="V179" s="11" t="n">
        <f aca="false">IF($T179,Q179,S179)</f>
        <v>1.15196524307375</v>
      </c>
      <c r="W179" s="12" t="n">
        <f aca="false">P179 &lt; R179</f>
        <v>0</v>
      </c>
      <c r="X179" s="10" t="n">
        <f aca="false">IF($W179,P179,R179)</f>
        <v>11.215803557646</v>
      </c>
      <c r="Y179" s="1" t="n">
        <v>337215</v>
      </c>
      <c r="Z179" s="1" t="s">
        <v>224</v>
      </c>
      <c r="AA179" s="12" t="n">
        <f aca="false">T179=W179</f>
        <v>1</v>
      </c>
    </row>
    <row r="180" customFormat="false" ht="12.8" hidden="false" customHeight="false" outlineLevel="0" collapsed="false">
      <c r="A180" s="1" t="s">
        <v>225</v>
      </c>
      <c r="B180" s="1" t="s">
        <v>226</v>
      </c>
      <c r="C180" s="1" t="n">
        <v>18772</v>
      </c>
      <c r="D180" s="1" t="n">
        <v>9032</v>
      </c>
      <c r="E180" s="1" t="n">
        <v>4981</v>
      </c>
      <c r="F180" s="1" t="n">
        <v>16338</v>
      </c>
      <c r="G180" s="1" t="n">
        <v>5662</v>
      </c>
      <c r="H180" s="1" t="n">
        <v>3673</v>
      </c>
      <c r="I180" s="1" t="n">
        <v>19020</v>
      </c>
      <c r="J180" s="1" t="n">
        <v>7109</v>
      </c>
      <c r="K180" s="1" t="n">
        <v>4556</v>
      </c>
      <c r="L180" s="7" t="n">
        <f aca="false">(J180/G180*F180/I180)</f>
        <v>1.07851708272651</v>
      </c>
      <c r="M180" s="7" t="n">
        <f aca="false">(D180/G180*F180/C180)</f>
        <v>1.38836101446927</v>
      </c>
      <c r="N180" s="7" t="n">
        <f aca="false">(K180/H180*F180/I180)</f>
        <v>1.06549438695365</v>
      </c>
      <c r="O180" s="7" t="n">
        <f aca="false">(E180/H180*F180/C180)</f>
        <v>1.18027704195804</v>
      </c>
      <c r="P180" s="7" t="n">
        <f aca="false">(IF(L180&gt;1,L180,1/L180) - 1)*100</f>
        <v>7.85170827265058</v>
      </c>
      <c r="Q180" s="7" t="n">
        <f aca="false">(IF(M180&gt;1,M180,1/M180) - 1)*100</f>
        <v>38.8361014469268</v>
      </c>
      <c r="R180" s="7" t="n">
        <f aca="false">(IF(N180&gt;1,N180,1/N180) - 1)*100</f>
        <v>6.54943869536502</v>
      </c>
      <c r="S180" s="7" t="n">
        <f aca="false">(IF(O180&gt;1,O180,1/O180) - 1)*100</f>
        <v>18.0277041958037</v>
      </c>
      <c r="T180" s="9" t="n">
        <f aca="false">(P180+Q180) &lt; (R180+S180)</f>
        <v>0</v>
      </c>
      <c r="U180" s="10" t="n">
        <f aca="false">IF($T180,P180,R180)</f>
        <v>6.54943869536502</v>
      </c>
      <c r="V180" s="11" t="n">
        <f aca="false">IF($T180,Q180,S180)</f>
        <v>18.0277041958037</v>
      </c>
      <c r="W180" s="12" t="n">
        <f aca="false">P180 &lt; R180</f>
        <v>0</v>
      </c>
      <c r="X180" s="10" t="n">
        <f aca="false">IF($W180,P180,R180)</f>
        <v>6.54943869536502</v>
      </c>
      <c r="Y180" s="1" t="s">
        <v>226</v>
      </c>
      <c r="Z180" s="1" t="s">
        <v>225</v>
      </c>
      <c r="AA180" s="12" t="n">
        <f aca="false">T180=W180</f>
        <v>1</v>
      </c>
    </row>
    <row r="181" customFormat="false" ht="12.8" hidden="false" customHeight="false" outlineLevel="0" collapsed="false">
      <c r="A181" s="1" t="s">
        <v>227</v>
      </c>
      <c r="B181" s="1" t="n">
        <v>337900</v>
      </c>
      <c r="C181" s="1" t="n">
        <v>9532</v>
      </c>
      <c r="D181" s="1" t="n">
        <v>3996</v>
      </c>
      <c r="E181" s="1" t="n">
        <v>1884</v>
      </c>
      <c r="F181" s="1" t="n">
        <v>9725</v>
      </c>
      <c r="G181" s="1" t="n">
        <v>2718</v>
      </c>
      <c r="H181" s="1" t="n">
        <v>1631</v>
      </c>
      <c r="I181" s="1" t="n">
        <v>10189</v>
      </c>
      <c r="J181" s="1" t="n">
        <v>3285</v>
      </c>
      <c r="K181" s="1" t="n">
        <v>2055</v>
      </c>
      <c r="L181" s="7" t="n">
        <f aca="false">(J181/G181*F181/I181)</f>
        <v>1.15357004274835</v>
      </c>
      <c r="M181" s="7" t="n">
        <f aca="false">(D181/G181*F181/C181)</f>
        <v>1.49996665119653</v>
      </c>
      <c r="N181" s="7" t="n">
        <f aca="false">(K181/H181*F181/I181)</f>
        <v>1.20258536107784</v>
      </c>
      <c r="O181" s="7" t="n">
        <f aca="false">(E181/H181*F181/C181)</f>
        <v>1.17850794239701</v>
      </c>
      <c r="P181" s="7" t="n">
        <f aca="false">(IF(L181&gt;1,L181,1/L181) - 1)*100</f>
        <v>15.3570042748348</v>
      </c>
      <c r="Q181" s="7" t="n">
        <f aca="false">(IF(M181&gt;1,M181,1/M181) - 1)*100</f>
        <v>49.9966651196527</v>
      </c>
      <c r="R181" s="7" t="n">
        <f aca="false">(IF(N181&gt;1,N181,1/N181) - 1)*100</f>
        <v>20.2585361077836</v>
      </c>
      <c r="S181" s="7" t="n">
        <f aca="false">(IF(O181&gt;1,O181,1/O181) - 1)*100</f>
        <v>17.8507942397006</v>
      </c>
      <c r="T181" s="9" t="n">
        <f aca="false">(P181+Q181) &lt; (R181+S181)</f>
        <v>0</v>
      </c>
      <c r="U181" s="10" t="n">
        <f aca="false">IF($T181,P181,R181)</f>
        <v>20.2585361077836</v>
      </c>
      <c r="V181" s="11" t="n">
        <f aca="false">IF($T181,Q181,S181)</f>
        <v>17.8507942397006</v>
      </c>
      <c r="W181" s="12" t="n">
        <f aca="false">P181 &lt; R181</f>
        <v>1</v>
      </c>
      <c r="X181" s="10" t="n">
        <f aca="false">IF($W181,P181,R181)</f>
        <v>15.3570042748348</v>
      </c>
      <c r="Y181" s="1" t="n">
        <v>337900</v>
      </c>
      <c r="Z181" s="1" t="s">
        <v>227</v>
      </c>
      <c r="AA181" s="12" t="n">
        <f aca="false">T181=W181</f>
        <v>0</v>
      </c>
    </row>
    <row r="182" customFormat="false" ht="12.8" hidden="false" customHeight="false" outlineLevel="0" collapsed="false">
      <c r="A182" s="1" t="s">
        <v>228</v>
      </c>
      <c r="B182" s="1" t="n">
        <v>339112</v>
      </c>
      <c r="C182" s="1" t="n">
        <v>30806</v>
      </c>
      <c r="D182" s="1" t="n">
        <v>17891</v>
      </c>
      <c r="E182" s="1" t="n">
        <v>10675</v>
      </c>
      <c r="F182" s="1" t="n">
        <v>39113</v>
      </c>
      <c r="G182" s="1" t="n">
        <v>24100</v>
      </c>
      <c r="H182" s="1" t="n">
        <v>13567</v>
      </c>
      <c r="I182" s="1" t="n">
        <v>42948</v>
      </c>
      <c r="J182" s="1" t="n">
        <v>27463</v>
      </c>
      <c r="K182" s="1" t="n">
        <v>15116</v>
      </c>
      <c r="L182" s="7" t="n">
        <f aca="false">(J182/G182*F182/I182)</f>
        <v>1.03778913088761</v>
      </c>
      <c r="M182" s="7" t="n">
        <f aca="false">(D182/G182*F182/C182)</f>
        <v>0.942547812936155</v>
      </c>
      <c r="N182" s="7" t="n">
        <f aca="false">(K182/H182*F182/I182)</f>
        <v>1.01468500351403</v>
      </c>
      <c r="O182" s="7" t="n">
        <f aca="false">(E182/H182*F182/C182)</f>
        <v>0.999010092241754</v>
      </c>
      <c r="P182" s="7" t="n">
        <f aca="false">(IF(L182&gt;1,L182,1/L182) - 1)*100</f>
        <v>3.77891308876082</v>
      </c>
      <c r="Q182" s="7" t="n">
        <f aca="false">(IF(M182&gt;1,M182,1/M182) - 1)*100</f>
        <v>6.09541354564007</v>
      </c>
      <c r="R182" s="7" t="n">
        <f aca="false">(IF(N182&gt;1,N182,1/N182) - 1)*100</f>
        <v>1.46850035140313</v>
      </c>
      <c r="S182" s="7" t="n">
        <f aca="false">(IF(O182&gt;1,O182,1/O182) - 1)*100</f>
        <v>0.0990888646605015</v>
      </c>
      <c r="T182" s="9" t="n">
        <f aca="false">(P182+Q182) &lt; (R182+S182)</f>
        <v>0</v>
      </c>
      <c r="U182" s="10" t="n">
        <f aca="false">IF($T182,P182,R182)</f>
        <v>1.46850035140313</v>
      </c>
      <c r="V182" s="11" t="n">
        <f aca="false">IF($T182,Q182,S182)</f>
        <v>0.0990888646605015</v>
      </c>
      <c r="W182" s="12" t="n">
        <f aca="false">P182 &lt; R182</f>
        <v>0</v>
      </c>
      <c r="X182" s="10" t="n">
        <f aca="false">IF($W182,P182,R182)</f>
        <v>1.46850035140313</v>
      </c>
      <c r="Y182" s="1" t="n">
        <v>339112</v>
      </c>
      <c r="Z182" s="1" t="s">
        <v>228</v>
      </c>
      <c r="AA182" s="12" t="n">
        <f aca="false">T182=W182</f>
        <v>1</v>
      </c>
    </row>
    <row r="183" customFormat="false" ht="12.8" hidden="false" customHeight="false" outlineLevel="0" collapsed="false">
      <c r="A183" s="1" t="s">
        <v>229</v>
      </c>
      <c r="B183" s="1" t="n">
        <v>339113</v>
      </c>
      <c r="C183" s="1" t="n">
        <v>33720</v>
      </c>
      <c r="D183" s="1" t="n">
        <v>16853</v>
      </c>
      <c r="E183" s="1" t="n">
        <v>8250</v>
      </c>
      <c r="F183" s="1" t="n">
        <v>36486</v>
      </c>
      <c r="G183" s="1" t="n">
        <v>20802</v>
      </c>
      <c r="H183" s="1" t="n">
        <v>9399</v>
      </c>
      <c r="I183" s="1" t="n">
        <v>35082</v>
      </c>
      <c r="J183" s="1" t="n">
        <v>20542</v>
      </c>
      <c r="K183" s="1" t="n">
        <v>11166</v>
      </c>
      <c r="L183" s="7" t="n">
        <f aca="false">(J183/G183*F183/I183)</f>
        <v>1.02702151670797</v>
      </c>
      <c r="M183" s="7" t="n">
        <f aca="false">(D183/G183*F183/C183)</f>
        <v>0.876618873219486</v>
      </c>
      <c r="N183" s="7" t="n">
        <f aca="false">(K183/H183*F183/I183)</f>
        <v>1.23554305390719</v>
      </c>
      <c r="O183" s="7" t="n">
        <f aca="false">(E183/H183*F183/C183)</f>
        <v>0.949753683949871</v>
      </c>
      <c r="P183" s="7" t="n">
        <f aca="false">(IF(L183&gt;1,L183,1/L183) - 1)*100</f>
        <v>2.70215167079735</v>
      </c>
      <c r="Q183" s="7" t="n">
        <f aca="false">(IF(M183&gt;1,M183,1/M183) - 1)*100</f>
        <v>14.0746601002762</v>
      </c>
      <c r="R183" s="7" t="n">
        <f aca="false">(IF(N183&gt;1,N183,1/N183) - 1)*100</f>
        <v>23.554305390719</v>
      </c>
      <c r="S183" s="7" t="n">
        <f aca="false">(IF(O183&gt;1,O183,1/O183) - 1)*100</f>
        <v>5.29045761014186</v>
      </c>
      <c r="T183" s="9" t="n">
        <f aca="false">(P183+Q183) &lt; (R183+S183)</f>
        <v>1</v>
      </c>
      <c r="U183" s="10" t="n">
        <f aca="false">IF($T183,P183,R183)</f>
        <v>2.70215167079735</v>
      </c>
      <c r="V183" s="11" t="n">
        <f aca="false">IF($T183,Q183,S183)</f>
        <v>14.0746601002762</v>
      </c>
      <c r="W183" s="12" t="n">
        <f aca="false">P183 &lt; R183</f>
        <v>1</v>
      </c>
      <c r="X183" s="10" t="n">
        <f aca="false">IF($W183,P183,R183)</f>
        <v>2.70215167079735</v>
      </c>
      <c r="Y183" s="1" t="n">
        <v>339113</v>
      </c>
      <c r="Z183" s="1" t="s">
        <v>229</v>
      </c>
      <c r="AA183" s="12" t="n">
        <f aca="false">T183=W183</f>
        <v>1</v>
      </c>
    </row>
    <row r="184" customFormat="false" ht="12.8" hidden="false" customHeight="false" outlineLevel="0" collapsed="false">
      <c r="A184" s="1" t="s">
        <v>230</v>
      </c>
      <c r="B184" s="1" t="n">
        <v>339114</v>
      </c>
      <c r="C184" s="1" t="n">
        <v>4531</v>
      </c>
      <c r="D184" s="1" t="n">
        <v>2104</v>
      </c>
      <c r="E184" s="1" t="n">
        <v>1262</v>
      </c>
      <c r="F184" s="1" t="n">
        <v>4780</v>
      </c>
      <c r="G184" s="1" t="n">
        <v>2576</v>
      </c>
      <c r="H184" s="1" t="n">
        <v>1397</v>
      </c>
      <c r="I184" s="1" t="n">
        <v>4760</v>
      </c>
      <c r="J184" s="1" t="n">
        <v>2493</v>
      </c>
      <c r="K184" s="1" t="n">
        <v>1477</v>
      </c>
      <c r="L184" s="7" t="n">
        <f aca="false">(J184/G184*F184/I184)</f>
        <v>0.971845803538807</v>
      </c>
      <c r="M184" s="7" t="n">
        <f aca="false">(D184/G184*F184/C184)</f>
        <v>0.861655592735209</v>
      </c>
      <c r="N184" s="7" t="n">
        <f aca="false">(K184/H184*F184/I184)</f>
        <v>1.06170786138364</v>
      </c>
      <c r="O184" s="7" t="n">
        <f aca="false">(E184/H184*F184/C184)</f>
        <v>0.953008519849025</v>
      </c>
      <c r="P184" s="7" t="n">
        <f aca="false">(IF(L184&gt;1,L184,1/L184) - 1)*100</f>
        <v>2.89698184204477</v>
      </c>
      <c r="Q184" s="7" t="n">
        <f aca="false">(IF(M184&gt;1,M184,1/M184) - 1)*100</f>
        <v>16.0556501264775</v>
      </c>
      <c r="R184" s="7" t="n">
        <f aca="false">(IF(N184&gt;1,N184,1/N184) - 1)*100</f>
        <v>6.17078613836373</v>
      </c>
      <c r="S184" s="7" t="n">
        <f aca="false">(IF(O184&gt;1,O184,1/O184) - 1)*100</f>
        <v>4.93085624863239</v>
      </c>
      <c r="T184" s="9" t="n">
        <f aca="false">(P184+Q184) &lt; (R184+S184)</f>
        <v>0</v>
      </c>
      <c r="U184" s="10" t="n">
        <f aca="false">IF($T184,P184,R184)</f>
        <v>6.17078613836373</v>
      </c>
      <c r="V184" s="11" t="n">
        <f aca="false">IF($T184,Q184,S184)</f>
        <v>4.93085624863239</v>
      </c>
      <c r="W184" s="12" t="n">
        <f aca="false">P184 &lt; R184</f>
        <v>1</v>
      </c>
      <c r="X184" s="10" t="n">
        <f aca="false">IF($W184,P184,R184)</f>
        <v>2.89698184204477</v>
      </c>
      <c r="Y184" s="1" t="n">
        <v>339114</v>
      </c>
      <c r="Z184" s="1" t="s">
        <v>230</v>
      </c>
      <c r="AA184" s="12" t="n">
        <f aca="false">T184=W184</f>
        <v>0</v>
      </c>
    </row>
    <row r="185" customFormat="false" ht="12.8" hidden="false" customHeight="false" outlineLevel="0" collapsed="false">
      <c r="A185" s="1" t="s">
        <v>231</v>
      </c>
      <c r="B185" s="1" t="n">
        <v>339115</v>
      </c>
      <c r="C185" s="1" t="n">
        <v>8273</v>
      </c>
      <c r="D185" s="1" t="n">
        <v>4851</v>
      </c>
      <c r="E185" s="1" t="n">
        <v>2429</v>
      </c>
      <c r="F185" s="1" t="n">
        <v>8425</v>
      </c>
      <c r="G185" s="1" t="n">
        <v>5002</v>
      </c>
      <c r="H185" s="1" t="n">
        <v>2283</v>
      </c>
      <c r="I185" s="1" t="n">
        <v>6467</v>
      </c>
      <c r="J185" s="1" t="n">
        <v>4002</v>
      </c>
      <c r="K185" s="1" t="n">
        <v>2289</v>
      </c>
      <c r="L185" s="7" t="n">
        <f aca="false">(J185/G185*F185/I185)</f>
        <v>1.04231849860952</v>
      </c>
      <c r="M185" s="7" t="n">
        <f aca="false">(D185/G185*F185/C185)</f>
        <v>0.987630452472704</v>
      </c>
      <c r="N185" s="7" t="n">
        <f aca="false">(K185/H185*F185/I185)</f>
        <v>1.3061917300956</v>
      </c>
      <c r="O185" s="7" t="n">
        <f aca="false">(E185/H185*F185/C185)</f>
        <v>1.08349893438746</v>
      </c>
      <c r="P185" s="7" t="n">
        <f aca="false">(IF(L185&gt;1,L185,1/L185) - 1)*100</f>
        <v>4.23184986095249</v>
      </c>
      <c r="Q185" s="7" t="n">
        <f aca="false">(IF(M185&gt;1,M185,1/M185) - 1)*100</f>
        <v>1.25244695486322</v>
      </c>
      <c r="R185" s="7" t="n">
        <f aca="false">(IF(N185&gt;1,N185,1/N185) - 1)*100</f>
        <v>30.6191730095601</v>
      </c>
      <c r="S185" s="7" t="n">
        <f aca="false">(IF(O185&gt;1,O185,1/O185) - 1)*100</f>
        <v>8.34989343874619</v>
      </c>
      <c r="T185" s="9" t="n">
        <f aca="false">(P185+Q185) &lt; (R185+S185)</f>
        <v>1</v>
      </c>
      <c r="U185" s="10" t="n">
        <f aca="false">IF($T185,P185,R185)</f>
        <v>4.23184986095249</v>
      </c>
      <c r="V185" s="11" t="n">
        <f aca="false">IF($T185,Q185,S185)</f>
        <v>1.25244695486322</v>
      </c>
      <c r="W185" s="12" t="n">
        <f aca="false">P185 &lt; R185</f>
        <v>1</v>
      </c>
      <c r="X185" s="10" t="n">
        <f aca="false">IF($W185,P185,R185)</f>
        <v>4.23184986095249</v>
      </c>
      <c r="Y185" s="1" t="n">
        <v>339115</v>
      </c>
      <c r="Z185" s="1" t="s">
        <v>231</v>
      </c>
      <c r="AA185" s="12" t="n">
        <f aca="false">T185=W185</f>
        <v>1</v>
      </c>
    </row>
    <row r="186" customFormat="false" ht="12.8" hidden="false" customHeight="false" outlineLevel="0" collapsed="false">
      <c r="A186" s="1" t="s">
        <v>232</v>
      </c>
      <c r="B186" s="1" t="n">
        <v>339116</v>
      </c>
      <c r="C186" s="1" t="n">
        <v>5181</v>
      </c>
      <c r="D186" s="1" t="n">
        <v>2911</v>
      </c>
      <c r="E186" s="1" t="n">
        <v>2616</v>
      </c>
      <c r="F186" s="1" t="n">
        <v>5554</v>
      </c>
      <c r="G186" s="1" t="n">
        <v>3156</v>
      </c>
      <c r="H186" s="1" t="n">
        <v>2766</v>
      </c>
      <c r="I186" s="1" t="n">
        <v>5671</v>
      </c>
      <c r="J186" s="1" t="n">
        <v>3119</v>
      </c>
      <c r="K186" s="1" t="n">
        <v>2680</v>
      </c>
      <c r="L186" s="7" t="n">
        <f aca="false">(J186/G186*F186/I186)</f>
        <v>0.967886892130576</v>
      </c>
      <c r="M186" s="7" t="n">
        <f aca="false">(D186/G186*F186/C186)</f>
        <v>0.988775038168368</v>
      </c>
      <c r="N186" s="7" t="n">
        <f aca="false">(K186/H186*F186/I186)</f>
        <v>0.948918352980807</v>
      </c>
      <c r="O186" s="7" t="n">
        <f aca="false">(E186/H186*F186/C186)</f>
        <v>1.01385966829409</v>
      </c>
      <c r="P186" s="7" t="n">
        <f aca="false">(IF(L186&gt;1,L186,1/L186) - 1)*100</f>
        <v>3.31785750282603</v>
      </c>
      <c r="Q186" s="7" t="n">
        <f aca="false">(IF(M186&gt;1,M186,1/M186) - 1)*100</f>
        <v>1.13523919985128</v>
      </c>
      <c r="R186" s="7" t="n">
        <f aca="false">(IF(N186&gt;1,N186,1/N186) - 1)*100</f>
        <v>5.38314459391913</v>
      </c>
      <c r="S186" s="7" t="n">
        <f aca="false">(IF(O186&gt;1,O186,1/O186) - 1)*100</f>
        <v>1.38596682940879</v>
      </c>
      <c r="T186" s="9" t="n">
        <f aca="false">(P186+Q186) &lt; (R186+S186)</f>
        <v>1</v>
      </c>
      <c r="U186" s="10" t="n">
        <f aca="false">IF($T186,P186,R186)</f>
        <v>3.31785750282603</v>
      </c>
      <c r="V186" s="11" t="n">
        <f aca="false">IF($T186,Q186,S186)</f>
        <v>1.13523919985128</v>
      </c>
      <c r="W186" s="12" t="n">
        <f aca="false">P186 &lt; R186</f>
        <v>1</v>
      </c>
      <c r="X186" s="10" t="n">
        <f aca="false">IF($W186,P186,R186)</f>
        <v>3.31785750282603</v>
      </c>
      <c r="Y186" s="1" t="n">
        <v>339116</v>
      </c>
      <c r="Z186" s="1" t="s">
        <v>232</v>
      </c>
      <c r="AA186" s="12" t="n">
        <f aca="false">T186=W186</f>
        <v>1</v>
      </c>
    </row>
    <row r="187" customFormat="false" ht="12.8" hidden="false" customHeight="false" outlineLevel="0" collapsed="false">
      <c r="A187" s="1" t="s">
        <v>233</v>
      </c>
      <c r="B187" s="1" t="n">
        <v>339910</v>
      </c>
      <c r="C187" s="1" t="n">
        <v>11990</v>
      </c>
      <c r="D187" s="1" t="n">
        <v>4062</v>
      </c>
      <c r="E187" s="1" t="n">
        <v>2381</v>
      </c>
      <c r="F187" s="1" t="n">
        <v>8000</v>
      </c>
      <c r="G187" s="1" t="n">
        <v>2943</v>
      </c>
      <c r="H187" s="1" t="n">
        <v>1407</v>
      </c>
      <c r="I187" s="1" t="n">
        <v>7951</v>
      </c>
      <c r="J187" s="1" t="n">
        <v>2918</v>
      </c>
      <c r="K187" s="1" t="n">
        <v>1723</v>
      </c>
      <c r="L187" s="7" t="n">
        <f aca="false">(J187/G187*F187/I187)</f>
        <v>0.997615662668469</v>
      </c>
      <c r="M187" s="7" t="n">
        <f aca="false">(D187/G187*F187/C187)</f>
        <v>0.92091693808721</v>
      </c>
      <c r="N187" s="7" t="n">
        <f aca="false">(K187/H187*F187/I187)</f>
        <v>1.23213817539322</v>
      </c>
      <c r="O187" s="7" t="n">
        <f aca="false">(E187/H187*F187/C187)</f>
        <v>1.12910960507839</v>
      </c>
      <c r="P187" s="7" t="n">
        <f aca="false">(IF(L187&gt;1,L187,1/L187) - 1)*100</f>
        <v>0.239003598355048</v>
      </c>
      <c r="Q187" s="7" t="n">
        <f aca="false">(IF(M187&gt;1,M187,1/M187) - 1)*100</f>
        <v>8.58742614475629</v>
      </c>
      <c r="R187" s="7" t="n">
        <f aca="false">(IF(N187&gt;1,N187,1/N187) - 1)*100</f>
        <v>23.2138175393224</v>
      </c>
      <c r="S187" s="7" t="n">
        <f aca="false">(IF(O187&gt;1,O187,1/O187) - 1)*100</f>
        <v>12.9109605078385</v>
      </c>
      <c r="T187" s="9" t="n">
        <f aca="false">(P187+Q187) &lt; (R187+S187)</f>
        <v>1</v>
      </c>
      <c r="U187" s="10" t="n">
        <f aca="false">IF($T187,P187,R187)</f>
        <v>0.239003598355048</v>
      </c>
      <c r="V187" s="11" t="n">
        <f aca="false">IF($T187,Q187,S187)</f>
        <v>8.58742614475629</v>
      </c>
      <c r="W187" s="12" t="n">
        <f aca="false">P187 &lt; R187</f>
        <v>1</v>
      </c>
      <c r="X187" s="10" t="n">
        <f aca="false">IF($W187,P187,R187)</f>
        <v>0.239003598355048</v>
      </c>
      <c r="Y187" s="1" t="n">
        <v>339910</v>
      </c>
      <c r="Z187" s="1" t="s">
        <v>233</v>
      </c>
      <c r="AA187" s="12" t="n">
        <f aca="false">T187=W187</f>
        <v>1</v>
      </c>
    </row>
    <row r="188" customFormat="false" ht="12.8" hidden="false" customHeight="false" outlineLevel="0" collapsed="false">
      <c r="A188" s="1" t="s">
        <v>234</v>
      </c>
      <c r="B188" s="1" t="n">
        <v>339920</v>
      </c>
      <c r="C188" s="1" t="n">
        <v>13286</v>
      </c>
      <c r="D188" s="1" t="n">
        <v>4283</v>
      </c>
      <c r="E188" s="1" t="n">
        <v>2942</v>
      </c>
      <c r="F188" s="1" t="n">
        <v>10170</v>
      </c>
      <c r="G188" s="1" t="n">
        <v>3850</v>
      </c>
      <c r="H188" s="1" t="n">
        <v>2440</v>
      </c>
      <c r="I188" s="1" t="n">
        <v>10286</v>
      </c>
      <c r="J188" s="1" t="n">
        <v>4783</v>
      </c>
      <c r="K188" s="1" t="n">
        <v>3403</v>
      </c>
      <c r="L188" s="7" t="n">
        <f aca="false">(J188/G188*F188/I188)</f>
        <v>1.22832724343516</v>
      </c>
      <c r="M188" s="7" t="n">
        <f aca="false">(D188/G188*F188/C188)</f>
        <v>0.851557640011652</v>
      </c>
      <c r="N188" s="7" t="n">
        <f aca="false">(K188/H188*F188/I188)</f>
        <v>1.37894376567864</v>
      </c>
      <c r="O188" s="7" t="n">
        <f aca="false">(E188/H188*F188/C188)</f>
        <v>0.922952917282583</v>
      </c>
      <c r="P188" s="7" t="n">
        <f aca="false">(IF(L188&gt;1,L188,1/L188) - 1)*100</f>
        <v>22.8327243435157</v>
      </c>
      <c r="Q188" s="7" t="n">
        <f aca="false">(IF(M188&gt;1,M188,1/M188) - 1)*100</f>
        <v>17.4318628609001</v>
      </c>
      <c r="R188" s="7" t="n">
        <f aca="false">(IF(N188&gt;1,N188,1/N188) - 1)*100</f>
        <v>37.894376567864</v>
      </c>
      <c r="S188" s="7" t="n">
        <f aca="false">(IF(O188&gt;1,O188,1/O188) - 1)*100</f>
        <v>8.34788874650987</v>
      </c>
      <c r="T188" s="9" t="n">
        <f aca="false">(P188+Q188) &lt; (R188+S188)</f>
        <v>1</v>
      </c>
      <c r="U188" s="10" t="n">
        <f aca="false">IF($T188,P188,R188)</f>
        <v>22.8327243435157</v>
      </c>
      <c r="V188" s="11" t="n">
        <f aca="false">IF($T188,Q188,S188)</f>
        <v>17.4318628609001</v>
      </c>
      <c r="W188" s="12" t="n">
        <f aca="false">P188 &lt; R188</f>
        <v>1</v>
      </c>
      <c r="X188" s="10" t="n">
        <f aca="false">IF($W188,P188,R188)</f>
        <v>22.8327243435157</v>
      </c>
      <c r="Y188" s="1" t="n">
        <v>339920</v>
      </c>
      <c r="Z188" s="1" t="s">
        <v>234</v>
      </c>
      <c r="AA188" s="12" t="n">
        <f aca="false">T188=W188</f>
        <v>1</v>
      </c>
    </row>
    <row r="189" customFormat="false" ht="12.8" hidden="false" customHeight="false" outlineLevel="0" collapsed="false">
      <c r="A189" s="1" t="s">
        <v>235</v>
      </c>
      <c r="B189" s="1" t="n">
        <v>339930</v>
      </c>
      <c r="C189" s="1" t="n">
        <v>3160</v>
      </c>
      <c r="D189" s="1" t="n">
        <v>1111</v>
      </c>
      <c r="E189" s="1" t="n">
        <v>878</v>
      </c>
      <c r="F189" s="1" t="n">
        <v>1811</v>
      </c>
      <c r="G189" s="1" t="n">
        <v>888</v>
      </c>
      <c r="H189" s="1" t="n">
        <v>728</v>
      </c>
      <c r="I189" s="1" t="n">
        <v>2016</v>
      </c>
      <c r="J189" s="1" t="n">
        <v>1303</v>
      </c>
      <c r="K189" s="1" t="n">
        <v>1139</v>
      </c>
      <c r="L189" s="7" t="n">
        <f aca="false">(J189/G189*F189/I189)</f>
        <v>1.31813342360217</v>
      </c>
      <c r="M189" s="7" t="n">
        <f aca="false">(D189/G189*F189/C189)</f>
        <v>0.71702196658684</v>
      </c>
      <c r="N189" s="7" t="n">
        <f aca="false">(K189/H189*F189/I189)</f>
        <v>1.40546575200593</v>
      </c>
      <c r="O189" s="7" t="n">
        <f aca="false">(E189/H189*F189/C189)</f>
        <v>0.69118531784671</v>
      </c>
      <c r="P189" s="7" t="n">
        <f aca="false">(IF(L189&gt;1,L189,1/L189) - 1)*100</f>
        <v>31.8133423602174</v>
      </c>
      <c r="Q189" s="7" t="n">
        <f aca="false">(IF(M189&gt;1,M189,1/M189) - 1)*100</f>
        <v>39.4657411627414</v>
      </c>
      <c r="R189" s="7" t="n">
        <f aca="false">(IF(N189&gt;1,N189,1/N189) - 1)*100</f>
        <v>40.546575200593</v>
      </c>
      <c r="S189" s="7" t="n">
        <f aca="false">(IF(O189&gt;1,O189,1/O189) - 1)*100</f>
        <v>44.6789991308493</v>
      </c>
      <c r="T189" s="9" t="n">
        <f aca="false">(P189+Q189) &lt; (R189+S189)</f>
        <v>1</v>
      </c>
      <c r="U189" s="10" t="n">
        <f aca="false">IF($T189,P189,R189)</f>
        <v>31.8133423602174</v>
      </c>
      <c r="V189" s="11" t="n">
        <f aca="false">IF($T189,Q189,S189)</f>
        <v>39.4657411627414</v>
      </c>
      <c r="W189" s="12" t="n">
        <f aca="false">P189 &lt; R189</f>
        <v>1</v>
      </c>
      <c r="X189" s="10" t="n">
        <f aca="false">IF($W189,P189,R189)</f>
        <v>31.8133423602174</v>
      </c>
      <c r="Y189" s="1" t="n">
        <v>339930</v>
      </c>
      <c r="Z189" s="1" t="s">
        <v>235</v>
      </c>
      <c r="AA189" s="12" t="n">
        <f aca="false">T189=W189</f>
        <v>1</v>
      </c>
    </row>
    <row r="190" customFormat="false" ht="12.8" hidden="false" customHeight="false" outlineLevel="0" collapsed="false">
      <c r="A190" s="1" t="s">
        <v>236</v>
      </c>
      <c r="B190" s="1" t="n">
        <v>339940</v>
      </c>
      <c r="C190" s="1" t="n">
        <v>4239</v>
      </c>
      <c r="D190" s="1" t="n">
        <v>1647</v>
      </c>
      <c r="E190" s="1" t="n">
        <v>1276</v>
      </c>
      <c r="F190" s="1" t="n">
        <v>2770</v>
      </c>
      <c r="G190" s="1" t="n">
        <v>1036</v>
      </c>
      <c r="H190" s="1" t="n">
        <v>677</v>
      </c>
      <c r="I190" s="1" t="n">
        <v>2851</v>
      </c>
      <c r="J190" s="1" t="n">
        <v>958</v>
      </c>
      <c r="K190" s="1" t="n">
        <v>791</v>
      </c>
      <c r="L190" s="7" t="n">
        <f aca="false">(J190/G190*F190/I190)</f>
        <v>0.898438399315285</v>
      </c>
      <c r="M190" s="7" t="n">
        <f aca="false">(D190/G190*F190/C190)</f>
        <v>1.0388436662322</v>
      </c>
      <c r="N190" s="7" t="n">
        <f aca="false">(K190/H190*F190/I190)</f>
        <v>1.13519473070943</v>
      </c>
      <c r="O190" s="7" t="n">
        <f aca="false">(E190/H190*F190/C190)</f>
        <v>1.23162460977287</v>
      </c>
      <c r="P190" s="7" t="n">
        <f aca="false">(IF(L190&gt;1,L190,1/L190) - 1)*100</f>
        <v>11.3042364131049</v>
      </c>
      <c r="Q190" s="7" t="n">
        <f aca="false">(IF(M190&gt;1,M190,1/M190) - 1)*100</f>
        <v>3.88436662322011</v>
      </c>
      <c r="R190" s="7" t="n">
        <f aca="false">(IF(N190&gt;1,N190,1/N190) - 1)*100</f>
        <v>13.519473070943</v>
      </c>
      <c r="S190" s="7" t="n">
        <f aca="false">(IF(O190&gt;1,O190,1/O190) - 1)*100</f>
        <v>23.1624609772866</v>
      </c>
      <c r="T190" s="9" t="n">
        <f aca="false">(P190+Q190) &lt; (R190+S190)</f>
        <v>1</v>
      </c>
      <c r="U190" s="10" t="n">
        <f aca="false">IF($T190,P190,R190)</f>
        <v>11.3042364131049</v>
      </c>
      <c r="V190" s="11" t="n">
        <f aca="false">IF($T190,Q190,S190)</f>
        <v>3.88436662322011</v>
      </c>
      <c r="W190" s="12" t="n">
        <f aca="false">P190 &lt; R190</f>
        <v>1</v>
      </c>
      <c r="X190" s="10" t="n">
        <f aca="false">IF($W190,P190,R190)</f>
        <v>11.3042364131049</v>
      </c>
      <c r="Y190" s="1" t="n">
        <v>339940</v>
      </c>
      <c r="Z190" s="1" t="s">
        <v>236</v>
      </c>
      <c r="AA190" s="12" t="n">
        <f aca="false">T190=W190</f>
        <v>1</v>
      </c>
    </row>
    <row r="191" customFormat="false" ht="12.8" hidden="false" customHeight="false" outlineLevel="0" collapsed="false">
      <c r="A191" s="1" t="s">
        <v>237</v>
      </c>
      <c r="B191" s="1" t="n">
        <v>339950</v>
      </c>
      <c r="C191" s="1" t="n">
        <v>13668</v>
      </c>
      <c r="D191" s="1" t="n">
        <v>5250</v>
      </c>
      <c r="E191" s="1" t="n">
        <v>4532</v>
      </c>
      <c r="F191" s="1" t="n">
        <v>11542</v>
      </c>
      <c r="G191" s="1" t="n">
        <v>4619</v>
      </c>
      <c r="H191" s="1" t="n">
        <v>3951</v>
      </c>
      <c r="I191" s="1" t="n">
        <v>13727</v>
      </c>
      <c r="J191" s="1" t="n">
        <v>5937</v>
      </c>
      <c r="K191" s="1" t="n">
        <v>5201</v>
      </c>
      <c r="L191" s="7" t="n">
        <f aca="false">(J191/G191*F191/I191)</f>
        <v>1.08074820519318</v>
      </c>
      <c r="M191" s="7" t="n">
        <f aca="false">(D191/G191*F191/C191)</f>
        <v>0.959814797109545</v>
      </c>
      <c r="N191" s="7" t="n">
        <f aca="false">(K191/H191*F191/I191)</f>
        <v>1.10684105689908</v>
      </c>
      <c r="O191" s="7" t="n">
        <f aca="false">(E191/H191*F191/C191)</f>
        <v>0.968632354478149</v>
      </c>
      <c r="P191" s="7" t="n">
        <f aca="false">(IF(L191&gt;1,L191,1/L191) - 1)*100</f>
        <v>8.07482051931761</v>
      </c>
      <c r="Q191" s="7" t="n">
        <f aca="false">(IF(M191&gt;1,M191,1/M191) - 1)*100</f>
        <v>4.18676634403545</v>
      </c>
      <c r="R191" s="7" t="n">
        <f aca="false">(IF(N191&gt;1,N191,1/N191) - 1)*100</f>
        <v>10.6841056899079</v>
      </c>
      <c r="S191" s="7" t="n">
        <f aca="false">(IF(O191&gt;1,O191,1/O191) - 1)*100</f>
        <v>3.23834377169348</v>
      </c>
      <c r="T191" s="9" t="n">
        <f aca="false">(P191+Q191) &lt; (R191+S191)</f>
        <v>1</v>
      </c>
      <c r="U191" s="10" t="n">
        <f aca="false">IF($T191,P191,R191)</f>
        <v>8.07482051931761</v>
      </c>
      <c r="V191" s="11" t="n">
        <f aca="false">IF($T191,Q191,S191)</f>
        <v>4.18676634403545</v>
      </c>
      <c r="W191" s="12" t="n">
        <f aca="false">P191 &lt; R191</f>
        <v>1</v>
      </c>
      <c r="X191" s="10" t="n">
        <f aca="false">IF($W191,P191,R191)</f>
        <v>8.07482051931761</v>
      </c>
      <c r="Y191" s="1" t="n">
        <v>339950</v>
      </c>
      <c r="Z191" s="1" t="s">
        <v>237</v>
      </c>
      <c r="AA191" s="12" t="n">
        <f aca="false">T191=W191</f>
        <v>1</v>
      </c>
    </row>
    <row r="192" customFormat="false" ht="12.8" hidden="false" customHeight="false" outlineLevel="0" collapsed="false">
      <c r="A192" s="1" t="s">
        <v>238</v>
      </c>
      <c r="B192" s="1" t="n">
        <v>339990</v>
      </c>
      <c r="C192" s="1" t="n">
        <v>30610</v>
      </c>
      <c r="D192" s="1" t="n">
        <v>11187</v>
      </c>
      <c r="E192" s="1" t="n">
        <v>7777</v>
      </c>
      <c r="F192" s="1" t="n">
        <v>27822</v>
      </c>
      <c r="G192" s="1" t="n">
        <v>12352</v>
      </c>
      <c r="H192" s="1" t="n">
        <v>7610</v>
      </c>
      <c r="I192" s="1" t="n">
        <v>26862</v>
      </c>
      <c r="J192" s="1" t="n">
        <v>12862</v>
      </c>
      <c r="K192" s="1" t="n">
        <v>8819</v>
      </c>
      <c r="L192" s="7" t="n">
        <f aca="false">(J192/G192*F192/I192)</f>
        <v>1.07850266792507</v>
      </c>
      <c r="M192" s="7" t="n">
        <f aca="false">(D192/G192*F192/C192)</f>
        <v>0.823192437069738</v>
      </c>
      <c r="N192" s="7" t="n">
        <f aca="false">(K192/H192*F192/I192)</f>
        <v>1.200285852908</v>
      </c>
      <c r="O192" s="7" t="n">
        <f aca="false">(E192/H192*F192/C192)</f>
        <v>0.928864700713181</v>
      </c>
      <c r="P192" s="7" t="n">
        <f aca="false">(IF(L192&gt;1,L192,1/L192) - 1)*100</f>
        <v>7.85026679250656</v>
      </c>
      <c r="Q192" s="7" t="n">
        <f aca="false">(IF(M192&gt;1,M192,1/M192) - 1)*100</f>
        <v>21.4782783427448</v>
      </c>
      <c r="R192" s="7" t="n">
        <f aca="false">(IF(N192&gt;1,N192,1/N192) - 1)*100</f>
        <v>20.0285852908001</v>
      </c>
      <c r="S192" s="7" t="n">
        <f aca="false">(IF(O192&gt;1,O192,1/O192) - 1)*100</f>
        <v>7.65830580408546</v>
      </c>
      <c r="T192" s="9" t="n">
        <f aca="false">(P192+Q192) &lt; (R192+S192)</f>
        <v>0</v>
      </c>
      <c r="U192" s="10" t="n">
        <f aca="false">IF($T192,P192,R192)</f>
        <v>20.0285852908001</v>
      </c>
      <c r="V192" s="11" t="n">
        <f aca="false">IF($T192,Q192,S192)</f>
        <v>7.65830580408546</v>
      </c>
      <c r="W192" s="12" t="n">
        <f aca="false">P192 &lt; R192</f>
        <v>1</v>
      </c>
      <c r="X192" s="10" t="n">
        <f aca="false">IF($W192,P192,R192)</f>
        <v>7.85026679250656</v>
      </c>
      <c r="Y192" s="1" t="n">
        <v>339990</v>
      </c>
      <c r="Z192" s="1" t="s">
        <v>238</v>
      </c>
      <c r="AA192" s="12" t="n">
        <f aca="false">T192=W192</f>
        <v>0</v>
      </c>
    </row>
    <row r="193" customFormat="false" ht="12.8" hidden="false" customHeight="false" outlineLevel="0" collapsed="false">
      <c r="A193" s="1" t="s">
        <v>239</v>
      </c>
      <c r="B193" s="1" t="n">
        <v>311111</v>
      </c>
      <c r="C193" s="1" t="n">
        <v>13977</v>
      </c>
      <c r="D193" s="1" t="n">
        <v>4695</v>
      </c>
      <c r="E193" s="1" t="n">
        <v>2156</v>
      </c>
      <c r="F193" s="1" t="n">
        <v>19800</v>
      </c>
      <c r="G193" s="1" t="n">
        <v>5100</v>
      </c>
      <c r="H193" s="1" t="n">
        <v>1740</v>
      </c>
      <c r="I193" s="1" t="n">
        <v>23248</v>
      </c>
      <c r="J193" s="1" t="n">
        <v>6290</v>
      </c>
      <c r="K193" s="1" t="n">
        <v>2252</v>
      </c>
      <c r="L193" s="7" t="n">
        <f aca="false">(J193/G193*F193/I193)</f>
        <v>1.05041293874742</v>
      </c>
      <c r="M193" s="7" t="n">
        <f aca="false">(D193/G193*F193/C193)</f>
        <v>1.30411726828529</v>
      </c>
      <c r="N193" s="7" t="n">
        <f aca="false">(K193/H193*F193/I193)</f>
        <v>1.10229726843392</v>
      </c>
      <c r="O193" s="7" t="n">
        <f aca="false">(E193/H193*F193/C193)</f>
        <v>1.75529749613281</v>
      </c>
      <c r="P193" s="7" t="n">
        <f aca="false">(IF(L193&gt;1,L193,1/L193) - 1)*100</f>
        <v>5.0412938747419</v>
      </c>
      <c r="Q193" s="7" t="n">
        <f aca="false">(IF(M193&gt;1,M193,1/M193) - 1)*100</f>
        <v>30.4117268285292</v>
      </c>
      <c r="R193" s="7" t="n">
        <f aca="false">(IF(N193&gt;1,N193,1/N193) - 1)*100</f>
        <v>10.2297268433918</v>
      </c>
      <c r="S193" s="7" t="n">
        <f aca="false">(IF(O193&gt;1,O193,1/O193) - 1)*100</f>
        <v>75.529749613281</v>
      </c>
      <c r="T193" s="9" t="n">
        <f aca="false">(P193+Q193) &lt; (R193+S193)</f>
        <v>1</v>
      </c>
      <c r="U193" s="10" t="n">
        <f aca="false">IF($T193,P193,R193)</f>
        <v>5.0412938747419</v>
      </c>
      <c r="V193" s="11" t="n">
        <f aca="false">IF($T193,Q193,S193)</f>
        <v>30.4117268285292</v>
      </c>
      <c r="W193" s="12" t="n">
        <f aca="false">P193 &lt; R193</f>
        <v>1</v>
      </c>
      <c r="X193" s="10" t="n">
        <f aca="false">IF($W193,P193,R193)</f>
        <v>5.0412938747419</v>
      </c>
      <c r="Y193" s="1" t="n">
        <v>311111</v>
      </c>
      <c r="Z193" s="1" t="s">
        <v>239</v>
      </c>
      <c r="AA193" s="12" t="n">
        <f aca="false">T193=W193</f>
        <v>1</v>
      </c>
    </row>
    <row r="194" customFormat="false" ht="12.8" hidden="false" customHeight="false" outlineLevel="0" collapsed="false">
      <c r="A194" s="1" t="s">
        <v>240</v>
      </c>
      <c r="B194" s="1" t="n">
        <v>311119</v>
      </c>
      <c r="C194" s="1" t="n">
        <v>23222</v>
      </c>
      <c r="D194" s="1" t="n">
        <v>3493</v>
      </c>
      <c r="E194" s="1" t="n">
        <v>2032</v>
      </c>
      <c r="F194" s="1" t="n">
        <v>35178</v>
      </c>
      <c r="G194" s="1" t="n">
        <v>3755</v>
      </c>
      <c r="H194" s="1" t="n">
        <v>1727</v>
      </c>
      <c r="I194" s="1" t="n">
        <v>31524</v>
      </c>
      <c r="J194" s="1" t="n">
        <v>4602</v>
      </c>
      <c r="K194" s="1" t="n">
        <v>2497</v>
      </c>
      <c r="L194" s="7" t="n">
        <f aca="false">(J194/G194*F194/I194)</f>
        <v>1.36762332370442</v>
      </c>
      <c r="M194" s="7" t="n">
        <f aca="false">(D194/G194*F194/C194)</f>
        <v>1.40915954967631</v>
      </c>
      <c r="N194" s="7" t="n">
        <f aca="false">(K194/H194*F194/I194)</f>
        <v>1.61345192864884</v>
      </c>
      <c r="O194" s="7" t="n">
        <f aca="false">(E194/H194*F194/C194)</f>
        <v>1.78239062781998</v>
      </c>
      <c r="P194" s="7" t="n">
        <f aca="false">(IF(L194&gt;1,L194,1/L194) - 1)*100</f>
        <v>36.7623323704418</v>
      </c>
      <c r="Q194" s="7" t="n">
        <f aca="false">(IF(M194&gt;1,M194,1/M194) - 1)*100</f>
        <v>40.9159549676308</v>
      </c>
      <c r="R194" s="7" t="n">
        <f aca="false">(IF(N194&gt;1,N194,1/N194) - 1)*100</f>
        <v>61.3451928648843</v>
      </c>
      <c r="S194" s="7" t="n">
        <f aca="false">(IF(O194&gt;1,O194,1/O194) - 1)*100</f>
        <v>78.2390627819984</v>
      </c>
      <c r="T194" s="9" t="n">
        <f aca="false">(P194+Q194) &lt; (R194+S194)</f>
        <v>1</v>
      </c>
      <c r="U194" s="10" t="n">
        <f aca="false">IF($T194,P194,R194)</f>
        <v>36.7623323704418</v>
      </c>
      <c r="V194" s="11" t="n">
        <f aca="false">IF($T194,Q194,S194)</f>
        <v>40.9159549676308</v>
      </c>
      <c r="W194" s="12" t="n">
        <f aca="false">P194 &lt; R194</f>
        <v>1</v>
      </c>
      <c r="X194" s="10" t="n">
        <f aca="false">IF($W194,P194,R194)</f>
        <v>36.7623323704418</v>
      </c>
      <c r="Y194" s="1" t="n">
        <v>311119</v>
      </c>
      <c r="Z194" s="1" t="s">
        <v>240</v>
      </c>
      <c r="AA194" s="12" t="n">
        <f aca="false">T194=W194</f>
        <v>1</v>
      </c>
    </row>
    <row r="195" customFormat="false" ht="12.8" hidden="false" customHeight="false" outlineLevel="0" collapsed="false">
      <c r="A195" s="1" t="s">
        <v>241</v>
      </c>
      <c r="B195" s="1" t="n">
        <v>311210</v>
      </c>
      <c r="C195" s="1" t="n">
        <v>13347</v>
      </c>
      <c r="D195" s="1" t="n">
        <v>3206</v>
      </c>
      <c r="E195" s="1" t="n">
        <v>1880</v>
      </c>
      <c r="F195" s="1" t="n">
        <v>20201</v>
      </c>
      <c r="G195" s="1" t="n">
        <v>3253</v>
      </c>
      <c r="H195" s="1" t="n">
        <v>1735</v>
      </c>
      <c r="I195" s="1" t="n">
        <v>16381</v>
      </c>
      <c r="J195" s="1" t="n">
        <v>3468</v>
      </c>
      <c r="K195" s="1" t="n">
        <v>1576</v>
      </c>
      <c r="L195" s="7" t="n">
        <f aca="false">(J195/G195*F195/I195)</f>
        <v>1.31470248506997</v>
      </c>
      <c r="M195" s="7" t="n">
        <f aca="false">(D195/G195*F195/C195)</f>
        <v>1.49165594352785</v>
      </c>
      <c r="N195" s="7" t="n">
        <f aca="false">(K195/H195*F195/I195)</f>
        <v>1.12018355418795</v>
      </c>
      <c r="O195" s="7" t="n">
        <f aca="false">(E195/H195*F195/C195)</f>
        <v>1.64001408642597</v>
      </c>
      <c r="P195" s="7" t="n">
        <f aca="false">(IF(L195&gt;1,L195,1/L195) - 1)*100</f>
        <v>31.4702485069968</v>
      </c>
      <c r="Q195" s="7" t="n">
        <f aca="false">(IF(M195&gt;1,M195,1/M195) - 1)*100</f>
        <v>49.165594352785</v>
      </c>
      <c r="R195" s="7" t="n">
        <f aca="false">(IF(N195&gt;1,N195,1/N195) - 1)*100</f>
        <v>12.0183554187946</v>
      </c>
      <c r="S195" s="7" t="n">
        <f aca="false">(IF(O195&gt;1,O195,1/O195) - 1)*100</f>
        <v>64.0014086425967</v>
      </c>
      <c r="T195" s="9" t="n">
        <f aca="false">(P195+Q195) &lt; (R195+S195)</f>
        <v>0</v>
      </c>
      <c r="U195" s="10" t="n">
        <f aca="false">IF($T195,P195,R195)</f>
        <v>12.0183554187946</v>
      </c>
      <c r="V195" s="11" t="n">
        <f aca="false">IF($T195,Q195,S195)</f>
        <v>64.0014086425967</v>
      </c>
      <c r="W195" s="12" t="n">
        <f aca="false">P195 &lt; R195</f>
        <v>0</v>
      </c>
      <c r="X195" s="10" t="n">
        <f aca="false">IF($W195,P195,R195)</f>
        <v>12.0183554187946</v>
      </c>
      <c r="Y195" s="1" t="n">
        <v>311210</v>
      </c>
      <c r="Z195" s="1" t="s">
        <v>241</v>
      </c>
      <c r="AA195" s="12" t="n">
        <f aca="false">T195=W195</f>
        <v>1</v>
      </c>
    </row>
    <row r="196" customFormat="false" ht="12.8" hidden="false" customHeight="false" outlineLevel="0" collapsed="false">
      <c r="A196" s="1" t="s">
        <v>242</v>
      </c>
      <c r="B196" s="1" t="n">
        <v>311221</v>
      </c>
      <c r="C196" s="1" t="n">
        <v>11769</v>
      </c>
      <c r="D196" s="1" t="n">
        <v>2284</v>
      </c>
      <c r="E196" s="1" t="n">
        <v>1504</v>
      </c>
      <c r="F196" s="1" t="n">
        <v>12870</v>
      </c>
      <c r="G196" s="1" t="n">
        <v>2417</v>
      </c>
      <c r="H196" s="1" t="n">
        <v>1601</v>
      </c>
      <c r="I196" s="1" t="n">
        <v>9737</v>
      </c>
      <c r="J196" s="1" t="n">
        <v>2234</v>
      </c>
      <c r="K196" s="1" t="n">
        <v>1565</v>
      </c>
      <c r="L196" s="7" t="n">
        <f aca="false">(J196/G196*F196/I196)</f>
        <v>1.2216868388302</v>
      </c>
      <c r="M196" s="7" t="n">
        <f aca="false">(D196/G196*F196/C196)</f>
        <v>1.03337614828097</v>
      </c>
      <c r="N196" s="7" t="n">
        <f aca="false">(K196/H196*F196/I196)</f>
        <v>1.29204127260249</v>
      </c>
      <c r="O196" s="7" t="n">
        <f aca="false">(E196/H196*F196/C196)</f>
        <v>1.02729574286272</v>
      </c>
      <c r="P196" s="7" t="n">
        <f aca="false">(IF(L196&gt;1,L196,1/L196) - 1)*100</f>
        <v>22.1686838830204</v>
      </c>
      <c r="Q196" s="7" t="n">
        <f aca="false">(IF(M196&gt;1,M196,1/M196) - 1)*100</f>
        <v>3.33761482809705</v>
      </c>
      <c r="R196" s="7" t="n">
        <f aca="false">(IF(N196&gt;1,N196,1/N196) - 1)*100</f>
        <v>29.2041272602487</v>
      </c>
      <c r="S196" s="7" t="n">
        <f aca="false">(IF(O196&gt;1,O196,1/O196) - 1)*100</f>
        <v>2.72957428627245</v>
      </c>
      <c r="T196" s="9" t="n">
        <f aca="false">(P196+Q196) &lt; (R196+S196)</f>
        <v>1</v>
      </c>
      <c r="U196" s="10" t="n">
        <f aca="false">IF($T196,P196,R196)</f>
        <v>22.1686838830204</v>
      </c>
      <c r="V196" s="11" t="n">
        <f aca="false">IF($T196,Q196,S196)</f>
        <v>3.33761482809705</v>
      </c>
      <c r="W196" s="12" t="n">
        <f aca="false">P196 &lt; R196</f>
        <v>1</v>
      </c>
      <c r="X196" s="10" t="n">
        <f aca="false">IF($W196,P196,R196)</f>
        <v>22.1686838830204</v>
      </c>
      <c r="Y196" s="1" t="n">
        <v>311221</v>
      </c>
      <c r="Z196" s="1" t="s">
        <v>242</v>
      </c>
      <c r="AA196" s="12" t="n">
        <f aca="false">T196=W196</f>
        <v>1</v>
      </c>
    </row>
    <row r="197" customFormat="false" ht="12.8" hidden="false" customHeight="false" outlineLevel="0" collapsed="false">
      <c r="A197" s="1" t="s">
        <v>243</v>
      </c>
      <c r="B197" s="1" t="n">
        <v>311225</v>
      </c>
      <c r="C197" s="1" t="n">
        <v>13055</v>
      </c>
      <c r="D197" s="1" t="n">
        <v>1294</v>
      </c>
      <c r="E197" s="1" t="n">
        <v>394</v>
      </c>
      <c r="F197" s="1" t="n">
        <v>16510</v>
      </c>
      <c r="G197" s="1" t="n">
        <v>1845</v>
      </c>
      <c r="H197" s="1" t="n">
        <v>528</v>
      </c>
      <c r="I197" s="1" t="n">
        <v>9471</v>
      </c>
      <c r="J197" s="1" t="n">
        <v>1407</v>
      </c>
      <c r="K197" s="1" t="n">
        <v>538</v>
      </c>
      <c r="L197" s="7" t="n">
        <f aca="false">(J197/G197*F197/I197)</f>
        <v>1.3293794578744</v>
      </c>
      <c r="M197" s="7" t="n">
        <f aca="false">(D197/G197*F197/C197)</f>
        <v>0.886968308978379</v>
      </c>
      <c r="N197" s="7" t="n">
        <f aca="false">(K197/H197*F197/I197)</f>
        <v>1.77623159053314</v>
      </c>
      <c r="O197" s="7" t="n">
        <f aca="false">(E197/H197*F197/C197)</f>
        <v>0.943696830426053</v>
      </c>
      <c r="P197" s="7" t="n">
        <f aca="false">(IF(L197&gt;1,L197,1/L197) - 1)*100</f>
        <v>32.9379457874401</v>
      </c>
      <c r="Q197" s="7" t="n">
        <f aca="false">(IF(M197&gt;1,M197,1/M197) - 1)*100</f>
        <v>12.7435997292634</v>
      </c>
      <c r="R197" s="7" t="n">
        <f aca="false">(IF(N197&gt;1,N197,1/N197) - 1)*100</f>
        <v>77.6231590533143</v>
      </c>
      <c r="S197" s="7" t="n">
        <f aca="false">(IF(O197&gt;1,O197,1/O197) - 1)*100</f>
        <v>5.96623489225112</v>
      </c>
      <c r="T197" s="9" t="n">
        <f aca="false">(P197+Q197) &lt; (R197+S197)</f>
        <v>1</v>
      </c>
      <c r="U197" s="10" t="n">
        <f aca="false">IF($T197,P197,R197)</f>
        <v>32.9379457874401</v>
      </c>
      <c r="V197" s="11" t="n">
        <f aca="false">IF($T197,Q197,S197)</f>
        <v>12.7435997292634</v>
      </c>
      <c r="W197" s="12" t="n">
        <f aca="false">P197 &lt; R197</f>
        <v>1</v>
      </c>
      <c r="X197" s="10" t="n">
        <f aca="false">IF($W197,P197,R197)</f>
        <v>32.9379457874401</v>
      </c>
      <c r="Y197" s="1" t="n">
        <v>311225</v>
      </c>
      <c r="Z197" s="1" t="s">
        <v>243</v>
      </c>
      <c r="AA197" s="12" t="n">
        <f aca="false">T197=W197</f>
        <v>1</v>
      </c>
    </row>
    <row r="198" customFormat="false" ht="12.8" hidden="false" customHeight="false" outlineLevel="0" collapsed="false">
      <c r="A198" s="1" t="s">
        <v>244</v>
      </c>
      <c r="B198" s="1" t="n">
        <v>311224</v>
      </c>
      <c r="C198" s="1" t="n">
        <v>21194</v>
      </c>
      <c r="D198" s="1" t="n">
        <v>2791</v>
      </c>
      <c r="E198" s="1" t="n">
        <v>716</v>
      </c>
      <c r="F198" s="1" t="n">
        <v>40398</v>
      </c>
      <c r="G198" s="1" t="n">
        <v>4219</v>
      </c>
      <c r="H198" s="1" t="n">
        <v>990</v>
      </c>
      <c r="I198" s="1" t="n">
        <v>32660</v>
      </c>
      <c r="J198" s="1" t="n">
        <v>3357</v>
      </c>
      <c r="K198" s="1" t="n">
        <v>716</v>
      </c>
      <c r="L198" s="7" t="n">
        <f aca="false">(J198/G198*F198/I198)</f>
        <v>0.984204848825633</v>
      </c>
      <c r="M198" s="7" t="n">
        <f aca="false">(D198/G198*F198/C198)</f>
        <v>1.26094819977381</v>
      </c>
      <c r="N198" s="7" t="n">
        <f aca="false">(K198/H198*F198/I198)</f>
        <v>0.894584794670526</v>
      </c>
      <c r="O198" s="7" t="n">
        <f aca="false">(E198/H198*F198/C198)</f>
        <v>1.37855711021701</v>
      </c>
      <c r="P198" s="7" t="n">
        <f aca="false">(IF(L198&gt;1,L198,1/L198) - 1)*100</f>
        <v>1.604864189931</v>
      </c>
      <c r="Q198" s="7" t="n">
        <f aca="false">(IF(M198&gt;1,M198,1/M198) - 1)*100</f>
        <v>26.0948199773812</v>
      </c>
      <c r="R198" s="7" t="n">
        <f aca="false">(IF(N198&gt;1,N198,1/N198) - 1)*100</f>
        <v>11.7837018868958</v>
      </c>
      <c r="S198" s="7" t="n">
        <f aca="false">(IF(O198&gt;1,O198,1/O198) - 1)*100</f>
        <v>37.8557110217014</v>
      </c>
      <c r="T198" s="9" t="n">
        <f aca="false">(P198+Q198) &lt; (R198+S198)</f>
        <v>1</v>
      </c>
      <c r="U198" s="10" t="n">
        <f aca="false">IF($T198,P198,R198)</f>
        <v>1.604864189931</v>
      </c>
      <c r="V198" s="11" t="n">
        <f aca="false">IF($T198,Q198,S198)</f>
        <v>26.0948199773812</v>
      </c>
      <c r="W198" s="12" t="n">
        <f aca="false">P198 &lt; R198</f>
        <v>1</v>
      </c>
      <c r="X198" s="10" t="n">
        <f aca="false">IF($W198,P198,R198)</f>
        <v>1.604864189931</v>
      </c>
      <c r="Y198" s="1" t="n">
        <v>311224</v>
      </c>
      <c r="Z198" s="1" t="s">
        <v>244</v>
      </c>
      <c r="AA198" s="12" t="n">
        <f aca="false">T198=W198</f>
        <v>1</v>
      </c>
    </row>
    <row r="199" customFormat="false" ht="12.8" hidden="false" customHeight="false" outlineLevel="0" collapsed="false">
      <c r="A199" s="1" t="s">
        <v>245</v>
      </c>
      <c r="B199" s="1" t="n">
        <v>311230</v>
      </c>
      <c r="C199" s="1" t="n">
        <v>9884</v>
      </c>
      <c r="D199" s="1" t="n">
        <v>4315</v>
      </c>
      <c r="E199" s="1" t="n">
        <v>1913</v>
      </c>
      <c r="F199" s="1" t="n">
        <v>10906</v>
      </c>
      <c r="G199" s="1" t="n">
        <v>3109</v>
      </c>
      <c r="H199" s="1" t="n">
        <v>1344</v>
      </c>
      <c r="I199" s="1" t="n">
        <v>10140</v>
      </c>
      <c r="J199" s="1" t="n">
        <v>2992</v>
      </c>
      <c r="K199" s="1" t="n">
        <v>1262</v>
      </c>
      <c r="L199" s="7" t="n">
        <f aca="false">(J199/G199*F199/I199)</f>
        <v>1.03506686384188</v>
      </c>
      <c r="M199" s="7" t="n">
        <f aca="false">(D199/G199*F199/C199)</f>
        <v>1.5314147813576</v>
      </c>
      <c r="N199" s="7" t="n">
        <f aca="false">(K199/H199*F199/I199)</f>
        <v>1.00992151545036</v>
      </c>
      <c r="O199" s="7" t="n">
        <f aca="false">(E199/H199*F199/C199)</f>
        <v>1.5705380328477</v>
      </c>
      <c r="P199" s="7" t="n">
        <f aca="false">(IF(L199&gt;1,L199,1/L199) - 1)*100</f>
        <v>3.50668638418843</v>
      </c>
      <c r="Q199" s="7" t="n">
        <f aca="false">(IF(M199&gt;1,M199,1/M199) - 1)*100</f>
        <v>53.1414781357605</v>
      </c>
      <c r="R199" s="7" t="n">
        <f aca="false">(IF(N199&gt;1,N199,1/N199) - 1)*100</f>
        <v>0.992151545036157</v>
      </c>
      <c r="S199" s="7" t="n">
        <f aca="false">(IF(O199&gt;1,O199,1/O199) - 1)*100</f>
        <v>57.05380328477</v>
      </c>
      <c r="T199" s="9" t="n">
        <f aca="false">(P199+Q199) &lt; (R199+S199)</f>
        <v>1</v>
      </c>
      <c r="U199" s="10" t="n">
        <f aca="false">IF($T199,P199,R199)</f>
        <v>3.50668638418843</v>
      </c>
      <c r="V199" s="11" t="n">
        <f aca="false">IF($T199,Q199,S199)</f>
        <v>53.1414781357605</v>
      </c>
      <c r="W199" s="12" t="n">
        <f aca="false">P199 &lt; R199</f>
        <v>0</v>
      </c>
      <c r="X199" s="10" t="n">
        <f aca="false">IF($W199,P199,R199)</f>
        <v>0.992151545036157</v>
      </c>
      <c r="Y199" s="1" t="n">
        <v>311230</v>
      </c>
      <c r="Z199" s="1" t="s">
        <v>245</v>
      </c>
      <c r="AA199" s="12" t="n">
        <f aca="false">T199=W199</f>
        <v>0</v>
      </c>
    </row>
    <row r="200" customFormat="false" ht="12.8" hidden="false" customHeight="false" outlineLevel="0" collapsed="false">
      <c r="A200" s="1" t="s">
        <v>246</v>
      </c>
      <c r="B200" s="1" t="n">
        <v>311300</v>
      </c>
      <c r="C200" s="1" t="n">
        <v>27011</v>
      </c>
      <c r="D200" s="1" t="n">
        <v>6909</v>
      </c>
      <c r="E200" s="1" t="n">
        <v>3860</v>
      </c>
      <c r="F200" s="1" t="n">
        <v>32957</v>
      </c>
      <c r="G200" s="1" t="n">
        <v>7410</v>
      </c>
      <c r="H200" s="1" t="n">
        <v>3924</v>
      </c>
      <c r="I200" s="1" t="n">
        <v>37006</v>
      </c>
      <c r="J200" s="1" t="n">
        <v>9781</v>
      </c>
      <c r="K200" s="1" t="n">
        <v>4924</v>
      </c>
      <c r="L200" s="7" t="n">
        <f aca="false">(J200/G200*F200/I200)</f>
        <v>1.17554857245676</v>
      </c>
      <c r="M200" s="7" t="n">
        <f aca="false">(D200/G200*F200/C200)</f>
        <v>1.13763774752436</v>
      </c>
      <c r="N200" s="7" t="n">
        <f aca="false">(K200/H200*F200/I200)</f>
        <v>1.11754385037046</v>
      </c>
      <c r="O200" s="7" t="n">
        <f aca="false">(E200/H200*F200/C200)</f>
        <v>1.20023231370494</v>
      </c>
      <c r="P200" s="7" t="n">
        <f aca="false">(IF(L200&gt;1,L200,1/L200) - 1)*100</f>
        <v>17.5548572456755</v>
      </c>
      <c r="Q200" s="7" t="n">
        <f aca="false">(IF(M200&gt;1,M200,1/M200) - 1)*100</f>
        <v>13.7637747524363</v>
      </c>
      <c r="R200" s="7" t="n">
        <f aca="false">(IF(N200&gt;1,N200,1/N200) - 1)*100</f>
        <v>11.7543850370464</v>
      </c>
      <c r="S200" s="7" t="n">
        <f aca="false">(IF(O200&gt;1,O200,1/O200) - 1)*100</f>
        <v>20.0232313704942</v>
      </c>
      <c r="T200" s="9" t="n">
        <f aca="false">(P200+Q200) &lt; (R200+S200)</f>
        <v>1</v>
      </c>
      <c r="U200" s="10" t="n">
        <f aca="false">IF($T200,P200,R200)</f>
        <v>17.5548572456755</v>
      </c>
      <c r="V200" s="11" t="n">
        <f aca="false">IF($T200,Q200,S200)</f>
        <v>13.7637747524363</v>
      </c>
      <c r="W200" s="12" t="n">
        <f aca="false">P200 &lt; R200</f>
        <v>0</v>
      </c>
      <c r="X200" s="10" t="n">
        <f aca="false">IF($W200,P200,R200)</f>
        <v>11.7543850370464</v>
      </c>
      <c r="Y200" s="1" t="n">
        <v>311300</v>
      </c>
      <c r="Z200" s="1" t="s">
        <v>246</v>
      </c>
      <c r="AA200" s="12" t="n">
        <f aca="false">T200=W200</f>
        <v>0</v>
      </c>
    </row>
    <row r="201" customFormat="false" ht="12.8" hidden="false" customHeight="false" outlineLevel="0" collapsed="false">
      <c r="A201" s="1" t="s">
        <v>247</v>
      </c>
      <c r="B201" s="1" t="n">
        <v>311410</v>
      </c>
      <c r="C201" s="1" t="n">
        <v>25032</v>
      </c>
      <c r="D201" s="1" t="n">
        <v>6715</v>
      </c>
      <c r="E201" s="1" t="n">
        <v>4264</v>
      </c>
      <c r="F201" s="1" t="n">
        <v>30321</v>
      </c>
      <c r="G201" s="1" t="n">
        <v>7709</v>
      </c>
      <c r="H201" s="1" t="n">
        <v>4829</v>
      </c>
      <c r="I201" s="1" t="n">
        <v>32474</v>
      </c>
      <c r="J201" s="1" t="n">
        <v>9284</v>
      </c>
      <c r="K201" s="1" t="n">
        <v>5260</v>
      </c>
      <c r="L201" s="7" t="n">
        <f aca="false">(J201/G201*F201/I201)</f>
        <v>1.12446209499605</v>
      </c>
      <c r="M201" s="7" t="n">
        <f aca="false">(D201/G201*F201/C201)</f>
        <v>1.05510563290507</v>
      </c>
      <c r="N201" s="7" t="n">
        <f aca="false">(K201/H201*F201/I201)</f>
        <v>1.01703587570185</v>
      </c>
      <c r="O201" s="7" t="n">
        <f aca="false">(E201/H201*F201/C201)</f>
        <v>1.06956691624408</v>
      </c>
      <c r="P201" s="7" t="n">
        <f aca="false">(IF(L201&gt;1,L201,1/L201) - 1)*100</f>
        <v>12.4462094996052</v>
      </c>
      <c r="Q201" s="7" t="n">
        <f aca="false">(IF(M201&gt;1,M201,1/M201) - 1)*100</f>
        <v>5.51056329050714</v>
      </c>
      <c r="R201" s="7" t="n">
        <f aca="false">(IF(N201&gt;1,N201,1/N201) - 1)*100</f>
        <v>1.70358757018518</v>
      </c>
      <c r="S201" s="7" t="n">
        <f aca="false">(IF(O201&gt;1,O201,1/O201) - 1)*100</f>
        <v>6.95669162440806</v>
      </c>
      <c r="T201" s="9" t="n">
        <f aca="false">(P201+Q201) &lt; (R201+S201)</f>
        <v>0</v>
      </c>
      <c r="U201" s="10" t="n">
        <f aca="false">IF($T201,P201,R201)</f>
        <v>1.70358757018518</v>
      </c>
      <c r="V201" s="11" t="n">
        <f aca="false">IF($T201,Q201,S201)</f>
        <v>6.95669162440806</v>
      </c>
      <c r="W201" s="12" t="n">
        <f aca="false">P201 &lt; R201</f>
        <v>0</v>
      </c>
      <c r="X201" s="10" t="n">
        <f aca="false">IF($W201,P201,R201)</f>
        <v>1.70358757018518</v>
      </c>
      <c r="Y201" s="1" t="n">
        <v>311410</v>
      </c>
      <c r="Z201" s="1" t="s">
        <v>247</v>
      </c>
      <c r="AA201" s="12" t="n">
        <f aca="false">T201=W201</f>
        <v>1</v>
      </c>
    </row>
    <row r="202" customFormat="false" ht="12.8" hidden="false" customHeight="false" outlineLevel="0" collapsed="false">
      <c r="A202" s="1" t="s">
        <v>248</v>
      </c>
      <c r="B202" s="1" t="n">
        <v>311420</v>
      </c>
      <c r="C202" s="1" t="n">
        <v>34897</v>
      </c>
      <c r="D202" s="1" t="n">
        <v>6865</v>
      </c>
      <c r="E202" s="1" t="n">
        <v>4231</v>
      </c>
      <c r="F202" s="1" t="n">
        <v>33114</v>
      </c>
      <c r="G202" s="1" t="n">
        <v>8045</v>
      </c>
      <c r="H202" s="1" t="n">
        <v>4781</v>
      </c>
      <c r="I202" s="1" t="n">
        <v>33515</v>
      </c>
      <c r="J202" s="1" t="n">
        <v>8003</v>
      </c>
      <c r="K202" s="1" t="n">
        <v>4977</v>
      </c>
      <c r="L202" s="7" t="n">
        <f aca="false">(J202/G202*F202/I202)</f>
        <v>0.982877037980174</v>
      </c>
      <c r="M202" s="7" t="n">
        <f aca="false">(D202/G202*F202/C202)</f>
        <v>0.809725924679381</v>
      </c>
      <c r="N202" s="7" t="n">
        <f aca="false">(K202/H202*F202/I202)</f>
        <v>1.02854031181598</v>
      </c>
      <c r="O202" s="7" t="n">
        <f aca="false">(E202/H202*F202/C202)</f>
        <v>0.839745785003763</v>
      </c>
      <c r="P202" s="7" t="n">
        <f aca="false">(IF(L202&gt;1,L202,1/L202) - 1)*100</f>
        <v>1.74212656905832</v>
      </c>
      <c r="Q202" s="7" t="n">
        <f aca="false">(IF(M202&gt;1,M202,1/M202) - 1)*100</f>
        <v>23.4985776694701</v>
      </c>
      <c r="R202" s="7" t="n">
        <f aca="false">(IF(N202&gt;1,N202,1/N202) - 1)*100</f>
        <v>2.85403118159762</v>
      </c>
      <c r="S202" s="7" t="n">
        <f aca="false">(IF(O202&gt;1,O202,1/O202) - 1)*100</f>
        <v>19.083658156798</v>
      </c>
      <c r="T202" s="9" t="n">
        <f aca="false">(P202+Q202) &lt; (R202+S202)</f>
        <v>0</v>
      </c>
      <c r="U202" s="10" t="n">
        <f aca="false">IF($T202,P202,R202)</f>
        <v>2.85403118159762</v>
      </c>
      <c r="V202" s="11" t="n">
        <f aca="false">IF($T202,Q202,S202)</f>
        <v>19.083658156798</v>
      </c>
      <c r="W202" s="12" t="n">
        <f aca="false">P202 &lt; R202</f>
        <v>1</v>
      </c>
      <c r="X202" s="10" t="n">
        <f aca="false">IF($W202,P202,R202)</f>
        <v>1.74212656905832</v>
      </c>
      <c r="Y202" s="1" t="n">
        <v>311420</v>
      </c>
      <c r="Z202" s="1" t="s">
        <v>248</v>
      </c>
      <c r="AA202" s="12" t="n">
        <f aca="false">T202=W202</f>
        <v>0</v>
      </c>
    </row>
    <row r="203" customFormat="false" ht="12.8" hidden="false" customHeight="false" outlineLevel="0" collapsed="false">
      <c r="A203" s="1" t="s">
        <v>249</v>
      </c>
      <c r="B203" s="1" t="n">
        <v>311513</v>
      </c>
      <c r="C203" s="1" t="n">
        <v>31829</v>
      </c>
      <c r="D203" s="1" t="n">
        <v>2739</v>
      </c>
      <c r="E203" s="1" t="n">
        <v>1374</v>
      </c>
      <c r="F203" s="1" t="n">
        <v>40812</v>
      </c>
      <c r="G203" s="1" t="n">
        <v>4533</v>
      </c>
      <c r="H203" s="1" t="n">
        <v>2291</v>
      </c>
      <c r="I203" s="1" t="n">
        <v>47785</v>
      </c>
      <c r="J203" s="1" t="n">
        <v>8001</v>
      </c>
      <c r="K203" s="1" t="n">
        <v>3433</v>
      </c>
      <c r="L203" s="7" t="n">
        <f aca="false">(J203/G203*F203/I203)</f>
        <v>1.50749138524248</v>
      </c>
      <c r="M203" s="7" t="n">
        <f aca="false">(D203/G203*F203/C203)</f>
        <v>0.774767147383939</v>
      </c>
      <c r="N203" s="7" t="n">
        <f aca="false">(K203/H203*F203/I203)</f>
        <v>1.27980853421592</v>
      </c>
      <c r="O203" s="7" t="n">
        <f aca="false">(E203/H203*F203/C203)</f>
        <v>0.769000331992878</v>
      </c>
      <c r="P203" s="7" t="n">
        <f aca="false">(IF(L203&gt;1,L203,1/L203) - 1)*100</f>
        <v>50.7491385242483</v>
      </c>
      <c r="Q203" s="7" t="n">
        <f aca="false">(IF(M203&gt;1,M203,1/M203) - 1)*100</f>
        <v>29.0710381017803</v>
      </c>
      <c r="R203" s="7" t="n">
        <f aca="false">(IF(N203&gt;1,N203,1/N203) - 1)*100</f>
        <v>27.9808534215918</v>
      </c>
      <c r="S203" s="7" t="n">
        <f aca="false">(IF(O203&gt;1,O203,1/O203) - 1)*100</f>
        <v>30.0389555630597</v>
      </c>
      <c r="T203" s="9" t="n">
        <f aca="false">(P203+Q203) &lt; (R203+S203)</f>
        <v>0</v>
      </c>
      <c r="U203" s="10" t="n">
        <f aca="false">IF($T203,P203,R203)</f>
        <v>27.9808534215918</v>
      </c>
      <c r="V203" s="11" t="n">
        <f aca="false">IF($T203,Q203,S203)</f>
        <v>30.0389555630597</v>
      </c>
      <c r="W203" s="12" t="n">
        <f aca="false">P203 &lt; R203</f>
        <v>0</v>
      </c>
      <c r="X203" s="10" t="n">
        <f aca="false">IF($W203,P203,R203)</f>
        <v>27.9808534215918</v>
      </c>
      <c r="Y203" s="1" t="n">
        <v>311513</v>
      </c>
      <c r="Z203" s="1" t="s">
        <v>249</v>
      </c>
      <c r="AA203" s="12" t="n">
        <f aca="false">T203=W203</f>
        <v>1</v>
      </c>
    </row>
    <row r="204" customFormat="false" ht="12.8" hidden="false" customHeight="false" outlineLevel="0" collapsed="false">
      <c r="A204" s="1" t="s">
        <v>250</v>
      </c>
      <c r="B204" s="1" t="n">
        <v>311514</v>
      </c>
      <c r="C204" s="1" t="n">
        <v>13447</v>
      </c>
      <c r="D204" s="1" t="n">
        <v>3997</v>
      </c>
      <c r="E204" s="1" t="n">
        <v>1694</v>
      </c>
      <c r="F204" s="1" t="n">
        <v>25730</v>
      </c>
      <c r="G204" s="1" t="n">
        <v>5217</v>
      </c>
      <c r="H204" s="1" t="n">
        <v>2053</v>
      </c>
      <c r="I204" s="1" t="n">
        <v>23871</v>
      </c>
      <c r="J204" s="1" t="n">
        <v>7247</v>
      </c>
      <c r="K204" s="1" t="n">
        <v>2428</v>
      </c>
      <c r="L204" s="7" t="n">
        <f aca="false">(J204/G204*F204/I204)</f>
        <v>1.49729232359541</v>
      </c>
      <c r="M204" s="7" t="n">
        <f aca="false">(D204/G204*F204/C204)</f>
        <v>1.46597881011473</v>
      </c>
      <c r="N204" s="7" t="n">
        <f aca="false">(K204/H204*F204/I204)</f>
        <v>1.27476140579694</v>
      </c>
      <c r="O204" s="7" t="n">
        <f aca="false">(E204/H204*F204/C204)</f>
        <v>1.57884260739543</v>
      </c>
      <c r="P204" s="7" t="n">
        <f aca="false">(IF(L204&gt;1,L204,1/L204) - 1)*100</f>
        <v>49.7292323595405</v>
      </c>
      <c r="Q204" s="7" t="n">
        <f aca="false">(IF(M204&gt;1,M204,1/M204) - 1)*100</f>
        <v>46.5978810114732</v>
      </c>
      <c r="R204" s="7" t="n">
        <f aca="false">(IF(N204&gt;1,N204,1/N204) - 1)*100</f>
        <v>27.4761405796945</v>
      </c>
      <c r="S204" s="7" t="n">
        <f aca="false">(IF(O204&gt;1,O204,1/O204) - 1)*100</f>
        <v>57.8842607395432</v>
      </c>
      <c r="T204" s="9" t="n">
        <f aca="false">(P204+Q204) &lt; (R204+S204)</f>
        <v>0</v>
      </c>
      <c r="U204" s="10" t="n">
        <f aca="false">IF($T204,P204,R204)</f>
        <v>27.4761405796945</v>
      </c>
      <c r="V204" s="11" t="n">
        <f aca="false">IF($T204,Q204,S204)</f>
        <v>57.8842607395432</v>
      </c>
      <c r="W204" s="12" t="n">
        <f aca="false">P204 &lt; R204</f>
        <v>0</v>
      </c>
      <c r="X204" s="10" t="n">
        <f aca="false">IF($W204,P204,R204)</f>
        <v>27.4761405796945</v>
      </c>
      <c r="Y204" s="1" t="n">
        <v>311514</v>
      </c>
      <c r="Z204" s="1" t="s">
        <v>250</v>
      </c>
      <c r="AA204" s="12" t="n">
        <f aca="false">T204=W204</f>
        <v>1</v>
      </c>
    </row>
    <row r="205" customFormat="false" ht="12.8" hidden="false" customHeight="false" outlineLevel="0" collapsed="false">
      <c r="A205" s="1" t="s">
        <v>251</v>
      </c>
      <c r="B205" s="1" t="s">
        <v>252</v>
      </c>
      <c r="C205" s="1" t="n">
        <v>33635</v>
      </c>
      <c r="D205" s="1" t="n">
        <v>4567</v>
      </c>
      <c r="E205" s="1" t="n">
        <v>2488</v>
      </c>
      <c r="F205" s="1" t="n">
        <v>37634</v>
      </c>
      <c r="G205" s="1" t="n">
        <v>6748</v>
      </c>
      <c r="H205" s="1" t="n">
        <v>3859</v>
      </c>
      <c r="I205" s="1" t="n">
        <v>43719</v>
      </c>
      <c r="J205" s="1" t="n">
        <v>8474</v>
      </c>
      <c r="K205" s="1" t="n">
        <v>4483</v>
      </c>
      <c r="L205" s="7" t="n">
        <f aca="false">(J205/G205*F205/I205)</f>
        <v>1.08099465529665</v>
      </c>
      <c r="M205" s="7" t="n">
        <f aca="false">(D205/G205*F205/C205)</f>
        <v>0.757259771797891</v>
      </c>
      <c r="N205" s="7" t="n">
        <f aca="false">(K205/H205*F205/I205)</f>
        <v>1.00000948956563</v>
      </c>
      <c r="O205" s="7" t="n">
        <f aca="false">(E205/H205*F205/C205)</f>
        <v>0.721380744993749</v>
      </c>
      <c r="P205" s="7" t="n">
        <f aca="false">(IF(L205&gt;1,L205,1/L205) - 1)*100</f>
        <v>8.09946552966456</v>
      </c>
      <c r="Q205" s="7" t="n">
        <f aca="false">(IF(M205&gt;1,M205,1/M205) - 1)*100</f>
        <v>32.0550803360113</v>
      </c>
      <c r="R205" s="7" t="n">
        <f aca="false">(IF(N205&gt;1,N205,1/N205) - 1)*100</f>
        <v>0.000948956562973891</v>
      </c>
      <c r="S205" s="7" t="n">
        <f aca="false">(IF(O205&gt;1,O205,1/O205) - 1)*100</f>
        <v>38.6230512721359</v>
      </c>
      <c r="T205" s="9" t="n">
        <f aca="false">(P205+Q205) &lt; (R205+S205)</f>
        <v>0</v>
      </c>
      <c r="U205" s="10" t="n">
        <f aca="false">IF($T205,P205,R205)</f>
        <v>0.000948956562973891</v>
      </c>
      <c r="V205" s="11" t="n">
        <f aca="false">IF($T205,Q205,S205)</f>
        <v>38.6230512721359</v>
      </c>
      <c r="W205" s="12" t="n">
        <f aca="false">P205 &lt; R205</f>
        <v>0</v>
      </c>
      <c r="X205" s="10" t="n">
        <f aca="false">IF($W205,P205,R205)</f>
        <v>0.000948956562973891</v>
      </c>
      <c r="Y205" s="1" t="s">
        <v>252</v>
      </c>
      <c r="Z205" s="1" t="s">
        <v>251</v>
      </c>
      <c r="AA205" s="12" t="n">
        <f aca="false">T205=W205</f>
        <v>1</v>
      </c>
    </row>
    <row r="206" customFormat="false" ht="12.8" hidden="false" customHeight="false" outlineLevel="0" collapsed="false">
      <c r="A206" s="1" t="s">
        <v>253</v>
      </c>
      <c r="B206" s="1" t="n">
        <v>311520</v>
      </c>
      <c r="C206" s="1" t="n">
        <v>8582</v>
      </c>
      <c r="D206" s="1" t="n">
        <v>1303</v>
      </c>
      <c r="E206" s="1" t="n">
        <v>915</v>
      </c>
      <c r="F206" s="1" t="n">
        <v>6803</v>
      </c>
      <c r="G206" s="1" t="n">
        <v>1544</v>
      </c>
      <c r="H206" s="1" t="n">
        <v>1041</v>
      </c>
      <c r="I206" s="1" t="n">
        <v>7772</v>
      </c>
      <c r="J206" s="1" t="n">
        <v>1975</v>
      </c>
      <c r="K206" s="1" t="n">
        <v>1312</v>
      </c>
      <c r="L206" s="7" t="n">
        <f aca="false">(J206/G206*F206/I206)</f>
        <v>1.11966340243574</v>
      </c>
      <c r="M206" s="7" t="n">
        <f aca="false">(D206/G206*F206/C206)</f>
        <v>0.668973755770301</v>
      </c>
      <c r="N206" s="7" t="n">
        <f aca="false">(K206/H206*F206/I206)</f>
        <v>1.10319118904138</v>
      </c>
      <c r="O206" s="7" t="n">
        <f aca="false">(E206/H206*F206/C206)</f>
        <v>0.696758579884041</v>
      </c>
      <c r="P206" s="7" t="n">
        <f aca="false">(IF(L206&gt;1,L206,1/L206) - 1)*100</f>
        <v>11.966340243574</v>
      </c>
      <c r="Q206" s="7" t="n">
        <f aca="false">(IF(M206&gt;1,M206,1/M206) - 1)*100</f>
        <v>49.4826951542416</v>
      </c>
      <c r="R206" s="7" t="n">
        <f aca="false">(IF(N206&gt;1,N206,1/N206) - 1)*100</f>
        <v>10.3191189041377</v>
      </c>
      <c r="S206" s="7" t="n">
        <f aca="false">(IF(O206&gt;1,O206,1/O206) - 1)*100</f>
        <v>43.5217346252738</v>
      </c>
      <c r="T206" s="9" t="n">
        <f aca="false">(P206+Q206) &lt; (R206+S206)</f>
        <v>0</v>
      </c>
      <c r="U206" s="10" t="n">
        <f aca="false">IF($T206,P206,R206)</f>
        <v>10.3191189041377</v>
      </c>
      <c r="V206" s="11" t="n">
        <f aca="false">IF($T206,Q206,S206)</f>
        <v>43.5217346252738</v>
      </c>
      <c r="W206" s="12" t="n">
        <f aca="false">P206 &lt; R206</f>
        <v>0</v>
      </c>
      <c r="X206" s="10" t="n">
        <f aca="false">IF($W206,P206,R206)</f>
        <v>10.3191189041377</v>
      </c>
      <c r="Y206" s="1" t="n">
        <v>311520</v>
      </c>
      <c r="Z206" s="1" t="s">
        <v>253</v>
      </c>
      <c r="AA206" s="12" t="n">
        <f aca="false">T206=W206</f>
        <v>1</v>
      </c>
    </row>
    <row r="207" customFormat="false" ht="12.8" hidden="false" customHeight="false" outlineLevel="0" collapsed="false">
      <c r="A207" s="1" t="s">
        <v>254</v>
      </c>
      <c r="B207" s="1" t="n">
        <v>311615</v>
      </c>
      <c r="C207" s="1" t="n">
        <v>49155</v>
      </c>
      <c r="D207" s="1" t="n">
        <v>8874</v>
      </c>
      <c r="E207" s="1" t="n">
        <v>5797</v>
      </c>
      <c r="F207" s="1" t="n">
        <v>57874</v>
      </c>
      <c r="G207" s="1" t="n">
        <v>11786</v>
      </c>
      <c r="H207" s="1" t="n">
        <v>7601</v>
      </c>
      <c r="I207" s="1" t="n">
        <v>67560</v>
      </c>
      <c r="J207" s="1" t="n">
        <v>17776</v>
      </c>
      <c r="K207" s="1" t="n">
        <v>9788</v>
      </c>
      <c r="L207" s="7" t="n">
        <f aca="false">(J207/G207*F207/I207)</f>
        <v>1.29199687700845</v>
      </c>
      <c r="M207" s="7" t="n">
        <f aca="false">(D207/G207*F207/C207)</f>
        <v>0.886479684161049</v>
      </c>
      <c r="N207" s="7" t="n">
        <f aca="false">(K207/H207*F207/I207)</f>
        <v>1.10310559460991</v>
      </c>
      <c r="O207" s="7" t="n">
        <f aca="false">(E207/H207*F207/C207)</f>
        <v>0.897942169112414</v>
      </c>
      <c r="P207" s="7" t="n">
        <f aca="false">(IF(L207&gt;1,L207,1/L207) - 1)*100</f>
        <v>29.1996877008447</v>
      </c>
      <c r="Q207" s="7" t="n">
        <f aca="false">(IF(M207&gt;1,M207,1/M207) - 1)*100</f>
        <v>12.8057436472879</v>
      </c>
      <c r="R207" s="7" t="n">
        <f aca="false">(IF(N207&gt;1,N207,1/N207) - 1)*100</f>
        <v>10.3105594609914</v>
      </c>
      <c r="S207" s="7" t="n">
        <f aca="false">(IF(O207&gt;1,O207,1/O207) - 1)*100</f>
        <v>11.3657465255772</v>
      </c>
      <c r="T207" s="9" t="n">
        <f aca="false">(P207+Q207) &lt; (R207+S207)</f>
        <v>0</v>
      </c>
      <c r="U207" s="10" t="n">
        <f aca="false">IF($T207,P207,R207)</f>
        <v>10.3105594609914</v>
      </c>
      <c r="V207" s="11" t="n">
        <f aca="false">IF($T207,Q207,S207)</f>
        <v>11.3657465255772</v>
      </c>
      <c r="W207" s="12" t="n">
        <f aca="false">P207 &lt; R207</f>
        <v>0</v>
      </c>
      <c r="X207" s="10" t="n">
        <f aca="false">IF($W207,P207,R207)</f>
        <v>10.3105594609914</v>
      </c>
      <c r="Y207" s="1" t="n">
        <v>311615</v>
      </c>
      <c r="Z207" s="1" t="s">
        <v>254</v>
      </c>
      <c r="AA207" s="12" t="n">
        <f aca="false">T207=W207</f>
        <v>1</v>
      </c>
    </row>
    <row r="208" customFormat="false" ht="12.8" hidden="false" customHeight="false" outlineLevel="0" collapsed="false">
      <c r="A208" s="1" t="s">
        <v>255</v>
      </c>
      <c r="B208" s="1" t="s">
        <v>256</v>
      </c>
      <c r="C208" s="1" t="n">
        <v>107318</v>
      </c>
      <c r="D208" s="1" t="n">
        <v>13207</v>
      </c>
      <c r="E208" s="1" t="n">
        <v>7859</v>
      </c>
      <c r="F208" s="1" t="n">
        <v>140610</v>
      </c>
      <c r="G208" s="1" t="n">
        <v>17370</v>
      </c>
      <c r="H208" s="1" t="n">
        <v>10216</v>
      </c>
      <c r="I208" s="1" t="n">
        <v>148627</v>
      </c>
      <c r="J208" s="1" t="n">
        <v>24729</v>
      </c>
      <c r="K208" s="1" t="n">
        <v>15290</v>
      </c>
      <c r="L208" s="7" t="n">
        <f aca="false">(J208/G208*F208/I208)</f>
        <v>1.34686861371606</v>
      </c>
      <c r="M208" s="7" t="n">
        <f aca="false">(D208/G208*F208/C208)</f>
        <v>0.996203348458913</v>
      </c>
      <c r="N208" s="7" t="n">
        <f aca="false">(K208/H208*F208/I208)</f>
        <v>1.41594080526562</v>
      </c>
      <c r="O208" s="7" t="n">
        <f aca="false">(E208/H208*F208/C208)</f>
        <v>1.00792923541965</v>
      </c>
      <c r="P208" s="7" t="n">
        <f aca="false">(IF(L208&gt;1,L208,1/L208) - 1)*100</f>
        <v>34.6868613716062</v>
      </c>
      <c r="Q208" s="7" t="n">
        <f aca="false">(IF(M208&gt;1,M208,1/M208) - 1)*100</f>
        <v>0.381112103965542</v>
      </c>
      <c r="R208" s="7" t="n">
        <f aca="false">(IF(N208&gt;1,N208,1/N208) - 1)*100</f>
        <v>41.5940805265618</v>
      </c>
      <c r="S208" s="7" t="n">
        <f aca="false">(IF(O208&gt;1,O208,1/O208) - 1)*100</f>
        <v>0.792923541964874</v>
      </c>
      <c r="T208" s="9" t="n">
        <f aca="false">(P208+Q208) &lt; (R208+S208)</f>
        <v>1</v>
      </c>
      <c r="U208" s="10" t="n">
        <f aca="false">IF($T208,P208,R208)</f>
        <v>34.6868613716062</v>
      </c>
      <c r="V208" s="11" t="n">
        <f aca="false">IF($T208,Q208,S208)</f>
        <v>0.381112103965542</v>
      </c>
      <c r="W208" s="12" t="n">
        <f aca="false">P208 &lt; R208</f>
        <v>1</v>
      </c>
      <c r="X208" s="10" t="n">
        <f aca="false">IF($W208,P208,R208)</f>
        <v>34.6868613716062</v>
      </c>
      <c r="Y208" s="1" t="s">
        <v>256</v>
      </c>
      <c r="Z208" s="1" t="s">
        <v>255</v>
      </c>
      <c r="AA208" s="12" t="n">
        <f aca="false">T208=W208</f>
        <v>1</v>
      </c>
    </row>
    <row r="209" customFormat="false" ht="12.8" hidden="false" customHeight="false" outlineLevel="0" collapsed="false">
      <c r="A209" s="1" t="s">
        <v>257</v>
      </c>
      <c r="B209" s="1" t="n">
        <v>311700</v>
      </c>
      <c r="C209" s="1" t="n">
        <v>10280</v>
      </c>
      <c r="D209" s="1" t="n">
        <v>1353</v>
      </c>
      <c r="E209" s="1" t="n">
        <v>874</v>
      </c>
      <c r="F209" s="1" t="n">
        <v>10696</v>
      </c>
      <c r="G209" s="1" t="n">
        <v>1903</v>
      </c>
      <c r="H209" s="1" t="n">
        <v>1272</v>
      </c>
      <c r="I209" s="1" t="n">
        <v>13818</v>
      </c>
      <c r="J209" s="1" t="n">
        <v>3052</v>
      </c>
      <c r="K209" s="1" t="n">
        <v>2049</v>
      </c>
      <c r="L209" s="7" t="n">
        <f aca="false">(J209/G209*F209/I209)</f>
        <v>1.2414291730489</v>
      </c>
      <c r="M209" s="7" t="n">
        <f aca="false">(D209/G209*F209/C209)</f>
        <v>0.739753941656733</v>
      </c>
      <c r="N209" s="7" t="n">
        <f aca="false">(K209/H209*F209/I209)</f>
        <v>1.24689835789796</v>
      </c>
      <c r="O209" s="7" t="n">
        <f aca="false">(E209/H209*F209/C209)</f>
        <v>0.714912023101583</v>
      </c>
      <c r="P209" s="7" t="n">
        <f aca="false">(IF(L209&gt;1,L209,1/L209) - 1)*100</f>
        <v>24.14291730489</v>
      </c>
      <c r="Q209" s="7" t="n">
        <f aca="false">(IF(M209&gt;1,M209,1/M209) - 1)*100</f>
        <v>35.1800840371904</v>
      </c>
      <c r="R209" s="7" t="n">
        <f aca="false">(IF(N209&gt;1,N209,1/N209) - 1)*100</f>
        <v>24.6898357897957</v>
      </c>
      <c r="S209" s="7" t="n">
        <f aca="false">(IF(O209&gt;1,O209,1/O209) - 1)*100</f>
        <v>39.8773510146867</v>
      </c>
      <c r="T209" s="9" t="n">
        <f aca="false">(P209+Q209) &lt; (R209+S209)</f>
        <v>1</v>
      </c>
      <c r="U209" s="10" t="n">
        <f aca="false">IF($T209,P209,R209)</f>
        <v>24.14291730489</v>
      </c>
      <c r="V209" s="11" t="n">
        <f aca="false">IF($T209,Q209,S209)</f>
        <v>35.1800840371904</v>
      </c>
      <c r="W209" s="12" t="n">
        <f aca="false">P209 &lt; R209</f>
        <v>1</v>
      </c>
      <c r="X209" s="10" t="n">
        <f aca="false">IF($W209,P209,R209)</f>
        <v>24.14291730489</v>
      </c>
      <c r="Y209" s="1" t="n">
        <v>311700</v>
      </c>
      <c r="Z209" s="1" t="s">
        <v>257</v>
      </c>
      <c r="AA209" s="12" t="n">
        <f aca="false">T209=W209</f>
        <v>1</v>
      </c>
    </row>
    <row r="210" customFormat="false" ht="12.8" hidden="false" customHeight="false" outlineLevel="0" collapsed="false">
      <c r="A210" s="1" t="s">
        <v>258</v>
      </c>
      <c r="B210" s="1" t="n">
        <v>311810</v>
      </c>
      <c r="C210" s="1" t="n">
        <v>33046</v>
      </c>
      <c r="D210" s="1" t="n">
        <v>12558</v>
      </c>
      <c r="E210" s="1" t="n">
        <v>9781</v>
      </c>
      <c r="F210" s="1" t="n">
        <v>36915</v>
      </c>
      <c r="G210" s="1" t="n">
        <v>13169</v>
      </c>
      <c r="H210" s="1" t="n">
        <v>10387</v>
      </c>
      <c r="I210" s="1" t="n">
        <v>43112</v>
      </c>
      <c r="J210" s="1" t="n">
        <v>14935</v>
      </c>
      <c r="K210" s="1" t="n">
        <v>10867</v>
      </c>
      <c r="L210" s="7" t="n">
        <f aca="false">(J210/G210*F210/I210)</f>
        <v>0.971084744334754</v>
      </c>
      <c r="M210" s="7" t="n">
        <f aca="false">(D210/G210*F210/C210)</f>
        <v>1.06525027573817</v>
      </c>
      <c r="N210" s="7" t="n">
        <f aca="false">(K210/H210*F210/I210)</f>
        <v>0.895827185186931</v>
      </c>
      <c r="O210" s="7" t="n">
        <f aca="false">(E210/H210*F210/C210)</f>
        <v>1.05190640985835</v>
      </c>
      <c r="P210" s="7" t="n">
        <f aca="false">(IF(L210&gt;1,L210,1/L210) - 1)*100</f>
        <v>2.97762433545952</v>
      </c>
      <c r="Q210" s="7" t="n">
        <f aca="false">(IF(M210&gt;1,M210,1/M210) - 1)*100</f>
        <v>6.52502757381661</v>
      </c>
      <c r="R210" s="7" t="n">
        <f aca="false">(IF(N210&gt;1,N210,1/N210) - 1)*100</f>
        <v>11.6286730895906</v>
      </c>
      <c r="S210" s="7" t="n">
        <f aca="false">(IF(O210&gt;1,O210,1/O210) - 1)*100</f>
        <v>5.1906409858351</v>
      </c>
      <c r="T210" s="9" t="n">
        <f aca="false">(P210+Q210) &lt; (R210+S210)</f>
        <v>1</v>
      </c>
      <c r="U210" s="10" t="n">
        <f aca="false">IF($T210,P210,R210)</f>
        <v>2.97762433545952</v>
      </c>
      <c r="V210" s="11" t="n">
        <f aca="false">IF($T210,Q210,S210)</f>
        <v>6.52502757381661</v>
      </c>
      <c r="W210" s="12" t="n">
        <f aca="false">P210 &lt; R210</f>
        <v>1</v>
      </c>
      <c r="X210" s="10" t="n">
        <f aca="false">IF($W210,P210,R210)</f>
        <v>2.97762433545952</v>
      </c>
      <c r="Y210" s="1" t="n">
        <v>311810</v>
      </c>
      <c r="Z210" s="1" t="s">
        <v>258</v>
      </c>
      <c r="AA210" s="12" t="n">
        <f aca="false">T210=W210</f>
        <v>1</v>
      </c>
    </row>
    <row r="211" customFormat="false" ht="12.8" hidden="false" customHeight="false" outlineLevel="0" collapsed="false">
      <c r="A211" s="1" t="s">
        <v>259</v>
      </c>
      <c r="B211" s="1" t="s">
        <v>260</v>
      </c>
      <c r="C211" s="1" t="n">
        <v>20646</v>
      </c>
      <c r="D211" s="1" t="n">
        <v>7313</v>
      </c>
      <c r="E211" s="1" t="n">
        <v>4273</v>
      </c>
      <c r="F211" s="1" t="n">
        <v>27099</v>
      </c>
      <c r="G211" s="1" t="n">
        <v>7638</v>
      </c>
      <c r="H211" s="1" t="n">
        <v>4297</v>
      </c>
      <c r="I211" s="1" t="n">
        <v>26376</v>
      </c>
      <c r="J211" s="1" t="n">
        <v>8414</v>
      </c>
      <c r="K211" s="1" t="n">
        <v>4624</v>
      </c>
      <c r="L211" s="7" t="n">
        <f aca="false">(J211/G211*F211/I211)</f>
        <v>1.13179347146267</v>
      </c>
      <c r="M211" s="7" t="n">
        <f aca="false">(D211/G211*F211/C211)</f>
        <v>1.25670476370499</v>
      </c>
      <c r="N211" s="7" t="n">
        <f aca="false">(K211/H211*F211/I211)</f>
        <v>1.10559687515021</v>
      </c>
      <c r="O211" s="7" t="n">
        <f aca="false">(E211/H211*F211/C211)</f>
        <v>1.30522348979712</v>
      </c>
      <c r="P211" s="7" t="n">
        <f aca="false">(IF(L211&gt;1,L211,1/L211) - 1)*100</f>
        <v>13.1793471462667</v>
      </c>
      <c r="Q211" s="7" t="n">
        <f aca="false">(IF(M211&gt;1,M211,1/M211) - 1)*100</f>
        <v>25.6704763704992</v>
      </c>
      <c r="R211" s="7" t="n">
        <f aca="false">(IF(N211&gt;1,N211,1/N211) - 1)*100</f>
        <v>10.5596875150215</v>
      </c>
      <c r="S211" s="7" t="n">
        <f aca="false">(IF(O211&gt;1,O211,1/O211) - 1)*100</f>
        <v>30.5223489797123</v>
      </c>
      <c r="T211" s="9" t="n">
        <f aca="false">(P211+Q211) &lt; (R211+S211)</f>
        <v>1</v>
      </c>
      <c r="U211" s="10" t="n">
        <f aca="false">IF($T211,P211,R211)</f>
        <v>13.1793471462667</v>
      </c>
      <c r="V211" s="11" t="n">
        <f aca="false">IF($T211,Q211,S211)</f>
        <v>25.6704763704992</v>
      </c>
      <c r="W211" s="12" t="n">
        <f aca="false">P211 &lt; R211</f>
        <v>0</v>
      </c>
      <c r="X211" s="10" t="n">
        <f aca="false">IF($W211,P211,R211)</f>
        <v>10.5596875150215</v>
      </c>
      <c r="Y211" s="1" t="s">
        <v>260</v>
      </c>
      <c r="Z211" s="1" t="s">
        <v>259</v>
      </c>
      <c r="AA211" s="12" t="n">
        <f aca="false">T211=W211</f>
        <v>0</v>
      </c>
    </row>
    <row r="212" customFormat="false" ht="12.8" hidden="false" customHeight="false" outlineLevel="0" collapsed="false">
      <c r="A212" s="1" t="s">
        <v>261</v>
      </c>
      <c r="B212" s="1" t="n">
        <v>311910</v>
      </c>
      <c r="C212" s="1" t="n">
        <v>23719</v>
      </c>
      <c r="D212" s="1" t="n">
        <v>8952</v>
      </c>
      <c r="E212" s="1" t="n">
        <v>3071</v>
      </c>
      <c r="F212" s="1" t="n">
        <v>30774</v>
      </c>
      <c r="G212" s="1" t="n">
        <v>8161</v>
      </c>
      <c r="H212" s="1" t="n">
        <v>2696</v>
      </c>
      <c r="I212" s="1" t="n">
        <v>38776</v>
      </c>
      <c r="J212" s="1" t="n">
        <v>12871</v>
      </c>
      <c r="K212" s="1" t="n">
        <v>3548</v>
      </c>
      <c r="L212" s="7" t="n">
        <f aca="false">(J212/G212*F212/I212)</f>
        <v>1.25167003456106</v>
      </c>
      <c r="M212" s="7" t="n">
        <f aca="false">(D212/G212*F212/C212)</f>
        <v>1.4231945435519</v>
      </c>
      <c r="N212" s="7" t="n">
        <f aca="false">(K212/H212*F212/I212)</f>
        <v>1.04444281359757</v>
      </c>
      <c r="O212" s="7" t="n">
        <f aca="false">(E212/H212*F212/C212)</f>
        <v>1.47790835027773</v>
      </c>
      <c r="P212" s="7" t="n">
        <f aca="false">(IF(L212&gt;1,L212,1/L212) - 1)*100</f>
        <v>25.1670034561061</v>
      </c>
      <c r="Q212" s="7" t="n">
        <f aca="false">(IF(M212&gt;1,M212,1/M212) - 1)*100</f>
        <v>42.3194543551901</v>
      </c>
      <c r="R212" s="7" t="n">
        <f aca="false">(IF(N212&gt;1,N212,1/N212) - 1)*100</f>
        <v>4.44428135975694</v>
      </c>
      <c r="S212" s="7" t="n">
        <f aca="false">(IF(O212&gt;1,O212,1/O212) - 1)*100</f>
        <v>47.7908350277726</v>
      </c>
      <c r="T212" s="9" t="n">
        <f aca="false">(P212+Q212) &lt; (R212+S212)</f>
        <v>0</v>
      </c>
      <c r="U212" s="10" t="n">
        <f aca="false">IF($T212,P212,R212)</f>
        <v>4.44428135975694</v>
      </c>
      <c r="V212" s="11" t="n">
        <f aca="false">IF($T212,Q212,S212)</f>
        <v>47.7908350277726</v>
      </c>
      <c r="W212" s="12" t="n">
        <f aca="false">P212 &lt; R212</f>
        <v>0</v>
      </c>
      <c r="X212" s="10" t="n">
        <f aca="false">IF($W212,P212,R212)</f>
        <v>4.44428135975694</v>
      </c>
      <c r="Y212" s="1" t="n">
        <v>311910</v>
      </c>
      <c r="Z212" s="1" t="s">
        <v>261</v>
      </c>
      <c r="AA212" s="12" t="n">
        <f aca="false">T212=W212</f>
        <v>1</v>
      </c>
    </row>
    <row r="213" customFormat="false" ht="12.8" hidden="false" customHeight="false" outlineLevel="0" collapsed="false">
      <c r="A213" s="1" t="s">
        <v>262</v>
      </c>
      <c r="B213" s="1" t="n">
        <v>311920</v>
      </c>
      <c r="C213" s="1" t="n">
        <v>7724</v>
      </c>
      <c r="D213" s="1" t="n">
        <v>2401</v>
      </c>
      <c r="E213" s="1" t="n">
        <v>825</v>
      </c>
      <c r="F213" s="1" t="n">
        <v>13021</v>
      </c>
      <c r="G213" s="1" t="n">
        <v>2611</v>
      </c>
      <c r="H213" s="1" t="n">
        <v>922</v>
      </c>
      <c r="I213" s="1" t="n">
        <v>13770</v>
      </c>
      <c r="J213" s="1" t="n">
        <v>3345</v>
      </c>
      <c r="K213" s="1" t="n">
        <v>1465</v>
      </c>
      <c r="L213" s="7" t="n">
        <f aca="false">(J213/G213*F213/I213)</f>
        <v>1.21143369471709</v>
      </c>
      <c r="M213" s="7" t="n">
        <f aca="false">(D213/G213*F213/C213)</f>
        <v>1.55019867742755</v>
      </c>
      <c r="N213" s="7" t="n">
        <f aca="false">(K213/H213*F213/I213)</f>
        <v>1.50250906982862</v>
      </c>
      <c r="O213" s="7" t="n">
        <f aca="false">(E213/H213*F213/C213)</f>
        <v>1.5084297920334</v>
      </c>
      <c r="P213" s="7" t="n">
        <f aca="false">(IF(L213&gt;1,L213,1/L213) - 1)*100</f>
        <v>21.1433694717089</v>
      </c>
      <c r="Q213" s="7" t="n">
        <f aca="false">(IF(M213&gt;1,M213,1/M213) - 1)*100</f>
        <v>55.0198677427551</v>
      </c>
      <c r="R213" s="7" t="n">
        <f aca="false">(IF(N213&gt;1,N213,1/N213) - 1)*100</f>
        <v>50.2509069828622</v>
      </c>
      <c r="S213" s="7" t="n">
        <f aca="false">(IF(O213&gt;1,O213,1/O213) - 1)*100</f>
        <v>50.8429792033395</v>
      </c>
      <c r="T213" s="9" t="n">
        <f aca="false">(P213+Q213) &lt; (R213+S213)</f>
        <v>1</v>
      </c>
      <c r="U213" s="10" t="n">
        <f aca="false">IF($T213,P213,R213)</f>
        <v>21.1433694717089</v>
      </c>
      <c r="V213" s="11" t="n">
        <f aca="false">IF($T213,Q213,S213)</f>
        <v>55.0198677427551</v>
      </c>
      <c r="W213" s="12" t="n">
        <f aca="false">P213 &lt; R213</f>
        <v>1</v>
      </c>
      <c r="X213" s="10" t="n">
        <f aca="false">IF($W213,P213,R213)</f>
        <v>21.1433694717089</v>
      </c>
      <c r="Y213" s="1" t="n">
        <v>311920</v>
      </c>
      <c r="Z213" s="1" t="s">
        <v>262</v>
      </c>
      <c r="AA213" s="12" t="n">
        <f aca="false">T213=W213</f>
        <v>1</v>
      </c>
    </row>
    <row r="214" customFormat="false" ht="12.8" hidden="false" customHeight="false" outlineLevel="0" collapsed="false">
      <c r="A214" s="1" t="s">
        <v>263</v>
      </c>
      <c r="B214" s="1" t="n">
        <v>311930</v>
      </c>
      <c r="C214" s="1" t="n">
        <v>9120</v>
      </c>
      <c r="D214" s="1" t="n">
        <v>5805</v>
      </c>
      <c r="E214" s="1" t="n">
        <v>3063</v>
      </c>
      <c r="F214" s="1" t="n">
        <v>8775</v>
      </c>
      <c r="G214" s="1" t="n">
        <v>3817</v>
      </c>
      <c r="H214" s="1" t="n">
        <v>1876</v>
      </c>
      <c r="I214" s="1" t="n">
        <v>11788</v>
      </c>
      <c r="J214" s="1" t="n">
        <v>5883</v>
      </c>
      <c r="K214" s="1" t="n">
        <v>2398</v>
      </c>
      <c r="L214" s="7" t="n">
        <f aca="false">(J214/G214*F214/I214)</f>
        <v>1.14731768091581</v>
      </c>
      <c r="M214" s="7" t="n">
        <f aca="false">(D214/G214*F214/C214)</f>
        <v>1.46329655764378</v>
      </c>
      <c r="N214" s="7" t="n">
        <f aca="false">(K214/H214*F214/I214)</f>
        <v>0.951531878394638</v>
      </c>
      <c r="O214" s="7" t="n">
        <f aca="false">(E214/H214*F214/C214)</f>
        <v>1.57096478369431</v>
      </c>
      <c r="P214" s="7" t="n">
        <f aca="false">(IF(L214&gt;1,L214,1/L214) - 1)*100</f>
        <v>14.7317680915811</v>
      </c>
      <c r="Q214" s="7" t="n">
        <f aca="false">(IF(M214&gt;1,M214,1/M214) - 1)*100</f>
        <v>46.3296557643782</v>
      </c>
      <c r="R214" s="7" t="n">
        <f aca="false">(IF(N214&gt;1,N214,1/N214) - 1)*100</f>
        <v>5.09369393773065</v>
      </c>
      <c r="S214" s="7" t="n">
        <f aca="false">(IF(O214&gt;1,O214,1/O214) - 1)*100</f>
        <v>57.0964783694311</v>
      </c>
      <c r="T214" s="9" t="n">
        <f aca="false">(P214+Q214) &lt; (R214+S214)</f>
        <v>1</v>
      </c>
      <c r="U214" s="10" t="n">
        <f aca="false">IF($T214,P214,R214)</f>
        <v>14.7317680915811</v>
      </c>
      <c r="V214" s="11" t="n">
        <f aca="false">IF($T214,Q214,S214)</f>
        <v>46.3296557643782</v>
      </c>
      <c r="W214" s="12" t="n">
        <f aca="false">P214 &lt; R214</f>
        <v>0</v>
      </c>
      <c r="X214" s="10" t="n">
        <f aca="false">IF($W214,P214,R214)</f>
        <v>5.09369393773065</v>
      </c>
      <c r="Y214" s="1" t="n">
        <v>311930</v>
      </c>
      <c r="Z214" s="1" t="s">
        <v>263</v>
      </c>
      <c r="AA214" s="12" t="n">
        <f aca="false">T214=W214</f>
        <v>0</v>
      </c>
    </row>
    <row r="215" customFormat="false" ht="12.8" hidden="false" customHeight="false" outlineLevel="0" collapsed="false">
      <c r="A215" s="1" t="s">
        <v>264</v>
      </c>
      <c r="B215" s="1" t="n">
        <v>311940</v>
      </c>
      <c r="C215" s="1" t="n">
        <v>14032</v>
      </c>
      <c r="D215" s="1" t="n">
        <v>3477</v>
      </c>
      <c r="E215" s="1" t="n">
        <v>1543</v>
      </c>
      <c r="F215" s="1" t="n">
        <v>18904</v>
      </c>
      <c r="G215" s="1" t="n">
        <v>4561</v>
      </c>
      <c r="H215" s="1" t="n">
        <v>2014</v>
      </c>
      <c r="I215" s="1" t="n">
        <v>21727</v>
      </c>
      <c r="J215" s="1" t="n">
        <v>6753</v>
      </c>
      <c r="K215" s="1" t="n">
        <v>3198</v>
      </c>
      <c r="L215" s="7" t="n">
        <f aca="false">(J215/G215*F215/I215)</f>
        <v>1.28822173323032</v>
      </c>
      <c r="M215" s="7" t="n">
        <f aca="false">(D215/G215*F215/C215)</f>
        <v>1.02701964526473</v>
      </c>
      <c r="N215" s="7" t="n">
        <f aca="false">(K215/H215*F215/I215)</f>
        <v>1.38157013758662</v>
      </c>
      <c r="O215" s="7" t="n">
        <f aca="false">(E215/H215*F215/C215)</f>
        <v>1.03214471334637</v>
      </c>
      <c r="P215" s="7" t="n">
        <f aca="false">(IF(L215&gt;1,L215,1/L215) - 1)*100</f>
        <v>28.8221733230322</v>
      </c>
      <c r="Q215" s="7" t="n">
        <f aca="false">(IF(M215&gt;1,M215,1/M215) - 1)*100</f>
        <v>2.7019645264734</v>
      </c>
      <c r="R215" s="7" t="n">
        <f aca="false">(IF(N215&gt;1,N215,1/N215) - 1)*100</f>
        <v>38.1570137586624</v>
      </c>
      <c r="S215" s="7" t="n">
        <f aca="false">(IF(O215&gt;1,O215,1/O215) - 1)*100</f>
        <v>3.21447133463701</v>
      </c>
      <c r="T215" s="9" t="n">
        <f aca="false">(P215+Q215) &lt; (R215+S215)</f>
        <v>1</v>
      </c>
      <c r="U215" s="10" t="n">
        <f aca="false">IF($T215,P215,R215)</f>
        <v>28.8221733230322</v>
      </c>
      <c r="V215" s="11" t="n">
        <f aca="false">IF($T215,Q215,S215)</f>
        <v>2.7019645264734</v>
      </c>
      <c r="W215" s="12" t="n">
        <f aca="false">P215 &lt; R215</f>
        <v>1</v>
      </c>
      <c r="X215" s="10" t="n">
        <f aca="false">IF($W215,P215,R215)</f>
        <v>28.8221733230322</v>
      </c>
      <c r="Y215" s="1" t="n">
        <v>311940</v>
      </c>
      <c r="Z215" s="1" t="s">
        <v>264</v>
      </c>
      <c r="AA215" s="12" t="n">
        <f aca="false">T215=W215</f>
        <v>1</v>
      </c>
    </row>
    <row r="216" customFormat="false" ht="12.8" hidden="false" customHeight="false" outlineLevel="0" collapsed="false">
      <c r="A216" s="1" t="s">
        <v>265</v>
      </c>
      <c r="B216" s="1" t="n">
        <v>311990</v>
      </c>
      <c r="C216" s="1" t="n">
        <v>18752</v>
      </c>
      <c r="D216" s="1" t="n">
        <v>4684</v>
      </c>
      <c r="E216" s="1" t="n">
        <v>2948</v>
      </c>
      <c r="F216" s="1" t="n">
        <v>21956</v>
      </c>
      <c r="G216" s="1" t="n">
        <v>4885</v>
      </c>
      <c r="H216" s="1" t="n">
        <v>3088</v>
      </c>
      <c r="I216" s="1" t="n">
        <v>29809</v>
      </c>
      <c r="J216" s="1" t="n">
        <v>7026</v>
      </c>
      <c r="K216" s="1" t="n">
        <v>4562</v>
      </c>
      <c r="L216" s="7" t="n">
        <f aca="false">(J216/G216*F216/I216)</f>
        <v>1.05937420135078</v>
      </c>
      <c r="M216" s="7" t="n">
        <f aca="false">(D216/G216*F216/C216)</f>
        <v>1.12268506712406</v>
      </c>
      <c r="N216" s="7" t="n">
        <f aca="false">(K216/H216*F216/I216)</f>
        <v>1.0881375673828</v>
      </c>
      <c r="O216" s="7" t="n">
        <f aca="false">(E216/H216*F216/C216)</f>
        <v>1.11777866319475</v>
      </c>
      <c r="P216" s="7" t="n">
        <f aca="false">(IF(L216&gt;1,L216,1/L216) - 1)*100</f>
        <v>5.93742013507836</v>
      </c>
      <c r="Q216" s="7" t="n">
        <f aca="false">(IF(M216&gt;1,M216,1/M216) - 1)*100</f>
        <v>12.2685067124058</v>
      </c>
      <c r="R216" s="7" t="n">
        <f aca="false">(IF(N216&gt;1,N216,1/N216) - 1)*100</f>
        <v>8.81375673828035</v>
      </c>
      <c r="S216" s="7" t="n">
        <f aca="false">(IF(O216&gt;1,O216,1/O216) - 1)*100</f>
        <v>11.7778663194752</v>
      </c>
      <c r="T216" s="9" t="n">
        <f aca="false">(P216+Q216) &lt; (R216+S216)</f>
        <v>1</v>
      </c>
      <c r="U216" s="10" t="n">
        <f aca="false">IF($T216,P216,R216)</f>
        <v>5.93742013507836</v>
      </c>
      <c r="V216" s="11" t="n">
        <f aca="false">IF($T216,Q216,S216)</f>
        <v>12.2685067124058</v>
      </c>
      <c r="W216" s="12" t="n">
        <f aca="false">P216 &lt; R216</f>
        <v>1</v>
      </c>
      <c r="X216" s="10" t="n">
        <f aca="false">IF($W216,P216,R216)</f>
        <v>5.93742013507836</v>
      </c>
      <c r="Y216" s="1" t="n">
        <v>311990</v>
      </c>
      <c r="Z216" s="1" t="s">
        <v>265</v>
      </c>
      <c r="AA216" s="12" t="n">
        <f aca="false">T216=W216</f>
        <v>1</v>
      </c>
    </row>
    <row r="217" customFormat="false" ht="12.8" hidden="false" customHeight="false" outlineLevel="0" collapsed="false">
      <c r="A217" s="1" t="s">
        <v>266</v>
      </c>
      <c r="B217" s="1" t="n">
        <v>312110</v>
      </c>
      <c r="C217" s="1" t="n">
        <v>44655</v>
      </c>
      <c r="D217" s="1" t="n">
        <v>8025</v>
      </c>
      <c r="E217" s="1" t="n">
        <v>5027</v>
      </c>
      <c r="F217" s="1" t="n">
        <v>45650</v>
      </c>
      <c r="G217" s="1" t="n">
        <v>10465</v>
      </c>
      <c r="H217" s="1" t="n">
        <v>6830</v>
      </c>
      <c r="I217" s="1" t="n">
        <v>44863</v>
      </c>
      <c r="J217" s="1" t="n">
        <v>13294</v>
      </c>
      <c r="K217" s="1" t="n">
        <v>7570</v>
      </c>
      <c r="L217" s="7" t="n">
        <f aca="false">(J217/G217*F217/I217)</f>
        <v>1.2926141687036</v>
      </c>
      <c r="M217" s="7" t="n">
        <f aca="false">(D217/G217*F217/C217)</f>
        <v>0.783928577447001</v>
      </c>
      <c r="N217" s="7" t="n">
        <f aca="false">(K217/H217*F217/I217)</f>
        <v>1.12778845921318</v>
      </c>
      <c r="O217" s="7" t="n">
        <f aca="false">(E217/H217*F217/C217)</f>
        <v>0.752417468363686</v>
      </c>
      <c r="P217" s="7" t="n">
        <f aca="false">(IF(L217&gt;1,L217,1/L217) - 1)*100</f>
        <v>29.2614168703597</v>
      </c>
      <c r="Q217" s="7" t="n">
        <f aca="false">(IF(M217&gt;1,M217,1/M217) - 1)*100</f>
        <v>27.5626413896879</v>
      </c>
      <c r="R217" s="7" t="n">
        <f aca="false">(IF(N217&gt;1,N217,1/N217) - 1)*100</f>
        <v>12.7788459213178</v>
      </c>
      <c r="S217" s="7" t="n">
        <f aca="false">(IF(O217&gt;1,O217,1/O217) - 1)*100</f>
        <v>32.9049420097519</v>
      </c>
      <c r="T217" s="9" t="n">
        <f aca="false">(P217+Q217) &lt; (R217+S217)</f>
        <v>0</v>
      </c>
      <c r="U217" s="10" t="n">
        <f aca="false">IF($T217,P217,R217)</f>
        <v>12.7788459213178</v>
      </c>
      <c r="V217" s="11" t="n">
        <f aca="false">IF($T217,Q217,S217)</f>
        <v>32.9049420097519</v>
      </c>
      <c r="W217" s="12" t="n">
        <f aca="false">P217 &lt; R217</f>
        <v>0</v>
      </c>
      <c r="X217" s="10" t="n">
        <f aca="false">IF($W217,P217,R217)</f>
        <v>12.7788459213178</v>
      </c>
      <c r="Y217" s="1" t="n">
        <v>312110</v>
      </c>
      <c r="Z217" s="1" t="s">
        <v>266</v>
      </c>
      <c r="AA217" s="12" t="n">
        <f aca="false">T217=W217</f>
        <v>1</v>
      </c>
    </row>
    <row r="218" customFormat="false" ht="12.8" hidden="false" customHeight="false" outlineLevel="0" collapsed="false">
      <c r="A218" s="1" t="s">
        <v>267</v>
      </c>
      <c r="B218" s="1" t="n">
        <v>312120</v>
      </c>
      <c r="C218" s="1" t="n">
        <v>21143</v>
      </c>
      <c r="D218" s="1" t="n">
        <v>8993</v>
      </c>
      <c r="E218" s="1" t="n">
        <v>3043</v>
      </c>
      <c r="F218" s="1" t="n">
        <v>28262</v>
      </c>
      <c r="G218" s="1" t="n">
        <v>9910</v>
      </c>
      <c r="H218" s="1" t="n">
        <v>3205</v>
      </c>
      <c r="I218" s="1" t="n">
        <v>29556</v>
      </c>
      <c r="J218" s="1" t="n">
        <v>12032</v>
      </c>
      <c r="K218" s="1" t="n">
        <v>4290</v>
      </c>
      <c r="L218" s="7" t="n">
        <f aca="false">(J218/G218*F218/I218)</f>
        <v>1.16097108377891</v>
      </c>
      <c r="M218" s="7" t="n">
        <f aca="false">(D218/G218*F218/C218)</f>
        <v>1.21301793233172</v>
      </c>
      <c r="N218" s="7" t="n">
        <f aca="false">(K218/H218*F218/I218)</f>
        <v>1.27993080746372</v>
      </c>
      <c r="O218" s="7" t="n">
        <f aca="false">(E218/H218*F218/C218)</f>
        <v>1.26914195387283</v>
      </c>
      <c r="P218" s="7" t="n">
        <f aca="false">(IF(L218&gt;1,L218,1/L218) - 1)*100</f>
        <v>16.0971083778912</v>
      </c>
      <c r="Q218" s="7" t="n">
        <f aca="false">(IF(M218&gt;1,M218,1/M218) - 1)*100</f>
        <v>21.3017932331722</v>
      </c>
      <c r="R218" s="7" t="n">
        <f aca="false">(IF(N218&gt;1,N218,1/N218) - 1)*100</f>
        <v>27.9930807463724</v>
      </c>
      <c r="S218" s="7" t="n">
        <f aca="false">(IF(O218&gt;1,O218,1/O218) - 1)*100</f>
        <v>26.9141953872829</v>
      </c>
      <c r="T218" s="9" t="n">
        <f aca="false">(P218+Q218) &lt; (R218+S218)</f>
        <v>1</v>
      </c>
      <c r="U218" s="10" t="n">
        <f aca="false">IF($T218,P218,R218)</f>
        <v>16.0971083778912</v>
      </c>
      <c r="V218" s="11" t="n">
        <f aca="false">IF($T218,Q218,S218)</f>
        <v>21.3017932331722</v>
      </c>
      <c r="W218" s="12" t="n">
        <f aca="false">P218 &lt; R218</f>
        <v>1</v>
      </c>
      <c r="X218" s="10" t="n">
        <f aca="false">IF($W218,P218,R218)</f>
        <v>16.0971083778912</v>
      </c>
      <c r="Y218" s="1" t="n">
        <v>312120</v>
      </c>
      <c r="Z218" s="1" t="s">
        <v>267</v>
      </c>
      <c r="AA218" s="12" t="n">
        <f aca="false">T218=W218</f>
        <v>1</v>
      </c>
    </row>
    <row r="219" customFormat="false" ht="12.8" hidden="false" customHeight="false" outlineLevel="0" collapsed="false">
      <c r="A219" s="1" t="s">
        <v>268</v>
      </c>
      <c r="B219" s="1" t="n">
        <v>312130</v>
      </c>
      <c r="C219" s="1" t="n">
        <v>12600</v>
      </c>
      <c r="D219" s="1" t="n">
        <v>4230</v>
      </c>
      <c r="E219" s="1" t="n">
        <v>2209</v>
      </c>
      <c r="F219" s="1" t="n">
        <v>15839</v>
      </c>
      <c r="G219" s="1" t="n">
        <v>5029</v>
      </c>
      <c r="H219" s="1" t="n">
        <v>2646</v>
      </c>
      <c r="I219" s="1" t="n">
        <v>21184</v>
      </c>
      <c r="J219" s="1" t="n">
        <v>8392</v>
      </c>
      <c r="K219" s="1" t="n">
        <v>3727</v>
      </c>
      <c r="L219" s="7" t="n">
        <f aca="false">(J219/G219*F219/I219)</f>
        <v>1.2476811982946</v>
      </c>
      <c r="M219" s="7" t="n">
        <f aca="false">(D219/G219*F219/C219)</f>
        <v>1.05734312416555</v>
      </c>
      <c r="N219" s="7" t="n">
        <f aca="false">(K219/H219*F219/I219)</f>
        <v>1.05314784629024</v>
      </c>
      <c r="O219" s="7" t="n">
        <f aca="false">(E219/H219*F219/C219)</f>
        <v>1.04945323279224</v>
      </c>
      <c r="P219" s="7" t="n">
        <f aca="false">(IF(L219&gt;1,L219,1/L219) - 1)*100</f>
        <v>24.7681198294604</v>
      </c>
      <c r="Q219" s="7" t="n">
        <f aca="false">(IF(M219&gt;1,M219,1/M219) - 1)*100</f>
        <v>5.73431241655542</v>
      </c>
      <c r="R219" s="7" t="n">
        <f aca="false">(IF(N219&gt;1,N219,1/N219) - 1)*100</f>
        <v>5.31478462902448</v>
      </c>
      <c r="S219" s="7" t="n">
        <f aca="false">(IF(O219&gt;1,O219,1/O219) - 1)*100</f>
        <v>4.9453232792235</v>
      </c>
      <c r="T219" s="9" t="n">
        <f aca="false">(P219+Q219) &lt; (R219+S219)</f>
        <v>0</v>
      </c>
      <c r="U219" s="10" t="n">
        <f aca="false">IF($T219,P219,R219)</f>
        <v>5.31478462902448</v>
      </c>
      <c r="V219" s="11" t="n">
        <f aca="false">IF($T219,Q219,S219)</f>
        <v>4.9453232792235</v>
      </c>
      <c r="W219" s="12" t="n">
        <f aca="false">P219 &lt; R219</f>
        <v>0</v>
      </c>
      <c r="X219" s="10" t="n">
        <f aca="false">IF($W219,P219,R219)</f>
        <v>5.31478462902448</v>
      </c>
      <c r="Y219" s="1" t="n">
        <v>312130</v>
      </c>
      <c r="Z219" s="1" t="s">
        <v>268</v>
      </c>
      <c r="AA219" s="12" t="n">
        <f aca="false">T219=W219</f>
        <v>1</v>
      </c>
    </row>
    <row r="220" customFormat="false" ht="12.8" hidden="false" customHeight="false" outlineLevel="0" collapsed="false">
      <c r="A220" s="1" t="s">
        <v>269</v>
      </c>
      <c r="B220" s="1" t="n">
        <v>312140</v>
      </c>
      <c r="C220" s="1" t="n">
        <v>7019</v>
      </c>
      <c r="D220" s="1" t="n">
        <v>2913</v>
      </c>
      <c r="E220" s="1" t="n">
        <v>667</v>
      </c>
      <c r="F220" s="1" t="n">
        <v>10756</v>
      </c>
      <c r="G220" s="1" t="n">
        <v>3863</v>
      </c>
      <c r="H220" s="1" t="n">
        <v>886</v>
      </c>
      <c r="I220" s="1" t="n">
        <v>12167</v>
      </c>
      <c r="J220" s="1" t="n">
        <v>4751</v>
      </c>
      <c r="K220" s="1" t="n">
        <v>1208</v>
      </c>
      <c r="L220" s="7" t="n">
        <f aca="false">(J220/G220*F220/I220)</f>
        <v>1.08724547229416</v>
      </c>
      <c r="M220" s="7" t="n">
        <f aca="false">(D220/G220*F220/C220)</f>
        <v>1.1555568799852</v>
      </c>
      <c r="N220" s="7" t="n">
        <f aca="false">(K220/H220*F220/I220)</f>
        <v>1.20531482392981</v>
      </c>
      <c r="O220" s="7" t="n">
        <f aca="false">(E220/H220*F220/C220)</f>
        <v>1.15363298007311</v>
      </c>
      <c r="P220" s="7" t="n">
        <f aca="false">(IF(L220&gt;1,L220,1/L220) - 1)*100</f>
        <v>8.72454722941607</v>
      </c>
      <c r="Q220" s="7" t="n">
        <f aca="false">(IF(M220&gt;1,M220,1/M220) - 1)*100</f>
        <v>15.5556879985197</v>
      </c>
      <c r="R220" s="7" t="n">
        <f aca="false">(IF(N220&gt;1,N220,1/N220) - 1)*100</f>
        <v>20.5314823929806</v>
      </c>
      <c r="S220" s="7" t="n">
        <f aca="false">(IF(O220&gt;1,O220,1/O220) - 1)*100</f>
        <v>15.3632980073113</v>
      </c>
      <c r="T220" s="9" t="n">
        <f aca="false">(P220+Q220) &lt; (R220+S220)</f>
        <v>1</v>
      </c>
      <c r="U220" s="10" t="n">
        <f aca="false">IF($T220,P220,R220)</f>
        <v>8.72454722941607</v>
      </c>
      <c r="V220" s="11" t="n">
        <f aca="false">IF($T220,Q220,S220)</f>
        <v>15.5556879985197</v>
      </c>
      <c r="W220" s="12" t="n">
        <f aca="false">P220 &lt; R220</f>
        <v>1</v>
      </c>
      <c r="X220" s="10" t="n">
        <f aca="false">IF($W220,P220,R220)</f>
        <v>8.72454722941607</v>
      </c>
      <c r="Y220" s="1" t="n">
        <v>312140</v>
      </c>
      <c r="Z220" s="1" t="s">
        <v>269</v>
      </c>
      <c r="AA220" s="12" t="n">
        <f aca="false">T220=W220</f>
        <v>1</v>
      </c>
    </row>
    <row r="221" customFormat="false" ht="12.8" hidden="false" customHeight="false" outlineLevel="0" collapsed="false">
      <c r="A221" s="1" t="s">
        <v>270</v>
      </c>
      <c r="B221" s="1" t="n">
        <v>312200</v>
      </c>
      <c r="C221" s="1" t="n">
        <v>44147</v>
      </c>
      <c r="D221" s="1" t="n">
        <v>29980</v>
      </c>
      <c r="E221" s="1" t="n">
        <v>3879</v>
      </c>
      <c r="F221" s="1" t="n">
        <v>39794</v>
      </c>
      <c r="G221" s="1" t="n">
        <v>24270</v>
      </c>
      <c r="H221" s="1" t="n">
        <v>1510</v>
      </c>
      <c r="I221" s="1" t="n">
        <v>47425</v>
      </c>
      <c r="J221" s="1" t="n">
        <v>31636</v>
      </c>
      <c r="K221" s="1" t="n">
        <v>1673</v>
      </c>
      <c r="L221" s="7" t="n">
        <f aca="false">(J221/G221*F221/I221)</f>
        <v>1.09376002488261</v>
      </c>
      <c r="M221" s="7" t="n">
        <f aca="false">(D221/G221*F221/C221)</f>
        <v>1.1134693099203</v>
      </c>
      <c r="N221" s="7" t="n">
        <f aca="false">(K221/H221*F221/I221)</f>
        <v>0.929670926907945</v>
      </c>
      <c r="O221" s="7" t="n">
        <f aca="false">(E221/H221*F221/C221)</f>
        <v>2.31557702240123</v>
      </c>
      <c r="P221" s="7" t="n">
        <f aca="false">(IF(L221&gt;1,L221,1/L221) - 1)*100</f>
        <v>9.3760024882608</v>
      </c>
      <c r="Q221" s="7" t="n">
        <f aca="false">(IF(M221&gt;1,M221,1/M221) - 1)*100</f>
        <v>11.3469309920301</v>
      </c>
      <c r="R221" s="7" t="n">
        <f aca="false">(IF(N221&gt;1,N221,1/N221) - 1)*100</f>
        <v>7.56494271859911</v>
      </c>
      <c r="S221" s="7" t="n">
        <f aca="false">(IF(O221&gt;1,O221,1/O221) - 1)*100</f>
        <v>131.557702240123</v>
      </c>
      <c r="T221" s="9" t="n">
        <f aca="false">(P221+Q221) &lt; (R221+S221)</f>
        <v>1</v>
      </c>
      <c r="U221" s="10" t="n">
        <f aca="false">IF($T221,P221,R221)</f>
        <v>9.3760024882608</v>
      </c>
      <c r="V221" s="11" t="n">
        <f aca="false">IF($T221,Q221,S221)</f>
        <v>11.3469309920301</v>
      </c>
      <c r="W221" s="12" t="n">
        <f aca="false">P221 &lt; R221</f>
        <v>0</v>
      </c>
      <c r="X221" s="10" t="n">
        <f aca="false">IF($W221,P221,R221)</f>
        <v>7.56494271859911</v>
      </c>
      <c r="Y221" s="1" t="n">
        <v>312200</v>
      </c>
      <c r="Z221" s="1" t="s">
        <v>270</v>
      </c>
      <c r="AA221" s="12" t="n">
        <f aca="false">T221=W221</f>
        <v>0</v>
      </c>
    </row>
    <row r="222" customFormat="false" ht="12.8" hidden="false" customHeight="false" outlineLevel="0" collapsed="false">
      <c r="A222" s="1" t="s">
        <v>271</v>
      </c>
      <c r="B222" s="1" t="n">
        <v>313100</v>
      </c>
      <c r="C222" s="1" t="n">
        <v>9317</v>
      </c>
      <c r="D222" s="1" t="n">
        <v>1628</v>
      </c>
      <c r="E222" s="1" t="n">
        <v>1263</v>
      </c>
      <c r="F222" s="1" t="n">
        <v>7726</v>
      </c>
      <c r="G222" s="1" t="n">
        <v>1647</v>
      </c>
      <c r="H222" s="1" t="n">
        <v>1140</v>
      </c>
      <c r="I222" s="1" t="n">
        <v>7085</v>
      </c>
      <c r="J222" s="1" t="n">
        <v>1631</v>
      </c>
      <c r="K222" s="1" t="n">
        <v>1394</v>
      </c>
      <c r="L222" s="7" t="n">
        <f aca="false">(J222/G222*F222/I222)</f>
        <v>1.07987928694802</v>
      </c>
      <c r="M222" s="7" t="n">
        <f aca="false">(D222/G222*F222/C222)</f>
        <v>0.819670697465034</v>
      </c>
      <c r="N222" s="7" t="n">
        <f aca="false">(K222/H222*F222/I222)</f>
        <v>1.33343782886999</v>
      </c>
      <c r="O222" s="7" t="n">
        <f aca="false">(E222/H222*F222/C222)</f>
        <v>0.918707173644103</v>
      </c>
      <c r="P222" s="7" t="n">
        <f aca="false">(IF(L222&gt;1,L222,1/L222) - 1)*100</f>
        <v>7.98792869480192</v>
      </c>
      <c r="Q222" s="7" t="n">
        <f aca="false">(IF(M222&gt;1,M222,1/M222) - 1)*100</f>
        <v>22.0002133896775</v>
      </c>
      <c r="R222" s="7" t="n">
        <f aca="false">(IF(N222&gt;1,N222,1/N222) - 1)*100</f>
        <v>33.3437828869987</v>
      </c>
      <c r="S222" s="7" t="n">
        <f aca="false">(IF(O222&gt;1,O222,1/O222) - 1)*100</f>
        <v>8.84861125373002</v>
      </c>
      <c r="T222" s="9" t="n">
        <f aca="false">(P222+Q222) &lt; (R222+S222)</f>
        <v>1</v>
      </c>
      <c r="U222" s="10" t="n">
        <f aca="false">IF($T222,P222,R222)</f>
        <v>7.98792869480192</v>
      </c>
      <c r="V222" s="11" t="n">
        <f aca="false">IF($T222,Q222,S222)</f>
        <v>22.0002133896775</v>
      </c>
      <c r="W222" s="12" t="n">
        <f aca="false">P222 &lt; R222</f>
        <v>1</v>
      </c>
      <c r="X222" s="10" t="n">
        <f aca="false">IF($W222,P222,R222)</f>
        <v>7.98792869480192</v>
      </c>
      <c r="Y222" s="1" t="n">
        <v>313100</v>
      </c>
      <c r="Z222" s="1" t="s">
        <v>271</v>
      </c>
      <c r="AA222" s="12" t="n">
        <f aca="false">T222=W222</f>
        <v>1</v>
      </c>
    </row>
    <row r="223" customFormat="false" ht="12.8" hidden="false" customHeight="false" outlineLevel="0" collapsed="false">
      <c r="A223" s="1" t="s">
        <v>272</v>
      </c>
      <c r="B223" s="1" t="n">
        <v>313200</v>
      </c>
      <c r="C223" s="1" t="n">
        <v>17268</v>
      </c>
      <c r="D223" s="1" t="n">
        <v>5933</v>
      </c>
      <c r="E223" s="1" t="n">
        <v>3984</v>
      </c>
      <c r="F223" s="1" t="n">
        <v>14807</v>
      </c>
      <c r="G223" s="1" t="n">
        <v>4850</v>
      </c>
      <c r="H223" s="1" t="n">
        <v>2972</v>
      </c>
      <c r="I223" s="1" t="n">
        <v>13273</v>
      </c>
      <c r="J223" s="1" t="n">
        <v>4391</v>
      </c>
      <c r="K223" s="1" t="n">
        <v>3137</v>
      </c>
      <c r="L223" s="7" t="n">
        <f aca="false">(J223/G223*F223/I223)</f>
        <v>1.00999606207781</v>
      </c>
      <c r="M223" s="7" t="n">
        <f aca="false">(D223/G223*F223/C223)</f>
        <v>1.04895690497171</v>
      </c>
      <c r="N223" s="7" t="n">
        <f aca="false">(K223/H223*F223/I223)</f>
        <v>1.17750753688029</v>
      </c>
      <c r="O223" s="7" t="n">
        <f aca="false">(E223/H223*F223/C223)</f>
        <v>1.14946449465336</v>
      </c>
      <c r="P223" s="7" t="n">
        <f aca="false">(IF(L223&gt;1,L223,1/L223) - 1)*100</f>
        <v>0.999606207780945</v>
      </c>
      <c r="Q223" s="7" t="n">
        <f aca="false">(IF(M223&gt;1,M223,1/M223) - 1)*100</f>
        <v>4.89569049717133</v>
      </c>
      <c r="R223" s="7" t="n">
        <f aca="false">(IF(N223&gt;1,N223,1/N223) - 1)*100</f>
        <v>17.7507536880292</v>
      </c>
      <c r="S223" s="7" t="n">
        <f aca="false">(IF(O223&gt;1,O223,1/O223) - 1)*100</f>
        <v>14.9464494653364</v>
      </c>
      <c r="T223" s="9" t="n">
        <f aca="false">(P223+Q223) &lt; (R223+S223)</f>
        <v>1</v>
      </c>
      <c r="U223" s="10" t="n">
        <f aca="false">IF($T223,P223,R223)</f>
        <v>0.999606207780945</v>
      </c>
      <c r="V223" s="11" t="n">
        <f aca="false">IF($T223,Q223,S223)</f>
        <v>4.89569049717133</v>
      </c>
      <c r="W223" s="12" t="n">
        <f aca="false">P223 &lt; R223</f>
        <v>1</v>
      </c>
      <c r="X223" s="10" t="n">
        <f aca="false">IF($W223,P223,R223)</f>
        <v>0.999606207780945</v>
      </c>
      <c r="Y223" s="1" t="n">
        <v>313200</v>
      </c>
      <c r="Z223" s="1" t="s">
        <v>272</v>
      </c>
      <c r="AA223" s="12" t="n">
        <f aca="false">T223=W223</f>
        <v>1</v>
      </c>
    </row>
    <row r="224" customFormat="false" ht="12.8" hidden="false" customHeight="false" outlineLevel="0" collapsed="false">
      <c r="A224" s="1" t="s">
        <v>273</v>
      </c>
      <c r="B224" s="1" t="n">
        <v>313300</v>
      </c>
      <c r="C224" s="1" t="n">
        <v>9215</v>
      </c>
      <c r="D224" s="1" t="n">
        <v>2468</v>
      </c>
      <c r="E224" s="1" t="n">
        <v>2265</v>
      </c>
      <c r="F224" s="1" t="n">
        <v>7415</v>
      </c>
      <c r="G224" s="1" t="n">
        <v>2070</v>
      </c>
      <c r="H224" s="1" t="n">
        <v>1886</v>
      </c>
      <c r="I224" s="1" t="n">
        <v>7035</v>
      </c>
      <c r="J224" s="1" t="n">
        <v>2211</v>
      </c>
      <c r="K224" s="1" t="n">
        <v>1823</v>
      </c>
      <c r="L224" s="7" t="n">
        <f aca="false">(J224/G224*F224/I224)</f>
        <v>1.12581090407177</v>
      </c>
      <c r="M224" s="7" t="n">
        <f aca="false">(D224/G224*F224/C224)</f>
        <v>0.959379922988406</v>
      </c>
      <c r="N224" s="7" t="n">
        <f aca="false">(K224/H224*F224/I224)</f>
        <v>1.0188072665004</v>
      </c>
      <c r="O224" s="7" t="n">
        <f aca="false">(E224/H224*F224/C224)</f>
        <v>0.966367540129198</v>
      </c>
      <c r="P224" s="7" t="n">
        <f aca="false">(IF(L224&gt;1,L224,1/L224) - 1)*100</f>
        <v>12.5810904071774</v>
      </c>
      <c r="Q224" s="7" t="n">
        <f aca="false">(IF(M224&gt;1,M224,1/M224) - 1)*100</f>
        <v>4.23399281538692</v>
      </c>
      <c r="R224" s="7" t="n">
        <f aca="false">(IF(N224&gt;1,N224,1/N224) - 1)*100</f>
        <v>1.88072665004022</v>
      </c>
      <c r="S224" s="7" t="n">
        <f aca="false">(IF(O224&gt;1,O224,1/O224) - 1)*100</f>
        <v>3.48029693405318</v>
      </c>
      <c r="T224" s="9" t="n">
        <f aca="false">(P224+Q224) &lt; (R224+S224)</f>
        <v>0</v>
      </c>
      <c r="U224" s="10" t="n">
        <f aca="false">IF($T224,P224,R224)</f>
        <v>1.88072665004022</v>
      </c>
      <c r="V224" s="11" t="n">
        <f aca="false">IF($T224,Q224,S224)</f>
        <v>3.48029693405318</v>
      </c>
      <c r="W224" s="12" t="n">
        <f aca="false">P224 &lt; R224</f>
        <v>0</v>
      </c>
      <c r="X224" s="10" t="n">
        <f aca="false">IF($W224,P224,R224)</f>
        <v>1.88072665004022</v>
      </c>
      <c r="Y224" s="1" t="n">
        <v>313300</v>
      </c>
      <c r="Z224" s="1" t="s">
        <v>273</v>
      </c>
      <c r="AA224" s="12" t="n">
        <f aca="false">T224=W224</f>
        <v>1</v>
      </c>
    </row>
    <row r="225" customFormat="false" ht="12.8" hidden="false" customHeight="false" outlineLevel="0" collapsed="false">
      <c r="A225" s="1" t="s">
        <v>274</v>
      </c>
      <c r="B225" s="1" t="n">
        <v>314110</v>
      </c>
      <c r="C225" s="1" t="n">
        <v>14790</v>
      </c>
      <c r="D225" s="1" t="n">
        <v>3801</v>
      </c>
      <c r="E225" s="1" t="n">
        <v>2817</v>
      </c>
      <c r="F225" s="1" t="n">
        <v>9067</v>
      </c>
      <c r="G225" s="1" t="n">
        <v>2726</v>
      </c>
      <c r="H225" s="1" t="n">
        <v>1768</v>
      </c>
      <c r="I225" s="1" t="n">
        <v>9751</v>
      </c>
      <c r="J225" s="1" t="n">
        <v>3566</v>
      </c>
      <c r="K225" s="1" t="n">
        <v>1884</v>
      </c>
      <c r="L225" s="7" t="n">
        <f aca="false">(J225/G225*F225/I225)</f>
        <v>1.2163818929947</v>
      </c>
      <c r="M225" s="7" t="n">
        <f aca="false">(D225/G225*F225/C225)</f>
        <v>0.854805799163342</v>
      </c>
      <c r="N225" s="7" t="n">
        <f aca="false">(K225/H225*F225/I225)</f>
        <v>0.990861825982809</v>
      </c>
      <c r="O225" s="7" t="n">
        <f aca="false">(E225/H225*F225/C225)</f>
        <v>0.976787353262416</v>
      </c>
      <c r="P225" s="7" t="n">
        <f aca="false">(IF(L225&gt;1,L225,1/L225) - 1)*100</f>
        <v>21.6381892994702</v>
      </c>
      <c r="Q225" s="7" t="n">
        <f aca="false">(IF(M225&gt;1,M225,1/M225) - 1)*100</f>
        <v>16.9856359162245</v>
      </c>
      <c r="R225" s="7" t="n">
        <f aca="false">(IF(N225&gt;1,N225,1/N225) - 1)*100</f>
        <v>0.922245037356939</v>
      </c>
      <c r="S225" s="7" t="n">
        <f aca="false">(IF(O225&gt;1,O225,1/O225) - 1)*100</f>
        <v>2.3764278540314</v>
      </c>
      <c r="T225" s="9" t="n">
        <f aca="false">(P225+Q225) &lt; (R225+S225)</f>
        <v>0</v>
      </c>
      <c r="U225" s="10" t="n">
        <f aca="false">IF($T225,P225,R225)</f>
        <v>0.922245037356939</v>
      </c>
      <c r="V225" s="11" t="n">
        <f aca="false">IF($T225,Q225,S225)</f>
        <v>2.3764278540314</v>
      </c>
      <c r="W225" s="12" t="n">
        <f aca="false">P225 &lt; R225</f>
        <v>0</v>
      </c>
      <c r="X225" s="10" t="n">
        <f aca="false">IF($W225,P225,R225)</f>
        <v>0.922245037356939</v>
      </c>
      <c r="Y225" s="1" t="n">
        <v>314110</v>
      </c>
      <c r="Z225" s="1" t="s">
        <v>274</v>
      </c>
      <c r="AA225" s="12" t="n">
        <f aca="false">T225=W225</f>
        <v>1</v>
      </c>
    </row>
    <row r="226" customFormat="false" ht="12.8" hidden="false" customHeight="false" outlineLevel="0" collapsed="false">
      <c r="A226" s="1" t="s">
        <v>275</v>
      </c>
      <c r="B226" s="1" t="n">
        <v>314120</v>
      </c>
      <c r="C226" s="1" t="n">
        <v>3917</v>
      </c>
      <c r="D226" s="1" t="n">
        <v>1173</v>
      </c>
      <c r="E226" s="1" t="n">
        <v>734</v>
      </c>
      <c r="F226" s="1" t="n">
        <v>3635</v>
      </c>
      <c r="G226" s="1" t="n">
        <v>1205</v>
      </c>
      <c r="H226" s="1" t="n">
        <v>801</v>
      </c>
      <c r="I226" s="1" t="n">
        <v>3506</v>
      </c>
      <c r="J226" s="1" t="n">
        <v>1281</v>
      </c>
      <c r="K226" s="1" t="n">
        <v>941</v>
      </c>
      <c r="L226" s="7" t="n">
        <f aca="false">(J226/G226*F226/I226)</f>
        <v>1.10218522840513</v>
      </c>
      <c r="M226" s="7" t="n">
        <f aca="false">(D226/G226*F226/C226)</f>
        <v>0.903361981023245</v>
      </c>
      <c r="N226" s="7" t="n">
        <f aca="false">(K226/H226*F226/I226)</f>
        <v>1.21800651353521</v>
      </c>
      <c r="O226" s="7" t="n">
        <f aca="false">(E226/H226*F226/C226)</f>
        <v>0.85038264334504</v>
      </c>
      <c r="P226" s="7" t="n">
        <f aca="false">(IF(L226&gt;1,L226,1/L226) - 1)*100</f>
        <v>10.2185228405129</v>
      </c>
      <c r="Q226" s="7" t="n">
        <f aca="false">(IF(M226&gt;1,M226,1/M226) - 1)*100</f>
        <v>10.6975964238934</v>
      </c>
      <c r="R226" s="7" t="n">
        <f aca="false">(IF(N226&gt;1,N226,1/N226) - 1)*100</f>
        <v>21.8006513535206</v>
      </c>
      <c r="S226" s="7" t="n">
        <f aca="false">(IF(O226&gt;1,O226,1/O226) - 1)*100</f>
        <v>17.5941216375759</v>
      </c>
      <c r="T226" s="9" t="n">
        <f aca="false">(P226+Q226) &lt; (R226+S226)</f>
        <v>1</v>
      </c>
      <c r="U226" s="10" t="n">
        <f aca="false">IF($T226,P226,R226)</f>
        <v>10.2185228405129</v>
      </c>
      <c r="V226" s="11" t="n">
        <f aca="false">IF($T226,Q226,S226)</f>
        <v>10.6975964238934</v>
      </c>
      <c r="W226" s="12" t="n">
        <f aca="false">P226 &lt; R226</f>
        <v>1</v>
      </c>
      <c r="X226" s="10" t="n">
        <f aca="false">IF($W226,P226,R226)</f>
        <v>10.2185228405129</v>
      </c>
      <c r="Y226" s="1" t="n">
        <v>314120</v>
      </c>
      <c r="Z226" s="1" t="s">
        <v>275</v>
      </c>
      <c r="AA226" s="12" t="n">
        <f aca="false">T226=W226</f>
        <v>1</v>
      </c>
    </row>
    <row r="227" customFormat="false" ht="12.8" hidden="false" customHeight="false" outlineLevel="0" collapsed="false">
      <c r="A227" s="1" t="s">
        <v>276</v>
      </c>
      <c r="B227" s="1" t="n">
        <v>314900</v>
      </c>
      <c r="C227" s="1" t="n">
        <v>9906</v>
      </c>
      <c r="D227" s="1" t="n">
        <v>4258</v>
      </c>
      <c r="E227" s="1" t="n">
        <v>3370</v>
      </c>
      <c r="F227" s="1" t="n">
        <v>9129</v>
      </c>
      <c r="G227" s="1" t="n">
        <v>3447</v>
      </c>
      <c r="H227" s="1" t="n">
        <v>2590</v>
      </c>
      <c r="I227" s="1" t="n">
        <v>9064</v>
      </c>
      <c r="J227" s="1" t="n">
        <v>4216</v>
      </c>
      <c r="K227" s="1" t="n">
        <v>3122</v>
      </c>
      <c r="L227" s="7" t="n">
        <f aca="false">(J227/G227*F227/I227)</f>
        <v>1.23186361831194</v>
      </c>
      <c r="M227" s="7" t="n">
        <f aca="false">(D227/G227*F227/C227)</f>
        <v>1.1383852425155</v>
      </c>
      <c r="N227" s="7" t="n">
        <f aca="false">(K227/H227*F227/I227)</f>
        <v>1.21404964099139</v>
      </c>
      <c r="O227" s="7" t="n">
        <f aca="false">(E227/H227*F227/C227)</f>
        <v>1.19909894319343</v>
      </c>
      <c r="P227" s="7" t="n">
        <f aca="false">(IF(L227&gt;1,L227,1/L227) - 1)*100</f>
        <v>23.1863618311944</v>
      </c>
      <c r="Q227" s="7" t="n">
        <f aca="false">(IF(M227&gt;1,M227,1/M227) - 1)*100</f>
        <v>13.8385242515503</v>
      </c>
      <c r="R227" s="7" t="n">
        <f aca="false">(IF(N227&gt;1,N227,1/N227) - 1)*100</f>
        <v>21.4049640991389</v>
      </c>
      <c r="S227" s="7" t="n">
        <f aca="false">(IF(O227&gt;1,O227,1/O227) - 1)*100</f>
        <v>19.9098943193432</v>
      </c>
      <c r="T227" s="9" t="n">
        <f aca="false">(P227+Q227) &lt; (R227+S227)</f>
        <v>1</v>
      </c>
      <c r="U227" s="10" t="n">
        <f aca="false">IF($T227,P227,R227)</f>
        <v>23.1863618311944</v>
      </c>
      <c r="V227" s="11" t="n">
        <f aca="false">IF($T227,Q227,S227)</f>
        <v>13.8385242515503</v>
      </c>
      <c r="W227" s="12" t="n">
        <f aca="false">P227 &lt; R227</f>
        <v>0</v>
      </c>
      <c r="X227" s="10" t="n">
        <f aca="false">IF($W227,P227,R227)</f>
        <v>21.4049640991389</v>
      </c>
      <c r="Y227" s="1" t="n">
        <v>314900</v>
      </c>
      <c r="Z227" s="1" t="s">
        <v>276</v>
      </c>
      <c r="AA227" s="12" t="n">
        <f aca="false">T227=W227</f>
        <v>0</v>
      </c>
    </row>
    <row r="228" customFormat="false" ht="12.8" hidden="false" customHeight="false" outlineLevel="0" collapsed="false">
      <c r="A228" s="1" t="s">
        <v>277</v>
      </c>
      <c r="B228" s="1" t="n">
        <v>315000</v>
      </c>
      <c r="C228" s="1" t="n">
        <v>21237</v>
      </c>
      <c r="D228" s="1" t="n">
        <v>8793</v>
      </c>
      <c r="E228" s="1" t="n">
        <v>7765</v>
      </c>
      <c r="F228" s="1" t="n">
        <v>12228</v>
      </c>
      <c r="G228" s="1" t="n">
        <v>7112</v>
      </c>
      <c r="H228" s="1" t="n">
        <v>6236</v>
      </c>
      <c r="I228" s="1" t="n">
        <v>10867</v>
      </c>
      <c r="J228" s="1" t="n">
        <v>7199</v>
      </c>
      <c r="K228" s="1" t="n">
        <v>6329</v>
      </c>
      <c r="L228" s="7" t="n">
        <f aca="false">(J228/G228*F228/I228)</f>
        <v>1.13900646356815</v>
      </c>
      <c r="M228" s="7" t="n">
        <f aca="false">(D228/G228*F228/C228)</f>
        <v>0.711881305485211</v>
      </c>
      <c r="N228" s="7" t="n">
        <f aca="false">(K228/H228*F228/I228)</f>
        <v>1.14202274122838</v>
      </c>
      <c r="O228" s="7" t="n">
        <f aca="false">(E228/H228*F228/C228)</f>
        <v>0.716964440805095</v>
      </c>
      <c r="P228" s="7" t="n">
        <f aca="false">(IF(L228&gt;1,L228,1/L228) - 1)*100</f>
        <v>13.9006463568147</v>
      </c>
      <c r="Q228" s="7" t="n">
        <f aca="false">(IF(M228&gt;1,M228,1/M228) - 1)*100</f>
        <v>40.472855839136</v>
      </c>
      <c r="R228" s="7" t="n">
        <f aca="false">(IF(N228&gt;1,N228,1/N228) - 1)*100</f>
        <v>14.202274122838</v>
      </c>
      <c r="S228" s="7" t="n">
        <f aca="false">(IF(O228&gt;1,O228,1/O228) - 1)*100</f>
        <v>39.4769312236849</v>
      </c>
      <c r="T228" s="9" t="n">
        <f aca="false">(P228+Q228) &lt; (R228+S228)</f>
        <v>0</v>
      </c>
      <c r="U228" s="10" t="n">
        <f aca="false">IF($T228,P228,R228)</f>
        <v>14.202274122838</v>
      </c>
      <c r="V228" s="11" t="n">
        <f aca="false">IF($T228,Q228,S228)</f>
        <v>39.4769312236849</v>
      </c>
      <c r="W228" s="12" t="n">
        <f aca="false">P228 &lt; R228</f>
        <v>1</v>
      </c>
      <c r="X228" s="10" t="n">
        <f aca="false">IF($W228,P228,R228)</f>
        <v>13.9006463568147</v>
      </c>
      <c r="Y228" s="1" t="n">
        <v>315000</v>
      </c>
      <c r="Z228" s="1" t="s">
        <v>277</v>
      </c>
      <c r="AA228" s="12" t="n">
        <f aca="false">T228=W228</f>
        <v>0</v>
      </c>
    </row>
    <row r="229" customFormat="false" ht="12.8" hidden="false" customHeight="false" outlineLevel="0" collapsed="false">
      <c r="A229" s="1" t="s">
        <v>278</v>
      </c>
      <c r="B229" s="1" t="n">
        <v>316000</v>
      </c>
      <c r="C229" s="1" t="n">
        <v>8582</v>
      </c>
      <c r="D229" s="1" t="n">
        <v>3040</v>
      </c>
      <c r="E229" s="1" t="n">
        <v>2886</v>
      </c>
      <c r="F229" s="1" t="n">
        <v>7003</v>
      </c>
      <c r="G229" s="1" t="n">
        <v>2883</v>
      </c>
      <c r="H229" s="1" t="n">
        <v>1931</v>
      </c>
      <c r="I229" s="1" t="n">
        <v>4829</v>
      </c>
      <c r="J229" s="1" t="n">
        <v>2235</v>
      </c>
      <c r="K229" s="1" t="n">
        <v>1556</v>
      </c>
      <c r="L229" s="7" t="n">
        <f aca="false">(J229/G229*F229/I229)</f>
        <v>1.12424200045295</v>
      </c>
      <c r="M229" s="7" t="n">
        <f aca="false">(D229/G229*F229/C229)</f>
        <v>0.860447857169937</v>
      </c>
      <c r="N229" s="7" t="n">
        <f aca="false">(K229/H229*F229/I229)</f>
        <v>1.16856867370546</v>
      </c>
      <c r="O229" s="7" t="n">
        <f aca="false">(E229/H229*F229/C229)</f>
        <v>1.21957824603928</v>
      </c>
      <c r="P229" s="7" t="n">
        <f aca="false">(IF(L229&gt;1,L229,1/L229) - 1)*100</f>
        <v>12.4242000452952</v>
      </c>
      <c r="Q229" s="7" t="n">
        <f aca="false">(IF(M229&gt;1,M229,1/M229) - 1)*100</f>
        <v>16.2185473143089</v>
      </c>
      <c r="R229" s="7" t="n">
        <f aca="false">(IF(N229&gt;1,N229,1/N229) - 1)*100</f>
        <v>16.856867370546</v>
      </c>
      <c r="S229" s="7" t="n">
        <f aca="false">(IF(O229&gt;1,O229,1/O229) - 1)*100</f>
        <v>21.9578246039275</v>
      </c>
      <c r="T229" s="9" t="n">
        <f aca="false">(P229+Q229) &lt; (R229+S229)</f>
        <v>1</v>
      </c>
      <c r="U229" s="10" t="n">
        <f aca="false">IF($T229,P229,R229)</f>
        <v>12.4242000452952</v>
      </c>
      <c r="V229" s="11" t="n">
        <f aca="false">IF($T229,Q229,S229)</f>
        <v>16.2185473143089</v>
      </c>
      <c r="W229" s="12" t="n">
        <f aca="false">P229 &lt; R229</f>
        <v>1</v>
      </c>
      <c r="X229" s="10" t="n">
        <f aca="false">IF($W229,P229,R229)</f>
        <v>12.4242000452952</v>
      </c>
      <c r="Y229" s="1" t="n">
        <v>316000</v>
      </c>
      <c r="Z229" s="1" t="s">
        <v>278</v>
      </c>
      <c r="AA229" s="12" t="n">
        <f aca="false">T229=W229</f>
        <v>1</v>
      </c>
    </row>
    <row r="230" customFormat="false" ht="12.8" hidden="false" customHeight="false" outlineLevel="0" collapsed="false">
      <c r="A230" s="1" t="s">
        <v>279</v>
      </c>
      <c r="B230" s="1" t="n">
        <v>322110</v>
      </c>
      <c r="C230" s="1" t="n">
        <v>5078</v>
      </c>
      <c r="D230" s="1" t="n">
        <v>1766</v>
      </c>
      <c r="E230" s="1" t="n">
        <v>697</v>
      </c>
      <c r="F230" s="1" t="n">
        <v>6009</v>
      </c>
      <c r="G230" s="1" t="n">
        <v>1698</v>
      </c>
      <c r="H230" s="1" t="n">
        <v>645</v>
      </c>
      <c r="I230" s="1" t="n">
        <v>6825</v>
      </c>
      <c r="J230" s="1" t="n">
        <v>1996</v>
      </c>
      <c r="K230" s="1" t="n">
        <v>546</v>
      </c>
      <c r="L230" s="7" t="n">
        <f aca="false">(J230/G230*F230/I230)</f>
        <v>1.03495722181235</v>
      </c>
      <c r="M230" s="7" t="n">
        <f aca="false">(D230/G230*F230/C230)</f>
        <v>1.23072924567559</v>
      </c>
      <c r="N230" s="7" t="n">
        <f aca="false">(K230/H230*F230/I230)</f>
        <v>0.745302325581395</v>
      </c>
      <c r="O230" s="7" t="n">
        <f aca="false">(E230/H230*F230/C230)</f>
        <v>1.27874094360534</v>
      </c>
      <c r="P230" s="7" t="n">
        <f aca="false">(IF(L230&gt;1,L230,1/L230) - 1)*100</f>
        <v>3.49572218123455</v>
      </c>
      <c r="Q230" s="7" t="n">
        <f aca="false">(IF(M230&gt;1,M230,1/M230) - 1)*100</f>
        <v>23.0729245675588</v>
      </c>
      <c r="R230" s="7" t="n">
        <f aca="false">(IF(N230&gt;1,N230,1/N230) - 1)*100</f>
        <v>34.1737393909136</v>
      </c>
      <c r="S230" s="7" t="n">
        <f aca="false">(IF(O230&gt;1,O230,1/O230) - 1)*100</f>
        <v>27.8740943605338</v>
      </c>
      <c r="T230" s="9" t="n">
        <f aca="false">(P230+Q230) &lt; (R230+S230)</f>
        <v>1</v>
      </c>
      <c r="U230" s="10" t="n">
        <f aca="false">IF($T230,P230,R230)</f>
        <v>3.49572218123455</v>
      </c>
      <c r="V230" s="11" t="n">
        <f aca="false">IF($T230,Q230,S230)</f>
        <v>23.0729245675588</v>
      </c>
      <c r="W230" s="12" t="n">
        <f aca="false">P230 &lt; R230</f>
        <v>1</v>
      </c>
      <c r="X230" s="10" t="n">
        <f aca="false">IF($W230,P230,R230)</f>
        <v>3.49572218123455</v>
      </c>
      <c r="Y230" s="1" t="n">
        <v>322110</v>
      </c>
      <c r="Z230" s="1" t="s">
        <v>279</v>
      </c>
      <c r="AA230" s="12" t="n">
        <f aca="false">T230=W230</f>
        <v>1</v>
      </c>
    </row>
    <row r="231" customFormat="false" ht="12.8" hidden="false" customHeight="false" outlineLevel="0" collapsed="false">
      <c r="A231" s="1" t="s">
        <v>280</v>
      </c>
      <c r="B231" s="1" t="n">
        <v>322120</v>
      </c>
      <c r="C231" s="1" t="n">
        <v>50137</v>
      </c>
      <c r="D231" s="1" t="n">
        <v>17377</v>
      </c>
      <c r="E231" s="1" t="n">
        <v>8140</v>
      </c>
      <c r="F231" s="1" t="n">
        <v>47051</v>
      </c>
      <c r="G231" s="1" t="n">
        <v>15491</v>
      </c>
      <c r="H231" s="1" t="n">
        <v>6973</v>
      </c>
      <c r="I231" s="1" t="n">
        <v>37741</v>
      </c>
      <c r="J231" s="1" t="n">
        <v>12703</v>
      </c>
      <c r="K231" s="1" t="n">
        <v>6588</v>
      </c>
      <c r="L231" s="7" t="n">
        <f aca="false">(J231/G231*F231/I231)</f>
        <v>1.02230927051629</v>
      </c>
      <c r="M231" s="7" t="n">
        <f aca="false">(D231/G231*F231/C231)</f>
        <v>1.05270300194715</v>
      </c>
      <c r="N231" s="7" t="n">
        <f aca="false">(K231/H231*F231/I231)</f>
        <v>1.17784835635388</v>
      </c>
      <c r="O231" s="7" t="n">
        <f aca="false">(E231/H231*F231/C231)</f>
        <v>1.09550724461126</v>
      </c>
      <c r="P231" s="7" t="n">
        <f aca="false">(IF(L231&gt;1,L231,1/L231) - 1)*100</f>
        <v>2.23092705162897</v>
      </c>
      <c r="Q231" s="7" t="n">
        <f aca="false">(IF(M231&gt;1,M231,1/M231) - 1)*100</f>
        <v>5.27030019471519</v>
      </c>
      <c r="R231" s="7" t="n">
        <f aca="false">(IF(N231&gt;1,N231,1/N231) - 1)*100</f>
        <v>17.7848356353882</v>
      </c>
      <c r="S231" s="7" t="n">
        <f aca="false">(IF(O231&gt;1,O231,1/O231) - 1)*100</f>
        <v>9.55072446112595</v>
      </c>
      <c r="T231" s="9" t="n">
        <f aca="false">(P231+Q231) &lt; (R231+S231)</f>
        <v>1</v>
      </c>
      <c r="U231" s="10" t="n">
        <f aca="false">IF($T231,P231,R231)</f>
        <v>2.23092705162897</v>
      </c>
      <c r="V231" s="11" t="n">
        <f aca="false">IF($T231,Q231,S231)</f>
        <v>5.27030019471519</v>
      </c>
      <c r="W231" s="12" t="n">
        <f aca="false">P231 &lt; R231</f>
        <v>1</v>
      </c>
      <c r="X231" s="10" t="n">
        <f aca="false">IF($W231,P231,R231)</f>
        <v>2.23092705162897</v>
      </c>
      <c r="Y231" s="1" t="n">
        <v>322120</v>
      </c>
      <c r="Z231" s="1" t="s">
        <v>280</v>
      </c>
      <c r="AA231" s="12" t="n">
        <f aca="false">T231=W231</f>
        <v>1</v>
      </c>
    </row>
    <row r="232" customFormat="false" ht="12.8" hidden="false" customHeight="false" outlineLevel="0" collapsed="false">
      <c r="A232" s="1" t="s">
        <v>281</v>
      </c>
      <c r="B232" s="1" t="n">
        <v>322130</v>
      </c>
      <c r="C232" s="1" t="n">
        <v>25368</v>
      </c>
      <c r="D232" s="1" t="n">
        <v>8952</v>
      </c>
      <c r="E232" s="1" t="n">
        <v>3225</v>
      </c>
      <c r="F232" s="1" t="n">
        <v>28370</v>
      </c>
      <c r="G232" s="1" t="n">
        <v>8888</v>
      </c>
      <c r="H232" s="1" t="n">
        <v>3019</v>
      </c>
      <c r="I232" s="1" t="n">
        <v>32834</v>
      </c>
      <c r="J232" s="1" t="n">
        <v>10812</v>
      </c>
      <c r="K232" s="1" t="n">
        <v>3313</v>
      </c>
      <c r="L232" s="7" t="n">
        <f aca="false">(J232/G232*F232/I232)</f>
        <v>1.05108426113367</v>
      </c>
      <c r="M232" s="7" t="n">
        <f aca="false">(D232/G232*F232/C232)</f>
        <v>1.12639090304489</v>
      </c>
      <c r="N232" s="7" t="n">
        <f aca="false">(K232/H232*F232/I232)</f>
        <v>0.948186712071037</v>
      </c>
      <c r="O232" s="7" t="n">
        <f aca="false">(E232/H232*F232/C232)</f>
        <v>1.19464731879428</v>
      </c>
      <c r="P232" s="7" t="n">
        <f aca="false">(IF(L232&gt;1,L232,1/L232) - 1)*100</f>
        <v>5.10842611336726</v>
      </c>
      <c r="Q232" s="7" t="n">
        <f aca="false">(IF(M232&gt;1,M232,1/M232) - 1)*100</f>
        <v>12.6390903044893</v>
      </c>
      <c r="R232" s="7" t="n">
        <f aca="false">(IF(N232&gt;1,N232,1/N232) - 1)*100</f>
        <v>5.46446045587283</v>
      </c>
      <c r="S232" s="7" t="n">
        <f aca="false">(IF(O232&gt;1,O232,1/O232) - 1)*100</f>
        <v>19.4647318794278</v>
      </c>
      <c r="T232" s="9" t="n">
        <f aca="false">(P232+Q232) &lt; (R232+S232)</f>
        <v>1</v>
      </c>
      <c r="U232" s="10" t="n">
        <f aca="false">IF($T232,P232,R232)</f>
        <v>5.10842611336726</v>
      </c>
      <c r="V232" s="11" t="n">
        <f aca="false">IF($T232,Q232,S232)</f>
        <v>12.6390903044893</v>
      </c>
      <c r="W232" s="12" t="n">
        <f aca="false">P232 &lt; R232</f>
        <v>1</v>
      </c>
      <c r="X232" s="10" t="n">
        <f aca="false">IF($W232,P232,R232)</f>
        <v>5.10842611336726</v>
      </c>
      <c r="Y232" s="1" t="n">
        <v>322130</v>
      </c>
      <c r="Z232" s="1" t="s">
        <v>281</v>
      </c>
      <c r="AA232" s="12" t="n">
        <f aca="false">T232=W232</f>
        <v>1</v>
      </c>
    </row>
    <row r="233" customFormat="false" ht="12.8" hidden="false" customHeight="false" outlineLevel="0" collapsed="false">
      <c r="A233" s="1" t="s">
        <v>282</v>
      </c>
      <c r="B233" s="1" t="n">
        <v>322210</v>
      </c>
      <c r="C233" s="1" t="n">
        <v>49469</v>
      </c>
      <c r="D233" s="1" t="n">
        <v>12852</v>
      </c>
      <c r="E233" s="1" t="n">
        <v>10172</v>
      </c>
      <c r="F233" s="1" t="n">
        <v>52741</v>
      </c>
      <c r="G233" s="1" t="n">
        <v>12944</v>
      </c>
      <c r="H233" s="1" t="n">
        <v>9959</v>
      </c>
      <c r="I233" s="1" t="n">
        <v>64649</v>
      </c>
      <c r="J233" s="1" t="n">
        <v>16577</v>
      </c>
      <c r="K233" s="1" t="n">
        <v>11028</v>
      </c>
      <c r="L233" s="7" t="n">
        <f aca="false">(J233/G233*F233/I233)</f>
        <v>1.0447779101089</v>
      </c>
      <c r="M233" s="7" t="n">
        <f aca="false">(D233/G233*F233/C233)</f>
        <v>1.05856478246443</v>
      </c>
      <c r="N233" s="7" t="n">
        <f aca="false">(K233/H233*F233/I233)</f>
        <v>0.903373972034588</v>
      </c>
      <c r="O233" s="7" t="n">
        <f aca="false">(E233/H233*F233/C233)</f>
        <v>1.08894475597539</v>
      </c>
      <c r="P233" s="7" t="n">
        <f aca="false">(IF(L233&gt;1,L233,1/L233) - 1)*100</f>
        <v>4.47779101089021</v>
      </c>
      <c r="Q233" s="7" t="n">
        <f aca="false">(IF(M233&gt;1,M233,1/M233) - 1)*100</f>
        <v>5.85647824644322</v>
      </c>
      <c r="R233" s="7" t="n">
        <f aca="false">(IF(N233&gt;1,N233,1/N233) - 1)*100</f>
        <v>10.696127069921</v>
      </c>
      <c r="S233" s="7" t="n">
        <f aca="false">(IF(O233&gt;1,O233,1/O233) - 1)*100</f>
        <v>8.89447559753931</v>
      </c>
      <c r="T233" s="9" t="n">
        <f aca="false">(P233+Q233) &lt; (R233+S233)</f>
        <v>1</v>
      </c>
      <c r="U233" s="10" t="n">
        <f aca="false">IF($T233,P233,R233)</f>
        <v>4.47779101089021</v>
      </c>
      <c r="V233" s="11" t="n">
        <f aca="false">IF($T233,Q233,S233)</f>
        <v>5.85647824644322</v>
      </c>
      <c r="W233" s="12" t="n">
        <f aca="false">P233 &lt; R233</f>
        <v>1</v>
      </c>
      <c r="X233" s="10" t="n">
        <f aca="false">IF($W233,P233,R233)</f>
        <v>4.47779101089021</v>
      </c>
      <c r="Y233" s="1" t="n">
        <v>322210</v>
      </c>
      <c r="Z233" s="1" t="s">
        <v>282</v>
      </c>
      <c r="AA233" s="12" t="n">
        <f aca="false">T233=W233</f>
        <v>1</v>
      </c>
    </row>
    <row r="234" customFormat="false" ht="12.8" hidden="false" customHeight="false" outlineLevel="0" collapsed="false">
      <c r="A234" s="1" t="s">
        <v>283</v>
      </c>
      <c r="B234" s="1" t="n">
        <v>322220</v>
      </c>
      <c r="C234" s="1" t="n">
        <v>21233</v>
      </c>
      <c r="D234" s="1" t="n">
        <v>6760</v>
      </c>
      <c r="E234" s="1" t="n">
        <v>4404</v>
      </c>
      <c r="F234" s="1" t="n">
        <v>21045</v>
      </c>
      <c r="G234" s="1" t="n">
        <v>6321</v>
      </c>
      <c r="H234" s="1" t="n">
        <v>4055</v>
      </c>
      <c r="I234" s="1" t="n">
        <v>21459</v>
      </c>
      <c r="J234" s="1" t="n">
        <v>6859</v>
      </c>
      <c r="K234" s="1" t="n">
        <v>4281</v>
      </c>
      <c r="L234" s="7" t="n">
        <f aca="false">(J234/G234*F234/I234)</f>
        <v>1.06417845684599</v>
      </c>
      <c r="M234" s="7" t="n">
        <f aca="false">(D234/G234*F234/C234)</f>
        <v>1.05998196474486</v>
      </c>
      <c r="N234" s="7" t="n">
        <f aca="false">(K234/H234*F234/I234)</f>
        <v>1.03536581014269</v>
      </c>
      <c r="O234" s="7" t="n">
        <f aca="false">(E234/H234*F234/C234)</f>
        <v>1.07645039655428</v>
      </c>
      <c r="P234" s="7" t="n">
        <f aca="false">(IF(L234&gt;1,L234,1/L234) - 1)*100</f>
        <v>6.41784568459853</v>
      </c>
      <c r="Q234" s="7" t="n">
        <f aca="false">(IF(M234&gt;1,M234,1/M234) - 1)*100</f>
        <v>5.99819647448605</v>
      </c>
      <c r="R234" s="7" t="n">
        <f aca="false">(IF(N234&gt;1,N234,1/N234) - 1)*100</f>
        <v>3.53658101426924</v>
      </c>
      <c r="S234" s="7" t="n">
        <f aca="false">(IF(O234&gt;1,O234,1/O234) - 1)*100</f>
        <v>7.64503965542784</v>
      </c>
      <c r="T234" s="9" t="n">
        <f aca="false">(P234+Q234) &lt; (R234+S234)</f>
        <v>0</v>
      </c>
      <c r="U234" s="10" t="n">
        <f aca="false">IF($T234,P234,R234)</f>
        <v>3.53658101426924</v>
      </c>
      <c r="V234" s="11" t="n">
        <f aca="false">IF($T234,Q234,S234)</f>
        <v>7.64503965542784</v>
      </c>
      <c r="W234" s="12" t="n">
        <f aca="false">P234 &lt; R234</f>
        <v>0</v>
      </c>
      <c r="X234" s="10" t="n">
        <f aca="false">IF($W234,P234,R234)</f>
        <v>3.53658101426924</v>
      </c>
      <c r="Y234" s="1" t="n">
        <v>322220</v>
      </c>
      <c r="Z234" s="1" t="s">
        <v>283</v>
      </c>
      <c r="AA234" s="12" t="n">
        <f aca="false">T234=W234</f>
        <v>1</v>
      </c>
    </row>
    <row r="235" customFormat="false" ht="12.8" hidden="false" customHeight="false" outlineLevel="0" collapsed="false">
      <c r="A235" s="1" t="s">
        <v>284</v>
      </c>
      <c r="B235" s="1" t="n">
        <v>322230</v>
      </c>
      <c r="C235" s="1" t="n">
        <v>7820</v>
      </c>
      <c r="D235" s="1" t="n">
        <v>1781</v>
      </c>
      <c r="E235" s="1" t="n">
        <v>1324</v>
      </c>
      <c r="F235" s="1" t="n">
        <v>6764</v>
      </c>
      <c r="G235" s="1" t="n">
        <v>1703</v>
      </c>
      <c r="H235" s="1" t="n">
        <v>1226</v>
      </c>
      <c r="I235" s="1" t="n">
        <v>5687</v>
      </c>
      <c r="J235" s="1" t="n">
        <v>1340</v>
      </c>
      <c r="K235" s="1" t="n">
        <v>1063</v>
      </c>
      <c r="L235" s="7" t="n">
        <f aca="false">(J235/G235*F235/I235)</f>
        <v>0.935859215127454</v>
      </c>
      <c r="M235" s="7" t="n">
        <f aca="false">(D235/G235*F235/C235)</f>
        <v>0.904578200347514</v>
      </c>
      <c r="N235" s="7" t="n">
        <f aca="false">(K235/H235*F235/I235)</f>
        <v>1.03124810857653</v>
      </c>
      <c r="O235" s="7" t="n">
        <f aca="false">(E235/H235*F235/C235)</f>
        <v>0.93410212655883</v>
      </c>
      <c r="P235" s="7" t="n">
        <f aca="false">(IF(L235&gt;1,L235,1/L235) - 1)*100</f>
        <v>6.8536788264473</v>
      </c>
      <c r="Q235" s="7" t="n">
        <f aca="false">(IF(M235&gt;1,M235,1/M235) - 1)*100</f>
        <v>10.5487618003427</v>
      </c>
      <c r="R235" s="7" t="n">
        <f aca="false">(IF(N235&gt;1,N235,1/N235) - 1)*100</f>
        <v>3.12481085765279</v>
      </c>
      <c r="S235" s="7" t="n">
        <f aca="false">(IF(O235&gt;1,O235,1/O235) - 1)*100</f>
        <v>7.05467545437815</v>
      </c>
      <c r="T235" s="9" t="n">
        <f aca="false">(P235+Q235) &lt; (R235+S235)</f>
        <v>0</v>
      </c>
      <c r="U235" s="10" t="n">
        <f aca="false">IF($T235,P235,R235)</f>
        <v>3.12481085765279</v>
      </c>
      <c r="V235" s="11" t="n">
        <f aca="false">IF($T235,Q235,S235)</f>
        <v>7.05467545437815</v>
      </c>
      <c r="W235" s="12" t="n">
        <f aca="false">P235 &lt; R235</f>
        <v>0</v>
      </c>
      <c r="X235" s="10" t="n">
        <f aca="false">IF($W235,P235,R235)</f>
        <v>3.12481085765279</v>
      </c>
      <c r="Y235" s="1" t="n">
        <v>322230</v>
      </c>
      <c r="Z235" s="1" t="s">
        <v>284</v>
      </c>
      <c r="AA235" s="12" t="n">
        <f aca="false">T235=W235</f>
        <v>1</v>
      </c>
    </row>
    <row r="236" customFormat="false" ht="12.8" hidden="false" customHeight="false" outlineLevel="0" collapsed="false">
      <c r="A236" s="1" t="s">
        <v>285</v>
      </c>
      <c r="B236" s="1" t="n">
        <v>322291</v>
      </c>
      <c r="C236" s="1" t="n">
        <v>10270</v>
      </c>
      <c r="D236" s="1" t="n">
        <v>4596</v>
      </c>
      <c r="E236" s="1" t="n">
        <v>2523</v>
      </c>
      <c r="F236" s="1" t="n">
        <v>12106</v>
      </c>
      <c r="G236" s="1" t="n">
        <v>4371</v>
      </c>
      <c r="H236" s="1" t="n">
        <v>2324</v>
      </c>
      <c r="I236" s="1" t="n">
        <v>11382</v>
      </c>
      <c r="J236" s="1" t="n">
        <v>3798</v>
      </c>
      <c r="K236" s="1" t="n">
        <v>2476</v>
      </c>
      <c r="L236" s="7" t="n">
        <f aca="false">(J236/G236*F236/I236)</f>
        <v>0.924179311407782</v>
      </c>
      <c r="M236" s="7" t="n">
        <f aca="false">(D236/G236*F236/C236)</f>
        <v>1.23945122061244</v>
      </c>
      <c r="N236" s="7" t="n">
        <f aca="false">(K236/H236*F236/I236)</f>
        <v>1.13317400938947</v>
      </c>
      <c r="O236" s="7" t="n">
        <f aca="false">(E236/H236*F236/C236)</f>
        <v>1.27970937861894</v>
      </c>
      <c r="P236" s="7" t="n">
        <f aca="false">(IF(L236&gt;1,L236,1/L236) - 1)*100</f>
        <v>8.20411013926743</v>
      </c>
      <c r="Q236" s="7" t="n">
        <f aca="false">(IF(M236&gt;1,M236,1/M236) - 1)*100</f>
        <v>23.9451220612442</v>
      </c>
      <c r="R236" s="7" t="n">
        <f aca="false">(IF(N236&gt;1,N236,1/N236) - 1)*100</f>
        <v>13.3174009389467</v>
      </c>
      <c r="S236" s="7" t="n">
        <f aca="false">(IF(O236&gt;1,O236,1/O236) - 1)*100</f>
        <v>27.9709378618941</v>
      </c>
      <c r="T236" s="9" t="n">
        <f aca="false">(P236+Q236) &lt; (R236+S236)</f>
        <v>1</v>
      </c>
      <c r="U236" s="10" t="n">
        <f aca="false">IF($T236,P236,R236)</f>
        <v>8.20411013926743</v>
      </c>
      <c r="V236" s="11" t="n">
        <f aca="false">IF($T236,Q236,S236)</f>
        <v>23.9451220612442</v>
      </c>
      <c r="W236" s="12" t="n">
        <f aca="false">P236 &lt; R236</f>
        <v>1</v>
      </c>
      <c r="X236" s="10" t="n">
        <f aca="false">IF($W236,P236,R236)</f>
        <v>8.20411013926743</v>
      </c>
      <c r="Y236" s="1" t="n">
        <v>322291</v>
      </c>
      <c r="Z236" s="1" t="s">
        <v>285</v>
      </c>
      <c r="AA236" s="12" t="n">
        <f aca="false">T236=W236</f>
        <v>1</v>
      </c>
    </row>
    <row r="237" customFormat="false" ht="12.8" hidden="false" customHeight="false" outlineLevel="0" collapsed="false">
      <c r="A237" s="1" t="s">
        <v>286</v>
      </c>
      <c r="B237" s="1" t="n">
        <v>322299</v>
      </c>
      <c r="C237" s="1" t="n">
        <v>4742</v>
      </c>
      <c r="D237" s="1" t="n">
        <v>1545</v>
      </c>
      <c r="E237" s="1" t="n">
        <v>893</v>
      </c>
      <c r="F237" s="1" t="n">
        <v>5050</v>
      </c>
      <c r="G237" s="1" t="n">
        <v>1639</v>
      </c>
      <c r="H237" s="1" t="n">
        <v>923</v>
      </c>
      <c r="I237" s="1" t="n">
        <v>4603</v>
      </c>
      <c r="J237" s="1" t="n">
        <v>1692</v>
      </c>
      <c r="K237" s="1" t="n">
        <v>1091</v>
      </c>
      <c r="L237" s="7" t="n">
        <f aca="false">(J237/G237*F237/I237)</f>
        <v>1.13258761528711</v>
      </c>
      <c r="M237" s="7" t="n">
        <f aca="false">(D237/G237*F237/C237)</f>
        <v>1.00387435220527</v>
      </c>
      <c r="N237" s="7" t="n">
        <f aca="false">(K237/H237*F237/I237)</f>
        <v>1.29680134652397</v>
      </c>
      <c r="O237" s="7" t="n">
        <f aca="false">(E237/H237*F237/C237)</f>
        <v>1.03033768911363</v>
      </c>
      <c r="P237" s="7" t="n">
        <f aca="false">(IF(L237&gt;1,L237,1/L237) - 1)*100</f>
        <v>13.2587615287109</v>
      </c>
      <c r="Q237" s="7" t="n">
        <f aca="false">(IF(M237&gt;1,M237,1/M237) - 1)*100</f>
        <v>0.387435220527488</v>
      </c>
      <c r="R237" s="7" t="n">
        <f aca="false">(IF(N237&gt;1,N237,1/N237) - 1)*100</f>
        <v>29.6801346523971</v>
      </c>
      <c r="S237" s="7" t="n">
        <f aca="false">(IF(O237&gt;1,O237,1/O237) - 1)*100</f>
        <v>3.03376891136262</v>
      </c>
      <c r="T237" s="9" t="n">
        <f aca="false">(P237+Q237) &lt; (R237+S237)</f>
        <v>1</v>
      </c>
      <c r="U237" s="10" t="n">
        <f aca="false">IF($T237,P237,R237)</f>
        <v>13.2587615287109</v>
      </c>
      <c r="V237" s="11" t="n">
        <f aca="false">IF($T237,Q237,S237)</f>
        <v>0.387435220527488</v>
      </c>
      <c r="W237" s="12" t="n">
        <f aca="false">P237 &lt; R237</f>
        <v>1</v>
      </c>
      <c r="X237" s="10" t="n">
        <f aca="false">IF($W237,P237,R237)</f>
        <v>13.2587615287109</v>
      </c>
      <c r="Y237" s="1" t="n">
        <v>322299</v>
      </c>
      <c r="Z237" s="1" t="s">
        <v>286</v>
      </c>
      <c r="AA237" s="12" t="n">
        <f aca="false">T237=W237</f>
        <v>1</v>
      </c>
    </row>
    <row r="238" customFormat="false" ht="12.8" hidden="false" customHeight="false" outlineLevel="0" collapsed="false">
      <c r="A238" s="1" t="s">
        <v>287</v>
      </c>
      <c r="B238" s="1" t="n">
        <v>323110</v>
      </c>
      <c r="C238" s="1" t="n">
        <v>97871</v>
      </c>
      <c r="D238" s="1" t="n">
        <v>44360</v>
      </c>
      <c r="E238" s="1" t="n">
        <v>30978</v>
      </c>
      <c r="F238" s="1" t="n">
        <v>79143</v>
      </c>
      <c r="G238" s="1" t="n">
        <v>36007</v>
      </c>
      <c r="H238" s="1" t="n">
        <v>23934</v>
      </c>
      <c r="I238" s="1" t="n">
        <v>80677</v>
      </c>
      <c r="J238" s="1" t="n">
        <v>38696</v>
      </c>
      <c r="K238" s="1" t="n">
        <v>24702</v>
      </c>
      <c r="L238" s="7" t="n">
        <f aca="false">(J238/G238*F238/I238)</f>
        <v>1.05424585908685</v>
      </c>
      <c r="M238" s="7" t="n">
        <f aca="false">(D238/G238*F238/C238)</f>
        <v>0.996237950513322</v>
      </c>
      <c r="N238" s="7" t="n">
        <f aca="false">(K238/H238*F238/I238)</f>
        <v>1.01246402059349</v>
      </c>
      <c r="O238" s="7" t="n">
        <f aca="false">(E238/H238*F238/C238)</f>
        <v>1.0466381762074</v>
      </c>
      <c r="P238" s="7" t="n">
        <f aca="false">(IF(L238&gt;1,L238,1/L238) - 1)*100</f>
        <v>5.42458590868473</v>
      </c>
      <c r="Q238" s="7" t="n">
        <f aca="false">(IF(M238&gt;1,M238,1/M238) - 1)*100</f>
        <v>0.377625594843001</v>
      </c>
      <c r="R238" s="7" t="n">
        <f aca="false">(IF(N238&gt;1,N238,1/N238) - 1)*100</f>
        <v>1.24640205934889</v>
      </c>
      <c r="S238" s="7" t="n">
        <f aca="false">(IF(O238&gt;1,O238,1/O238) - 1)*100</f>
        <v>4.66381762074044</v>
      </c>
      <c r="T238" s="9" t="n">
        <f aca="false">(P238+Q238) &lt; (R238+S238)</f>
        <v>1</v>
      </c>
      <c r="U238" s="10" t="n">
        <f aca="false">IF($T238,P238,R238)</f>
        <v>5.42458590868473</v>
      </c>
      <c r="V238" s="11" t="n">
        <f aca="false">IF($T238,Q238,S238)</f>
        <v>0.377625594843001</v>
      </c>
      <c r="W238" s="12" t="n">
        <f aca="false">P238 &lt; R238</f>
        <v>0</v>
      </c>
      <c r="X238" s="10" t="n">
        <f aca="false">IF($W238,P238,R238)</f>
        <v>1.24640205934889</v>
      </c>
      <c r="Y238" s="1" t="n">
        <v>323110</v>
      </c>
      <c r="Z238" s="1" t="s">
        <v>287</v>
      </c>
      <c r="AA238" s="12" t="n">
        <f aca="false">T238=W238</f>
        <v>0</v>
      </c>
    </row>
    <row r="239" customFormat="false" ht="12.8" hidden="false" customHeight="false" outlineLevel="0" collapsed="false">
      <c r="A239" s="1" t="s">
        <v>288</v>
      </c>
      <c r="B239" s="1" t="n">
        <v>323120</v>
      </c>
      <c r="C239" s="1" t="n">
        <v>5576</v>
      </c>
      <c r="D239" s="1" t="n">
        <v>3289</v>
      </c>
      <c r="E239" s="1" t="n">
        <v>2361</v>
      </c>
      <c r="F239" s="1" t="n">
        <v>3890</v>
      </c>
      <c r="G239" s="1" t="n">
        <v>2385</v>
      </c>
      <c r="H239" s="1" t="n">
        <v>1637</v>
      </c>
      <c r="I239" s="1" t="n">
        <v>3196</v>
      </c>
      <c r="J239" s="1" t="n">
        <v>1856</v>
      </c>
      <c r="K239" s="1" t="n">
        <v>1531</v>
      </c>
      <c r="L239" s="7" t="n">
        <f aca="false">(J239/G239*F239/I239)</f>
        <v>0.947179781855202</v>
      </c>
      <c r="M239" s="7" t="n">
        <f aca="false">(D239/G239*F239/C239)</f>
        <v>0.962060372546012</v>
      </c>
      <c r="N239" s="7" t="n">
        <f aca="false">(K239/H239*F239/I239)</f>
        <v>1.13833304153099</v>
      </c>
      <c r="O239" s="7" t="n">
        <f aca="false">(E239/H239*F239/C239)</f>
        <v>1.00617643991309</v>
      </c>
      <c r="P239" s="7" t="n">
        <f aca="false">(IF(L239&gt;1,L239,1/L239) - 1)*100</f>
        <v>5.57657787430192</v>
      </c>
      <c r="Q239" s="7" t="n">
        <f aca="false">(IF(M239&gt;1,M239,1/M239) - 1)*100</f>
        <v>3.94358072909542</v>
      </c>
      <c r="R239" s="7" t="n">
        <f aca="false">(IF(N239&gt;1,N239,1/N239) - 1)*100</f>
        <v>13.8333041530991</v>
      </c>
      <c r="S239" s="7" t="n">
        <f aca="false">(IF(O239&gt;1,O239,1/O239) - 1)*100</f>
        <v>0.617643991309302</v>
      </c>
      <c r="T239" s="9" t="n">
        <f aca="false">(P239+Q239) &lt; (R239+S239)</f>
        <v>1</v>
      </c>
      <c r="U239" s="10" t="n">
        <f aca="false">IF($T239,P239,R239)</f>
        <v>5.57657787430192</v>
      </c>
      <c r="V239" s="11" t="n">
        <f aca="false">IF($T239,Q239,S239)</f>
        <v>3.94358072909542</v>
      </c>
      <c r="W239" s="12" t="n">
        <f aca="false">P239 &lt; R239</f>
        <v>1</v>
      </c>
      <c r="X239" s="10" t="n">
        <f aca="false">IF($W239,P239,R239)</f>
        <v>5.57657787430192</v>
      </c>
      <c r="Y239" s="1" t="n">
        <v>323120</v>
      </c>
      <c r="Z239" s="1" t="s">
        <v>288</v>
      </c>
      <c r="AA239" s="12" t="n">
        <f aca="false">T239=W239</f>
        <v>1</v>
      </c>
    </row>
    <row r="240" customFormat="false" ht="12.8" hidden="false" customHeight="false" outlineLevel="0" collapsed="false">
      <c r="A240" s="1" t="s">
        <v>289</v>
      </c>
      <c r="B240" s="1" t="n">
        <v>324110</v>
      </c>
      <c r="C240" s="1" t="n">
        <v>571348</v>
      </c>
      <c r="D240" s="1" t="n">
        <v>137539</v>
      </c>
      <c r="E240" s="1" t="n">
        <v>11764</v>
      </c>
      <c r="F240" s="1" t="n">
        <v>784274</v>
      </c>
      <c r="G240" s="1" t="n">
        <v>143608</v>
      </c>
      <c r="H240" s="1" t="n">
        <v>14140</v>
      </c>
      <c r="I240" s="1" t="n">
        <v>494281</v>
      </c>
      <c r="J240" s="1" t="n">
        <v>96823</v>
      </c>
      <c r="K240" s="1" t="n">
        <v>14705</v>
      </c>
      <c r="L240" s="7" t="n">
        <f aca="false">(J240/G240*F240/I240)</f>
        <v>1.06977834382091</v>
      </c>
      <c r="M240" s="7" t="n">
        <f aca="false">(D240/G240*F240/C240)</f>
        <v>1.31466268033484</v>
      </c>
      <c r="N240" s="7" t="n">
        <f aca="false">(K240/H240*F240/I240)</f>
        <v>1.65009717356458</v>
      </c>
      <c r="O240" s="7" t="n">
        <f aca="false">(E240/H240*F240/C240)</f>
        <v>1.14201737791563</v>
      </c>
      <c r="P240" s="7" t="n">
        <f aca="false">(IF(L240&gt;1,L240,1/L240) - 1)*100</f>
        <v>6.97783438209065</v>
      </c>
      <c r="Q240" s="7" t="n">
        <f aca="false">(IF(M240&gt;1,M240,1/M240) - 1)*100</f>
        <v>31.4662680334841</v>
      </c>
      <c r="R240" s="7" t="n">
        <f aca="false">(IF(N240&gt;1,N240,1/N240) - 1)*100</f>
        <v>65.0097173564584</v>
      </c>
      <c r="S240" s="7" t="n">
        <f aca="false">(IF(O240&gt;1,O240,1/O240) - 1)*100</f>
        <v>14.2017377915633</v>
      </c>
      <c r="T240" s="9" t="n">
        <f aca="false">(P240+Q240) &lt; (R240+S240)</f>
        <v>1</v>
      </c>
      <c r="U240" s="10" t="n">
        <f aca="false">IF($T240,P240,R240)</f>
        <v>6.97783438209065</v>
      </c>
      <c r="V240" s="11" t="n">
        <f aca="false">IF($T240,Q240,S240)</f>
        <v>31.4662680334841</v>
      </c>
      <c r="W240" s="12" t="n">
        <f aca="false">P240 &lt; R240</f>
        <v>1</v>
      </c>
      <c r="X240" s="10" t="n">
        <f aca="false">IF($W240,P240,R240)</f>
        <v>6.97783438209065</v>
      </c>
      <c r="Y240" s="1" t="n">
        <v>324110</v>
      </c>
      <c r="Z240" s="1" t="s">
        <v>289</v>
      </c>
      <c r="AA240" s="12" t="n">
        <f aca="false">T240=W240</f>
        <v>1</v>
      </c>
    </row>
    <row r="241" customFormat="false" ht="12.8" hidden="false" customHeight="false" outlineLevel="0" collapsed="false">
      <c r="A241" s="1" t="s">
        <v>290</v>
      </c>
      <c r="B241" s="1" t="n">
        <v>324121</v>
      </c>
      <c r="C241" s="1" t="n">
        <v>12177</v>
      </c>
      <c r="D241" s="1" t="n">
        <v>4393</v>
      </c>
      <c r="E241" s="1" t="n">
        <v>1448</v>
      </c>
      <c r="F241" s="1" t="n">
        <v>13237</v>
      </c>
      <c r="G241" s="1" t="n">
        <v>2919</v>
      </c>
      <c r="H241" s="1" t="n">
        <v>1045</v>
      </c>
      <c r="I241" s="1" t="n">
        <v>13203</v>
      </c>
      <c r="J241" s="1" t="n">
        <v>2898</v>
      </c>
      <c r="K241" s="1" t="n">
        <v>1601</v>
      </c>
      <c r="L241" s="7" t="n">
        <f aca="false">(J241/G241*F241/I241)</f>
        <v>0.995362401285516</v>
      </c>
      <c r="M241" s="7" t="n">
        <f aca="false">(D241/G241*F241/C241)</f>
        <v>1.63597390134209</v>
      </c>
      <c r="N241" s="7" t="n">
        <f aca="false">(K241/H241*F241/I241)</f>
        <v>1.53600272810261</v>
      </c>
      <c r="O241" s="7" t="n">
        <f aca="false">(E241/H241*F241/C241)</f>
        <v>1.50626551821557</v>
      </c>
      <c r="P241" s="7" t="n">
        <f aca="false">(IF(L241&gt;1,L241,1/L241) - 1)*100</f>
        <v>0.465920624336924</v>
      </c>
      <c r="Q241" s="7" t="n">
        <f aca="false">(IF(M241&gt;1,M241,1/M241) - 1)*100</f>
        <v>63.5973901342094</v>
      </c>
      <c r="R241" s="7" t="n">
        <f aca="false">(IF(N241&gt;1,N241,1/N241) - 1)*100</f>
        <v>53.600272810261</v>
      </c>
      <c r="S241" s="7" t="n">
        <f aca="false">(IF(O241&gt;1,O241,1/O241) - 1)*100</f>
        <v>50.6265518215571</v>
      </c>
      <c r="T241" s="9" t="n">
        <f aca="false">(P241+Q241) &lt; (R241+S241)</f>
        <v>1</v>
      </c>
      <c r="U241" s="10" t="n">
        <f aca="false">IF($T241,P241,R241)</f>
        <v>0.465920624336924</v>
      </c>
      <c r="V241" s="11" t="n">
        <f aca="false">IF($T241,Q241,S241)</f>
        <v>63.5973901342094</v>
      </c>
      <c r="W241" s="12" t="n">
        <f aca="false">P241 &lt; R241</f>
        <v>1</v>
      </c>
      <c r="X241" s="10" t="n">
        <f aca="false">IF($W241,P241,R241)</f>
        <v>0.465920624336924</v>
      </c>
      <c r="Y241" s="1" t="n">
        <v>324121</v>
      </c>
      <c r="Z241" s="1" t="s">
        <v>290</v>
      </c>
      <c r="AA241" s="12" t="n">
        <f aca="false">T241=W241</f>
        <v>1</v>
      </c>
    </row>
    <row r="242" customFormat="false" ht="12.8" hidden="false" customHeight="false" outlineLevel="0" collapsed="false">
      <c r="A242" s="1" t="s">
        <v>291</v>
      </c>
      <c r="B242" s="1" t="n">
        <v>324122</v>
      </c>
      <c r="C242" s="1" t="n">
        <v>8362</v>
      </c>
      <c r="D242" s="1" t="n">
        <v>4460</v>
      </c>
      <c r="E242" s="1" t="n">
        <v>1083</v>
      </c>
      <c r="F242" s="1" t="n">
        <v>10567</v>
      </c>
      <c r="G242" s="1" t="n">
        <v>4035</v>
      </c>
      <c r="H242" s="1" t="n">
        <v>1046</v>
      </c>
      <c r="I242" s="1" t="n">
        <v>10833</v>
      </c>
      <c r="J242" s="1" t="n">
        <v>3940</v>
      </c>
      <c r="K242" s="1" t="n">
        <v>1314</v>
      </c>
      <c r="L242" s="7" t="n">
        <f aca="false">(J242/G242*F242/I242)</f>
        <v>0.952479521531746</v>
      </c>
      <c r="M242" s="7" t="n">
        <f aca="false">(D242/G242*F242/C242)</f>
        <v>1.39679561787007</v>
      </c>
      <c r="N242" s="7" t="n">
        <f aca="false">(K242/H242*F242/I242)</f>
        <v>1.22536831108261</v>
      </c>
      <c r="O242" s="7" t="n">
        <f aca="false">(E242/H242*F242/C242)</f>
        <v>1.30839331437903</v>
      </c>
      <c r="P242" s="7" t="n">
        <f aca="false">(IF(L242&gt;1,L242,1/L242) - 1)*100</f>
        <v>4.98913387574285</v>
      </c>
      <c r="Q242" s="7" t="n">
        <f aca="false">(IF(M242&gt;1,M242,1/M242) - 1)*100</f>
        <v>39.6795617870066</v>
      </c>
      <c r="R242" s="7" t="n">
        <f aca="false">(IF(N242&gt;1,N242,1/N242) - 1)*100</f>
        <v>22.5368311082612</v>
      </c>
      <c r="S242" s="7" t="n">
        <f aca="false">(IF(O242&gt;1,O242,1/O242) - 1)*100</f>
        <v>30.8393314379033</v>
      </c>
      <c r="T242" s="9" t="n">
        <f aca="false">(P242+Q242) &lt; (R242+S242)</f>
        <v>1</v>
      </c>
      <c r="U242" s="10" t="n">
        <f aca="false">IF($T242,P242,R242)</f>
        <v>4.98913387574285</v>
      </c>
      <c r="V242" s="11" t="n">
        <f aca="false">IF($T242,Q242,S242)</f>
        <v>39.6795617870066</v>
      </c>
      <c r="W242" s="12" t="n">
        <f aca="false">P242 &lt; R242</f>
        <v>1</v>
      </c>
      <c r="X242" s="10" t="n">
        <f aca="false">IF($W242,P242,R242)</f>
        <v>4.98913387574285</v>
      </c>
      <c r="Y242" s="1" t="n">
        <v>324122</v>
      </c>
      <c r="Z242" s="1" t="s">
        <v>291</v>
      </c>
      <c r="AA242" s="12" t="n">
        <f aca="false">T242=W242</f>
        <v>1</v>
      </c>
    </row>
    <row r="243" customFormat="false" ht="12.8" hidden="false" customHeight="false" outlineLevel="0" collapsed="false">
      <c r="A243" s="1" t="s">
        <v>292</v>
      </c>
      <c r="B243" s="1" t="n">
        <v>324190</v>
      </c>
      <c r="C243" s="1" t="n">
        <v>14326</v>
      </c>
      <c r="D243" s="1" t="n">
        <v>8101</v>
      </c>
      <c r="E243" s="1" t="n">
        <v>1475</v>
      </c>
      <c r="F243" s="1" t="n">
        <v>24952</v>
      </c>
      <c r="G243" s="1" t="n">
        <v>8431</v>
      </c>
      <c r="H243" s="1" t="n">
        <v>1726</v>
      </c>
      <c r="I243" s="1" t="n">
        <v>20000</v>
      </c>
      <c r="J243" s="1" t="n">
        <v>6517</v>
      </c>
      <c r="K243" s="1" t="n">
        <v>1810</v>
      </c>
      <c r="L243" s="7" t="n">
        <f aca="false">(J243/G243*F243/I243)</f>
        <v>0.964370679634682</v>
      </c>
      <c r="M243" s="7" t="n">
        <f aca="false">(D243/G243*F243/C243)</f>
        <v>1.67355487722701</v>
      </c>
      <c r="N243" s="7" t="n">
        <f aca="false">(K243/H243*F243/I243)</f>
        <v>1.30831749710313</v>
      </c>
      <c r="O243" s="7" t="n">
        <f aca="false">(E243/H243*F243/C243)</f>
        <v>1.48844106664398</v>
      </c>
      <c r="P243" s="7" t="n">
        <f aca="false">(IF(L243&gt;1,L243,1/L243) - 1)*100</f>
        <v>3.69456694585688</v>
      </c>
      <c r="Q243" s="7" t="n">
        <f aca="false">(IF(M243&gt;1,M243,1/M243) - 1)*100</f>
        <v>67.3554877227005</v>
      </c>
      <c r="R243" s="7" t="n">
        <f aca="false">(IF(N243&gt;1,N243,1/N243) - 1)*100</f>
        <v>30.8317497103129</v>
      </c>
      <c r="S243" s="7" t="n">
        <f aca="false">(IF(O243&gt;1,O243,1/O243) - 1)*100</f>
        <v>48.8441066643976</v>
      </c>
      <c r="T243" s="9" t="n">
        <f aca="false">(P243+Q243) &lt; (R243+S243)</f>
        <v>1</v>
      </c>
      <c r="U243" s="10" t="n">
        <f aca="false">IF($T243,P243,R243)</f>
        <v>3.69456694585688</v>
      </c>
      <c r="V243" s="11" t="n">
        <f aca="false">IF($T243,Q243,S243)</f>
        <v>67.3554877227005</v>
      </c>
      <c r="W243" s="12" t="n">
        <f aca="false">P243 &lt; R243</f>
        <v>1</v>
      </c>
      <c r="X243" s="10" t="n">
        <f aca="false">IF($W243,P243,R243)</f>
        <v>3.69456694585688</v>
      </c>
      <c r="Y243" s="1" t="n">
        <v>324190</v>
      </c>
      <c r="Z243" s="1" t="s">
        <v>292</v>
      </c>
      <c r="AA243" s="12" t="n">
        <f aca="false">T243=W243</f>
        <v>1</v>
      </c>
    </row>
    <row r="244" customFormat="false" ht="12.8" hidden="false" customHeight="false" outlineLevel="0" collapsed="false">
      <c r="A244" s="1" t="s">
        <v>293</v>
      </c>
      <c r="B244" s="1" t="n">
        <v>325110</v>
      </c>
      <c r="C244" s="1" t="n">
        <v>76420</v>
      </c>
      <c r="D244" s="1" t="n">
        <v>16877</v>
      </c>
      <c r="E244" s="1" t="n">
        <v>3007</v>
      </c>
      <c r="F244" s="1" t="n">
        <v>81057</v>
      </c>
      <c r="G244" s="1" t="n">
        <v>27261</v>
      </c>
      <c r="H244" s="1" t="n">
        <v>5622</v>
      </c>
      <c r="I244" s="1" t="n">
        <v>54183</v>
      </c>
      <c r="J244" s="1" t="n">
        <v>22717</v>
      </c>
      <c r="K244" s="1" t="n">
        <v>4508</v>
      </c>
      <c r="L244" s="7" t="n">
        <f aca="false">(J244/G244*F244/I244)</f>
        <v>1.24662741663854</v>
      </c>
      <c r="M244" s="7" t="n">
        <f aca="false">(D244/G244*F244/C244)</f>
        <v>0.65665455368525</v>
      </c>
      <c r="N244" s="7" t="n">
        <f aca="false">(K244/H244*F244/I244)</f>
        <v>1.19955604816131</v>
      </c>
      <c r="O244" s="7" t="n">
        <f aca="false">(E244/H244*F244/C244)</f>
        <v>0.567317368181289</v>
      </c>
      <c r="P244" s="7" t="n">
        <f aca="false">(IF(L244&gt;1,L244,1/L244) - 1)*100</f>
        <v>24.6627416638535</v>
      </c>
      <c r="Q244" s="7" t="n">
        <f aca="false">(IF(M244&gt;1,M244,1/M244) - 1)*100</f>
        <v>52.2870730718062</v>
      </c>
      <c r="R244" s="7" t="n">
        <f aca="false">(IF(N244&gt;1,N244,1/N244) - 1)*100</f>
        <v>19.9556048161305</v>
      </c>
      <c r="S244" s="7" t="n">
        <f aca="false">(IF(O244&gt;1,O244,1/O244) - 1)*100</f>
        <v>76.2681800498739</v>
      </c>
      <c r="T244" s="9" t="n">
        <f aca="false">(P244+Q244) &lt; (R244+S244)</f>
        <v>1</v>
      </c>
      <c r="U244" s="10" t="n">
        <f aca="false">IF($T244,P244,R244)</f>
        <v>24.6627416638535</v>
      </c>
      <c r="V244" s="11" t="n">
        <f aca="false">IF($T244,Q244,S244)</f>
        <v>52.2870730718062</v>
      </c>
      <c r="W244" s="12" t="n">
        <f aca="false">P244 &lt; R244</f>
        <v>0</v>
      </c>
      <c r="X244" s="10" t="n">
        <f aca="false">IF($W244,P244,R244)</f>
        <v>19.9556048161305</v>
      </c>
      <c r="Y244" s="1" t="n">
        <v>325110</v>
      </c>
      <c r="Z244" s="1" t="s">
        <v>293</v>
      </c>
      <c r="AA244" s="12" t="n">
        <f aca="false">T244=W244</f>
        <v>0</v>
      </c>
    </row>
    <row r="245" customFormat="false" ht="12.8" hidden="false" customHeight="false" outlineLevel="0" collapsed="false">
      <c r="A245" s="1" t="s">
        <v>294</v>
      </c>
      <c r="B245" s="1" t="n">
        <v>325120</v>
      </c>
      <c r="C245" s="1" t="n">
        <v>9291</v>
      </c>
      <c r="D245" s="1" t="n">
        <v>2150</v>
      </c>
      <c r="E245" s="1" t="n">
        <v>1975</v>
      </c>
      <c r="F245" s="1" t="n">
        <v>6938</v>
      </c>
      <c r="G245" s="1" t="n">
        <v>3000</v>
      </c>
      <c r="H245" s="1" t="n">
        <v>2511</v>
      </c>
      <c r="I245" s="1" t="n">
        <v>9594</v>
      </c>
      <c r="J245" s="1" t="n">
        <v>3518</v>
      </c>
      <c r="K245" s="1" t="n">
        <v>2454</v>
      </c>
      <c r="L245" s="7" t="n">
        <f aca="false">(J245/G245*F245/I245)</f>
        <v>0.848025988465013</v>
      </c>
      <c r="M245" s="7" t="n">
        <f aca="false">(D245/G245*F245/C245)</f>
        <v>0.53516664872816</v>
      </c>
      <c r="N245" s="7" t="n">
        <f aca="false">(K245/H245*F245/I245)</f>
        <v>0.706744483123537</v>
      </c>
      <c r="O245" s="7" t="n">
        <f aca="false">(E245/H245*F245/C245)</f>
        <v>0.587343575470599</v>
      </c>
      <c r="P245" s="7" t="n">
        <f aca="false">(IF(L245&gt;1,L245,1/L245) - 1)*100</f>
        <v>17.9209144061812</v>
      </c>
      <c r="Q245" s="7" t="n">
        <f aca="false">(IF(M245&gt;1,M245,1/M245) - 1)*100</f>
        <v>86.8576829995911</v>
      </c>
      <c r="R245" s="7" t="n">
        <f aca="false">(IF(N245&gt;1,N245,1/N245) - 1)*100</f>
        <v>41.4938529948457</v>
      </c>
      <c r="S245" s="7" t="n">
        <f aca="false">(IF(O245&gt;1,O245,1/O245) - 1)*100</f>
        <v>70.258097945273</v>
      </c>
      <c r="T245" s="9" t="n">
        <f aca="false">(P245+Q245) &lt; (R245+S245)</f>
        <v>1</v>
      </c>
      <c r="U245" s="10" t="n">
        <f aca="false">IF($T245,P245,R245)</f>
        <v>17.9209144061812</v>
      </c>
      <c r="V245" s="11" t="n">
        <f aca="false">IF($T245,Q245,S245)</f>
        <v>86.8576829995911</v>
      </c>
      <c r="W245" s="12" t="n">
        <f aca="false">P245 &lt; R245</f>
        <v>1</v>
      </c>
      <c r="X245" s="10" t="n">
        <f aca="false">IF($W245,P245,R245)</f>
        <v>17.9209144061812</v>
      </c>
      <c r="Y245" s="1" t="n">
        <v>325120</v>
      </c>
      <c r="Z245" s="1" t="s">
        <v>294</v>
      </c>
      <c r="AA245" s="12" t="n">
        <f aca="false">T245=W245</f>
        <v>1</v>
      </c>
    </row>
    <row r="246" customFormat="false" ht="12.8" hidden="false" customHeight="false" outlineLevel="0" collapsed="false">
      <c r="A246" s="1" t="s">
        <v>295</v>
      </c>
      <c r="B246" s="1" t="n">
        <v>325130</v>
      </c>
      <c r="C246" s="1" t="n">
        <v>8121</v>
      </c>
      <c r="D246" s="1" t="n">
        <v>2046</v>
      </c>
      <c r="E246" s="1" t="n">
        <v>864</v>
      </c>
      <c r="F246" s="1" t="n">
        <v>9230</v>
      </c>
      <c r="G246" s="1" t="n">
        <v>3796</v>
      </c>
      <c r="H246" s="1" t="n">
        <v>1843</v>
      </c>
      <c r="I246" s="1" t="n">
        <v>6970</v>
      </c>
      <c r="J246" s="1" t="n">
        <v>2539</v>
      </c>
      <c r="K246" s="1" t="n">
        <v>1359</v>
      </c>
      <c r="L246" s="7" t="n">
        <f aca="false">(J246/G246*F246/I246)</f>
        <v>0.885738291307168</v>
      </c>
      <c r="M246" s="7" t="n">
        <f aca="false">(D246/G246*F246/C246)</f>
        <v>0.612592416414066</v>
      </c>
      <c r="N246" s="7" t="n">
        <f aca="false">(K246/H246*F246/I246)</f>
        <v>0.976479307099413</v>
      </c>
      <c r="O246" s="7" t="n">
        <f aca="false">(E246/H246*F246/C246)</f>
        <v>0.532820097650812</v>
      </c>
      <c r="P246" s="7" t="n">
        <f aca="false">(IF(L246&gt;1,L246,1/L246) - 1)*100</f>
        <v>12.9001658632377</v>
      </c>
      <c r="Q246" s="7" t="n">
        <f aca="false">(IF(M246&gt;1,M246,1/M246) - 1)*100</f>
        <v>63.2406757259097</v>
      </c>
      <c r="R246" s="7" t="n">
        <f aca="false">(IF(N246&gt;1,N246,1/N246) - 1)*100</f>
        <v>2.40872415109894</v>
      </c>
      <c r="S246" s="7" t="n">
        <f aca="false">(IF(O246&gt;1,O246,1/O246) - 1)*100</f>
        <v>87.6806082219814</v>
      </c>
      <c r="T246" s="9" t="n">
        <f aca="false">(P246+Q246) &lt; (R246+S246)</f>
        <v>1</v>
      </c>
      <c r="U246" s="10" t="n">
        <f aca="false">IF($T246,P246,R246)</f>
        <v>12.9001658632377</v>
      </c>
      <c r="V246" s="11" t="n">
        <f aca="false">IF($T246,Q246,S246)</f>
        <v>63.2406757259097</v>
      </c>
      <c r="W246" s="12" t="n">
        <f aca="false">P246 &lt; R246</f>
        <v>0</v>
      </c>
      <c r="X246" s="10" t="n">
        <f aca="false">IF($W246,P246,R246)</f>
        <v>2.40872415109894</v>
      </c>
      <c r="Y246" s="1" t="n">
        <v>325130</v>
      </c>
      <c r="Z246" s="1" t="s">
        <v>295</v>
      </c>
      <c r="AA246" s="12" t="n">
        <f aca="false">T246=W246</f>
        <v>0</v>
      </c>
    </row>
    <row r="247" customFormat="false" ht="12.8" hidden="false" customHeight="false" outlineLevel="0" collapsed="false">
      <c r="A247" s="1" t="s">
        <v>296</v>
      </c>
      <c r="B247" s="1" t="n">
        <v>325180</v>
      </c>
      <c r="C247" s="1" t="n">
        <v>30086</v>
      </c>
      <c r="D247" s="1" t="n">
        <v>10696</v>
      </c>
      <c r="E247" s="1" t="n">
        <v>3157</v>
      </c>
      <c r="F247" s="1" t="n">
        <v>34715</v>
      </c>
      <c r="G247" s="1" t="n">
        <v>14876</v>
      </c>
      <c r="H247" s="1" t="n">
        <v>5318</v>
      </c>
      <c r="I247" s="1" t="n">
        <v>31485</v>
      </c>
      <c r="J247" s="1" t="n">
        <v>14372</v>
      </c>
      <c r="K247" s="1" t="n">
        <v>4986</v>
      </c>
      <c r="L247" s="7" t="n">
        <f aca="false">(J247/G247*F247/I247)</f>
        <v>1.06523275167033</v>
      </c>
      <c r="M247" s="7" t="n">
        <f aca="false">(D247/G247*F247/C247)</f>
        <v>0.8296366763758</v>
      </c>
      <c r="N247" s="7" t="n">
        <f aca="false">(K247/H247*F247/I247)</f>
        <v>1.03375450011924</v>
      </c>
      <c r="O247" s="7" t="n">
        <f aca="false">(E247/H247*F247/C247)</f>
        <v>0.684981697321633</v>
      </c>
      <c r="P247" s="7" t="n">
        <f aca="false">(IF(L247&gt;1,L247,1/L247) - 1)*100</f>
        <v>6.52327516703324</v>
      </c>
      <c r="Q247" s="7" t="n">
        <f aca="false">(IF(M247&gt;1,M247,1/M247) - 1)*100</f>
        <v>20.5346904826361</v>
      </c>
      <c r="R247" s="7" t="n">
        <f aca="false">(IF(N247&gt;1,N247,1/N247) - 1)*100</f>
        <v>3.37545001192388</v>
      </c>
      <c r="S247" s="7" t="n">
        <f aca="false">(IF(O247&gt;1,O247,1/O247) - 1)*100</f>
        <v>45.9893021828363</v>
      </c>
      <c r="T247" s="9" t="n">
        <f aca="false">(P247+Q247) &lt; (R247+S247)</f>
        <v>1</v>
      </c>
      <c r="U247" s="10" t="n">
        <f aca="false">IF($T247,P247,R247)</f>
        <v>6.52327516703324</v>
      </c>
      <c r="V247" s="11" t="n">
        <f aca="false">IF($T247,Q247,S247)</f>
        <v>20.5346904826361</v>
      </c>
      <c r="W247" s="12" t="n">
        <f aca="false">P247 &lt; R247</f>
        <v>0</v>
      </c>
      <c r="X247" s="10" t="n">
        <f aca="false">IF($W247,P247,R247)</f>
        <v>3.37545001192388</v>
      </c>
      <c r="Y247" s="1" t="n">
        <v>325180</v>
      </c>
      <c r="Z247" s="1" t="s">
        <v>296</v>
      </c>
      <c r="AA247" s="12" t="n">
        <f aca="false">T247=W247</f>
        <v>0</v>
      </c>
    </row>
    <row r="248" customFormat="false" ht="12.8" hidden="false" customHeight="false" outlineLevel="0" collapsed="false">
      <c r="A248" s="1" t="s">
        <v>297</v>
      </c>
      <c r="B248" s="1" t="n">
        <v>325190</v>
      </c>
      <c r="C248" s="1" t="n">
        <v>98673</v>
      </c>
      <c r="D248" s="1" t="n">
        <v>16460</v>
      </c>
      <c r="E248" s="1" t="n">
        <v>3310</v>
      </c>
      <c r="F248" s="1" t="n">
        <v>140349</v>
      </c>
      <c r="G248" s="1" t="n">
        <v>29648</v>
      </c>
      <c r="H248" s="1" t="n">
        <v>7250</v>
      </c>
      <c r="I248" s="1" t="n">
        <v>116273</v>
      </c>
      <c r="J248" s="1" t="n">
        <v>30849</v>
      </c>
      <c r="K248" s="1" t="n">
        <v>6309</v>
      </c>
      <c r="L248" s="7" t="n">
        <f aca="false">(J248/G248*F248/I248)</f>
        <v>1.2559609398915</v>
      </c>
      <c r="M248" s="7" t="n">
        <f aca="false">(D248/G248*F248/C248)</f>
        <v>0.789669599612765</v>
      </c>
      <c r="N248" s="7" t="n">
        <f aca="false">(K248/H248*F248/I248)</f>
        <v>1.05039577308694</v>
      </c>
      <c r="O248" s="7" t="n">
        <f aca="false">(E248/H248*F248/C248)</f>
        <v>0.649383092953842</v>
      </c>
      <c r="P248" s="7" t="n">
        <f aca="false">(IF(L248&gt;1,L248,1/L248) - 1)*100</f>
        <v>25.5960939891499</v>
      </c>
      <c r="Q248" s="7" t="n">
        <f aca="false">(IF(M248&gt;1,M248,1/M248) - 1)*100</f>
        <v>26.6352409273924</v>
      </c>
      <c r="R248" s="7" t="n">
        <f aca="false">(IF(N248&gt;1,N248,1/N248) - 1)*100</f>
        <v>5.03957730869413</v>
      </c>
      <c r="S248" s="7" t="n">
        <f aca="false">(IF(O248&gt;1,O248,1/O248) - 1)*100</f>
        <v>53.9923060594802</v>
      </c>
      <c r="T248" s="9" t="n">
        <f aca="false">(P248+Q248) &lt; (R248+S248)</f>
        <v>1</v>
      </c>
      <c r="U248" s="10" t="n">
        <f aca="false">IF($T248,P248,R248)</f>
        <v>25.5960939891499</v>
      </c>
      <c r="V248" s="11" t="n">
        <f aca="false">IF($T248,Q248,S248)</f>
        <v>26.6352409273924</v>
      </c>
      <c r="W248" s="12" t="n">
        <f aca="false">P248 &lt; R248</f>
        <v>0</v>
      </c>
      <c r="X248" s="10" t="n">
        <f aca="false">IF($W248,P248,R248)</f>
        <v>5.03957730869413</v>
      </c>
      <c r="Y248" s="1" t="n">
        <v>325190</v>
      </c>
      <c r="Z248" s="1" t="s">
        <v>297</v>
      </c>
      <c r="AA248" s="12" t="n">
        <f aca="false">T248=W248</f>
        <v>0</v>
      </c>
    </row>
    <row r="249" customFormat="false" ht="12.8" hidden="false" customHeight="false" outlineLevel="0" collapsed="false">
      <c r="A249" s="1" t="s">
        <v>298</v>
      </c>
      <c r="B249" s="1" t="n">
        <v>325211</v>
      </c>
      <c r="C249" s="1" t="n">
        <v>84615</v>
      </c>
      <c r="D249" s="1" t="n">
        <v>15725</v>
      </c>
      <c r="E249" s="1" t="n">
        <v>4373</v>
      </c>
      <c r="F249" s="1" t="n">
        <v>91273</v>
      </c>
      <c r="G249" s="1" t="n">
        <v>18054</v>
      </c>
      <c r="H249" s="1" t="n">
        <v>5510</v>
      </c>
      <c r="I249" s="1" t="n">
        <v>88646</v>
      </c>
      <c r="J249" s="1" t="n">
        <v>22522</v>
      </c>
      <c r="K249" s="1" t="n">
        <v>7285</v>
      </c>
      <c r="L249" s="7" t="n">
        <f aca="false">(J249/G249*F249/I249)</f>
        <v>1.28444850554139</v>
      </c>
      <c r="M249" s="7" t="n">
        <f aca="false">(D249/G249*F249/C249)</f>
        <v>0.93953331101</v>
      </c>
      <c r="N249" s="7" t="n">
        <f aca="false">(K249/H249*F249/I249)</f>
        <v>1.36132286486436</v>
      </c>
      <c r="O249" s="7" t="n">
        <f aca="false">(E249/H249*F249/C249)</f>
        <v>0.856096743518443</v>
      </c>
      <c r="P249" s="7" t="n">
        <f aca="false">(IF(L249&gt;1,L249,1/L249) - 1)*100</f>
        <v>28.4448505541392</v>
      </c>
      <c r="Q249" s="7" t="n">
        <f aca="false">(IF(M249&gt;1,M249,1/M249) - 1)*100</f>
        <v>6.43582172993937</v>
      </c>
      <c r="R249" s="7" t="n">
        <f aca="false">(IF(N249&gt;1,N249,1/N249) - 1)*100</f>
        <v>36.1322864864358</v>
      </c>
      <c r="S249" s="7" t="n">
        <f aca="false">(IF(O249&gt;1,O249,1/O249) - 1)*100</f>
        <v>16.8092283461018</v>
      </c>
      <c r="T249" s="9" t="n">
        <f aca="false">(P249+Q249) &lt; (R249+S249)</f>
        <v>1</v>
      </c>
      <c r="U249" s="10" t="n">
        <f aca="false">IF($T249,P249,R249)</f>
        <v>28.4448505541392</v>
      </c>
      <c r="V249" s="11" t="n">
        <f aca="false">IF($T249,Q249,S249)</f>
        <v>6.43582172993937</v>
      </c>
      <c r="W249" s="12" t="n">
        <f aca="false">P249 &lt; R249</f>
        <v>1</v>
      </c>
      <c r="X249" s="10" t="n">
        <f aca="false">IF($W249,P249,R249)</f>
        <v>28.4448505541392</v>
      </c>
      <c r="Y249" s="1" t="n">
        <v>325211</v>
      </c>
      <c r="Z249" s="1" t="s">
        <v>298</v>
      </c>
      <c r="AA249" s="12" t="n">
        <f aca="false">T249=W249</f>
        <v>1</v>
      </c>
    </row>
    <row r="250" customFormat="false" ht="12.8" hidden="false" customHeight="false" outlineLevel="0" collapsed="false">
      <c r="A250" s="1" t="s">
        <v>299</v>
      </c>
      <c r="B250" s="1" t="s">
        <v>300</v>
      </c>
      <c r="C250" s="1" t="n">
        <v>15944</v>
      </c>
      <c r="D250" s="1" t="n">
        <v>3098</v>
      </c>
      <c r="E250" s="1" t="n">
        <v>1990</v>
      </c>
      <c r="F250" s="1" t="n">
        <v>18127</v>
      </c>
      <c r="G250" s="1" t="n">
        <v>4399</v>
      </c>
      <c r="H250" s="1" t="n">
        <v>2909</v>
      </c>
      <c r="I250" s="1" t="n">
        <v>15134</v>
      </c>
      <c r="J250" s="1" t="n">
        <v>5130</v>
      </c>
      <c r="K250" s="1" t="n">
        <v>3752</v>
      </c>
      <c r="L250" s="7" t="n">
        <f aca="false">(J250/G250*F250/I250)</f>
        <v>1.39680444451481</v>
      </c>
      <c r="M250" s="7" t="n">
        <f aca="false">(D250/G250*F250/C250)</f>
        <v>0.800674690354636</v>
      </c>
      <c r="N250" s="7" t="n">
        <f aca="false">(K250/H250*F250/I250)</f>
        <v>1.54486777295509</v>
      </c>
      <c r="O250" s="7" t="n">
        <f aca="false">(E250/H250*F250/C250)</f>
        <v>0.777746390469082</v>
      </c>
      <c r="P250" s="7" t="n">
        <f aca="false">(IF(L250&gt;1,L250,1/L250) - 1)*100</f>
        <v>39.6804444514808</v>
      </c>
      <c r="Q250" s="7" t="n">
        <f aca="false">(IF(M250&gt;1,M250,1/M250) - 1)*100</f>
        <v>24.8946684648016</v>
      </c>
      <c r="R250" s="7" t="n">
        <f aca="false">(IF(N250&gt;1,N250,1/N250) - 1)*100</f>
        <v>54.4867772955093</v>
      </c>
      <c r="S250" s="7" t="n">
        <f aca="false">(IF(O250&gt;1,O250,1/O250) - 1)*100</f>
        <v>28.5766172951146</v>
      </c>
      <c r="T250" s="9" t="n">
        <f aca="false">(P250+Q250) &lt; (R250+S250)</f>
        <v>1</v>
      </c>
      <c r="U250" s="10" t="n">
        <f aca="false">IF($T250,P250,R250)</f>
        <v>39.6804444514808</v>
      </c>
      <c r="V250" s="11" t="n">
        <f aca="false">IF($T250,Q250,S250)</f>
        <v>24.8946684648016</v>
      </c>
      <c r="W250" s="12" t="n">
        <f aca="false">P250 &lt; R250</f>
        <v>1</v>
      </c>
      <c r="X250" s="10" t="n">
        <f aca="false">IF($W250,P250,R250)</f>
        <v>39.6804444514808</v>
      </c>
      <c r="Y250" s="1" t="s">
        <v>300</v>
      </c>
      <c r="Z250" s="1" t="s">
        <v>299</v>
      </c>
      <c r="AA250" s="12" t="n">
        <f aca="false">T250=W250</f>
        <v>1</v>
      </c>
    </row>
    <row r="251" customFormat="false" ht="12.8" hidden="false" customHeight="false" outlineLevel="0" collapsed="false">
      <c r="A251" s="1" t="s">
        <v>301</v>
      </c>
      <c r="B251" s="1" t="n">
        <v>325411</v>
      </c>
      <c r="C251" s="1" t="n">
        <v>13946</v>
      </c>
      <c r="D251" s="1" t="n">
        <v>6965</v>
      </c>
      <c r="E251" s="1" t="n">
        <v>3354</v>
      </c>
      <c r="F251" s="1" t="n">
        <v>14774</v>
      </c>
      <c r="G251" s="1" t="n">
        <v>7628</v>
      </c>
      <c r="H251" s="1" t="n">
        <v>2886</v>
      </c>
      <c r="I251" s="1" t="n">
        <v>15008</v>
      </c>
      <c r="J251" s="1" t="n">
        <v>7423</v>
      </c>
      <c r="K251" s="1" t="n">
        <v>3941</v>
      </c>
      <c r="L251" s="7" t="n">
        <f aca="false">(J251/G251*F251/I251)</f>
        <v>0.95795266471411</v>
      </c>
      <c r="M251" s="7" t="n">
        <f aca="false">(D251/G251*F251/C251)</f>
        <v>0.967294838109177</v>
      </c>
      <c r="N251" s="7" t="n">
        <f aca="false">(K251/H251*F251/I251)</f>
        <v>1.3442665182404</v>
      </c>
      <c r="O251" s="7" t="n">
        <f aca="false">(E251/H251*F251/C251)</f>
        <v>1.23116189472134</v>
      </c>
      <c r="P251" s="7" t="n">
        <f aca="false">(IF(L251&gt;1,L251,1/L251) - 1)*100</f>
        <v>4.38929154171082</v>
      </c>
      <c r="Q251" s="7" t="n">
        <f aca="false">(IF(M251&gt;1,M251,1/M251) - 1)*100</f>
        <v>3.38109546358725</v>
      </c>
      <c r="R251" s="7" t="n">
        <f aca="false">(IF(N251&gt;1,N251,1/N251) - 1)*100</f>
        <v>34.4266518240399</v>
      </c>
      <c r="S251" s="7" t="n">
        <f aca="false">(IF(O251&gt;1,O251,1/O251) - 1)*100</f>
        <v>23.1161894721338</v>
      </c>
      <c r="T251" s="9" t="n">
        <f aca="false">(P251+Q251) &lt; (R251+S251)</f>
        <v>1</v>
      </c>
      <c r="U251" s="10" t="n">
        <f aca="false">IF($T251,P251,R251)</f>
        <v>4.38929154171082</v>
      </c>
      <c r="V251" s="11" t="n">
        <f aca="false">IF($T251,Q251,S251)</f>
        <v>3.38109546358725</v>
      </c>
      <c r="W251" s="12" t="n">
        <f aca="false">P251 &lt; R251</f>
        <v>1</v>
      </c>
      <c r="X251" s="10" t="n">
        <f aca="false">IF($W251,P251,R251)</f>
        <v>4.38929154171082</v>
      </c>
      <c r="Y251" s="1" t="n">
        <v>325411</v>
      </c>
      <c r="Z251" s="1" t="s">
        <v>301</v>
      </c>
      <c r="AA251" s="12" t="n">
        <f aca="false">T251=W251</f>
        <v>1</v>
      </c>
    </row>
    <row r="252" customFormat="false" ht="12.8" hidden="false" customHeight="false" outlineLevel="0" collapsed="false">
      <c r="A252" s="1" t="s">
        <v>302</v>
      </c>
      <c r="B252" s="1" t="n">
        <v>325412</v>
      </c>
      <c r="C252" s="1" t="n">
        <v>163799</v>
      </c>
      <c r="D252" s="1" t="n">
        <v>91006</v>
      </c>
      <c r="E252" s="1" t="n">
        <v>37655</v>
      </c>
      <c r="F252" s="1" t="n">
        <v>146669</v>
      </c>
      <c r="G252" s="1" t="n">
        <v>86235</v>
      </c>
      <c r="H252" s="1" t="n">
        <v>30088</v>
      </c>
      <c r="I252" s="1" t="n">
        <v>182277</v>
      </c>
      <c r="J252" s="1" t="n">
        <v>110326</v>
      </c>
      <c r="K252" s="1" t="n">
        <v>31768</v>
      </c>
      <c r="L252" s="7" t="n">
        <f aca="false">(J252/G252*F252/I252)</f>
        <v>1.02943934689861</v>
      </c>
      <c r="M252" s="7" t="n">
        <f aca="false">(D252/G252*F252/C252)</f>
        <v>0.94496025694106</v>
      </c>
      <c r="N252" s="7" t="n">
        <f aca="false">(K252/H252*F252/I252)</f>
        <v>0.849577520136179</v>
      </c>
      <c r="O252" s="7" t="n">
        <f aca="false">(E252/H252*F252/C252)</f>
        <v>1.12061496128713</v>
      </c>
      <c r="P252" s="7" t="n">
        <f aca="false">(IF(L252&gt;1,L252,1/L252) - 1)*100</f>
        <v>2.94393468986098</v>
      </c>
      <c r="Q252" s="7" t="n">
        <f aca="false">(IF(M252&gt;1,M252,1/M252) - 1)*100</f>
        <v>5.82455639320849</v>
      </c>
      <c r="R252" s="7" t="n">
        <f aca="false">(IF(N252&gt;1,N252,1/N252) - 1)*100</f>
        <v>17.7055626236097</v>
      </c>
      <c r="S252" s="7" t="n">
        <f aca="false">(IF(O252&gt;1,O252,1/O252) - 1)*100</f>
        <v>12.0614961287134</v>
      </c>
      <c r="T252" s="9" t="n">
        <f aca="false">(P252+Q252) &lt; (R252+S252)</f>
        <v>1</v>
      </c>
      <c r="U252" s="10" t="n">
        <f aca="false">IF($T252,P252,R252)</f>
        <v>2.94393468986098</v>
      </c>
      <c r="V252" s="11" t="n">
        <f aca="false">IF($T252,Q252,S252)</f>
        <v>5.82455639320849</v>
      </c>
      <c r="W252" s="12" t="n">
        <f aca="false">P252 &lt; R252</f>
        <v>1</v>
      </c>
      <c r="X252" s="10" t="n">
        <f aca="false">IF($W252,P252,R252)</f>
        <v>2.94393468986098</v>
      </c>
      <c r="Y252" s="1" t="n">
        <v>325412</v>
      </c>
      <c r="Z252" s="1" t="s">
        <v>302</v>
      </c>
      <c r="AA252" s="12" t="n">
        <f aca="false">T252=W252</f>
        <v>1</v>
      </c>
    </row>
    <row r="253" customFormat="false" ht="12.8" hidden="false" customHeight="false" outlineLevel="0" collapsed="false">
      <c r="A253" s="1" t="s">
        <v>303</v>
      </c>
      <c r="B253" s="1" t="n">
        <v>325413</v>
      </c>
      <c r="C253" s="1" t="n">
        <v>13026</v>
      </c>
      <c r="D253" s="1" t="n">
        <v>7484</v>
      </c>
      <c r="E253" s="1" t="n">
        <v>2692</v>
      </c>
      <c r="F253" s="1" t="n">
        <v>14719</v>
      </c>
      <c r="G253" s="1" t="n">
        <v>8095</v>
      </c>
      <c r="H253" s="1" t="n">
        <v>2826</v>
      </c>
      <c r="I253" s="1" t="n">
        <v>17621</v>
      </c>
      <c r="J253" s="1" t="n">
        <v>9439</v>
      </c>
      <c r="K253" s="1" t="n">
        <v>3391</v>
      </c>
      <c r="L253" s="7" t="n">
        <f aca="false">(J253/G253*F253/I253)</f>
        <v>0.973995358099135</v>
      </c>
      <c r="M253" s="7" t="n">
        <f aca="false">(D253/G253*F253/C253)</f>
        <v>1.04468210915082</v>
      </c>
      <c r="N253" s="7" t="n">
        <f aca="false">(K253/H253*F253/I253)</f>
        <v>1.00231305349529</v>
      </c>
      <c r="O253" s="7" t="n">
        <f aca="false">(E253/H253*F253/C253)</f>
        <v>1.07639117757734</v>
      </c>
      <c r="P253" s="7" t="n">
        <f aca="false">(IF(L253&gt;1,L253,1/L253) - 1)*100</f>
        <v>2.6698938228634</v>
      </c>
      <c r="Q253" s="7" t="n">
        <f aca="false">(IF(M253&gt;1,M253,1/M253) - 1)*100</f>
        <v>4.46821091508247</v>
      </c>
      <c r="R253" s="7" t="n">
        <f aca="false">(IF(N253&gt;1,N253,1/N253) - 1)*100</f>
        <v>0.231305349528865</v>
      </c>
      <c r="S253" s="7" t="n">
        <f aca="false">(IF(O253&gt;1,O253,1/O253) - 1)*100</f>
        <v>7.63911775773403</v>
      </c>
      <c r="T253" s="9" t="n">
        <f aca="false">(P253+Q253) &lt; (R253+S253)</f>
        <v>1</v>
      </c>
      <c r="U253" s="10" t="n">
        <f aca="false">IF($T253,P253,R253)</f>
        <v>2.6698938228634</v>
      </c>
      <c r="V253" s="11" t="n">
        <f aca="false">IF($T253,Q253,S253)</f>
        <v>4.46821091508247</v>
      </c>
      <c r="W253" s="12" t="n">
        <f aca="false">P253 &lt; R253</f>
        <v>0</v>
      </c>
      <c r="X253" s="10" t="n">
        <f aca="false">IF($W253,P253,R253)</f>
        <v>0.231305349528865</v>
      </c>
      <c r="Y253" s="1" t="n">
        <v>325413</v>
      </c>
      <c r="Z253" s="1" t="s">
        <v>303</v>
      </c>
      <c r="AA253" s="12" t="n">
        <f aca="false">T253=W253</f>
        <v>0</v>
      </c>
    </row>
    <row r="254" customFormat="false" ht="12.8" hidden="false" customHeight="false" outlineLevel="0" collapsed="false">
      <c r="A254" s="1" t="s">
        <v>304</v>
      </c>
      <c r="B254" s="1" t="n">
        <v>325414</v>
      </c>
      <c r="C254" s="1" t="n">
        <v>24139</v>
      </c>
      <c r="D254" s="1" t="n">
        <v>17623</v>
      </c>
      <c r="E254" s="1" t="n">
        <v>3849</v>
      </c>
      <c r="F254" s="1" t="n">
        <v>28602</v>
      </c>
      <c r="G254" s="1" t="n">
        <v>19183</v>
      </c>
      <c r="H254" s="1" t="n">
        <v>3529</v>
      </c>
      <c r="I254" s="1" t="n">
        <v>35766</v>
      </c>
      <c r="J254" s="1" t="n">
        <v>21821</v>
      </c>
      <c r="K254" s="1" t="n">
        <v>4648</v>
      </c>
      <c r="L254" s="7" t="n">
        <f aca="false">(J254/G254*F254/I254)</f>
        <v>0.909670587012422</v>
      </c>
      <c r="M254" s="7" t="n">
        <f aca="false">(D254/G254*F254/C254)</f>
        <v>1.08853009841607</v>
      </c>
      <c r="N254" s="7" t="n">
        <f aca="false">(K254/H254*F254/I254)</f>
        <v>1.05327188356508</v>
      </c>
      <c r="O254" s="7" t="n">
        <f aca="false">(E254/H254*F254/C254)</f>
        <v>1.29232986374337</v>
      </c>
      <c r="P254" s="7" t="n">
        <f aca="false">(IF(L254&gt;1,L254,1/L254) - 1)*100</f>
        <v>9.92990366812254</v>
      </c>
      <c r="Q254" s="7" t="n">
        <f aca="false">(IF(M254&gt;1,M254,1/M254) - 1)*100</f>
        <v>8.85300984160666</v>
      </c>
      <c r="R254" s="7" t="n">
        <f aca="false">(IF(N254&gt;1,N254,1/N254) - 1)*100</f>
        <v>5.32718835650774</v>
      </c>
      <c r="S254" s="7" t="n">
        <f aca="false">(IF(O254&gt;1,O254,1/O254) - 1)*100</f>
        <v>29.2329863743366</v>
      </c>
      <c r="T254" s="9" t="n">
        <f aca="false">(P254+Q254) &lt; (R254+S254)</f>
        <v>1</v>
      </c>
      <c r="U254" s="10" t="n">
        <f aca="false">IF($T254,P254,R254)</f>
        <v>9.92990366812254</v>
      </c>
      <c r="V254" s="11" t="n">
        <f aca="false">IF($T254,Q254,S254)</f>
        <v>8.85300984160666</v>
      </c>
      <c r="W254" s="12" t="n">
        <f aca="false">P254 &lt; R254</f>
        <v>0</v>
      </c>
      <c r="X254" s="10" t="n">
        <f aca="false">IF($W254,P254,R254)</f>
        <v>5.32718835650774</v>
      </c>
      <c r="Y254" s="1" t="n">
        <v>325414</v>
      </c>
      <c r="Z254" s="1" t="s">
        <v>304</v>
      </c>
      <c r="AA254" s="12" t="n">
        <f aca="false">T254=W254</f>
        <v>0</v>
      </c>
    </row>
    <row r="255" customFormat="false" ht="12.8" hidden="false" customHeight="false" outlineLevel="0" collapsed="false">
      <c r="A255" s="1" t="s">
        <v>305</v>
      </c>
      <c r="B255" s="1" t="n">
        <v>325310</v>
      </c>
      <c r="C255" s="1" t="n">
        <v>17599</v>
      </c>
      <c r="D255" s="1" t="n">
        <v>7178</v>
      </c>
      <c r="E255" s="1" t="n">
        <v>1284</v>
      </c>
      <c r="F255" s="1" t="n">
        <v>26227</v>
      </c>
      <c r="G255" s="1" t="n">
        <v>10042</v>
      </c>
      <c r="H255" s="1" t="n">
        <v>1700</v>
      </c>
      <c r="I255" s="1" t="n">
        <v>17141</v>
      </c>
      <c r="J255" s="1" t="n">
        <v>7455</v>
      </c>
      <c r="K255" s="1" t="n">
        <v>2291</v>
      </c>
      <c r="L255" s="7" t="n">
        <f aca="false">(J255/G255*F255/I255)</f>
        <v>1.13589945738777</v>
      </c>
      <c r="M255" s="7" t="n">
        <f aca="false">(D255/G255*F255/C255)</f>
        <v>1.06523116010093</v>
      </c>
      <c r="N255" s="7" t="n">
        <f aca="false">(K255/H255*F255/I255)</f>
        <v>2.06199984900325</v>
      </c>
      <c r="O255" s="7" t="n">
        <f aca="false">(E255/H255*F255/C255)</f>
        <v>1.12558093207168</v>
      </c>
      <c r="P255" s="7" t="n">
        <f aca="false">(IF(L255&gt;1,L255,1/L255) - 1)*100</f>
        <v>13.5899457387775</v>
      </c>
      <c r="Q255" s="7" t="n">
        <f aca="false">(IF(M255&gt;1,M255,1/M255) - 1)*100</f>
        <v>6.5231160100927</v>
      </c>
      <c r="R255" s="7" t="n">
        <f aca="false">(IF(N255&gt;1,N255,1/N255) - 1)*100</f>
        <v>106.199984900325</v>
      </c>
      <c r="S255" s="7" t="n">
        <f aca="false">(IF(O255&gt;1,O255,1/O255) - 1)*100</f>
        <v>12.5580932071675</v>
      </c>
      <c r="T255" s="9" t="n">
        <f aca="false">(P255+Q255) &lt; (R255+S255)</f>
        <v>1</v>
      </c>
      <c r="U255" s="10" t="n">
        <f aca="false">IF($T255,P255,R255)</f>
        <v>13.5899457387775</v>
      </c>
      <c r="V255" s="11" t="n">
        <f aca="false">IF($T255,Q255,S255)</f>
        <v>6.5231160100927</v>
      </c>
      <c r="W255" s="12" t="n">
        <f aca="false">P255 &lt; R255</f>
        <v>1</v>
      </c>
      <c r="X255" s="10" t="n">
        <f aca="false">IF($W255,P255,R255)</f>
        <v>13.5899457387775</v>
      </c>
      <c r="Y255" s="1" t="n">
        <v>325310</v>
      </c>
      <c r="Z255" s="1" t="s">
        <v>305</v>
      </c>
      <c r="AA255" s="12" t="n">
        <f aca="false">T255=W255</f>
        <v>1</v>
      </c>
    </row>
    <row r="256" customFormat="false" ht="12.8" hidden="false" customHeight="false" outlineLevel="0" collapsed="false">
      <c r="A256" s="1" t="s">
        <v>306</v>
      </c>
      <c r="B256" s="1" t="n">
        <v>325320</v>
      </c>
      <c r="C256" s="1" t="n">
        <v>11136</v>
      </c>
      <c r="D256" s="1" t="n">
        <v>5366</v>
      </c>
      <c r="E256" s="1" t="n">
        <v>1217</v>
      </c>
      <c r="F256" s="1" t="n">
        <v>15045</v>
      </c>
      <c r="G256" s="1" t="n">
        <v>5165</v>
      </c>
      <c r="H256" s="1" t="n">
        <v>1162</v>
      </c>
      <c r="I256" s="1" t="n">
        <v>14900</v>
      </c>
      <c r="J256" s="1" t="n">
        <v>5853</v>
      </c>
      <c r="K256" s="1" t="n">
        <v>1607</v>
      </c>
      <c r="L256" s="7" t="n">
        <f aca="false">(J256/G256*F256/I256)</f>
        <v>1.14423208612434</v>
      </c>
      <c r="M256" s="7" t="n">
        <f aca="false">(D256/G256*F256/C256)</f>
        <v>1.4035998472811</v>
      </c>
      <c r="N256" s="7" t="n">
        <f aca="false">(K256/H256*F256/I256)</f>
        <v>1.39641875267128</v>
      </c>
      <c r="O256" s="7" t="n">
        <f aca="false">(E256/H256*F256/C256)</f>
        <v>1.41497061212832</v>
      </c>
      <c r="P256" s="7" t="n">
        <f aca="false">(IF(L256&gt;1,L256,1/L256) - 1)*100</f>
        <v>14.423208612434</v>
      </c>
      <c r="Q256" s="7" t="n">
        <f aca="false">(IF(M256&gt;1,M256,1/M256) - 1)*100</f>
        <v>40.3599847281103</v>
      </c>
      <c r="R256" s="7" t="n">
        <f aca="false">(IF(N256&gt;1,N256,1/N256) - 1)*100</f>
        <v>39.641875267128</v>
      </c>
      <c r="S256" s="7" t="n">
        <f aca="false">(IF(O256&gt;1,O256,1/O256) - 1)*100</f>
        <v>41.4970612128316</v>
      </c>
      <c r="T256" s="9" t="n">
        <f aca="false">(P256+Q256) &lt; (R256+S256)</f>
        <v>1</v>
      </c>
      <c r="U256" s="10" t="n">
        <f aca="false">IF($T256,P256,R256)</f>
        <v>14.423208612434</v>
      </c>
      <c r="V256" s="11" t="n">
        <f aca="false">IF($T256,Q256,S256)</f>
        <v>40.3599847281103</v>
      </c>
      <c r="W256" s="12" t="n">
        <f aca="false">P256 &lt; R256</f>
        <v>1</v>
      </c>
      <c r="X256" s="10" t="n">
        <f aca="false">IF($W256,P256,R256)</f>
        <v>14.423208612434</v>
      </c>
      <c r="Y256" s="1" t="n">
        <v>325320</v>
      </c>
      <c r="Z256" s="1" t="s">
        <v>306</v>
      </c>
      <c r="AA256" s="12" t="n">
        <f aca="false">T256=W256</f>
        <v>1</v>
      </c>
    </row>
    <row r="257" customFormat="false" ht="12.8" hidden="false" customHeight="false" outlineLevel="0" collapsed="false">
      <c r="A257" s="1" t="s">
        <v>307</v>
      </c>
      <c r="B257" s="1" t="n">
        <v>325510</v>
      </c>
      <c r="C257" s="1" t="n">
        <v>23237</v>
      </c>
      <c r="D257" s="1" t="n">
        <v>7511</v>
      </c>
      <c r="E257" s="1" t="n">
        <v>2702</v>
      </c>
      <c r="F257" s="1" t="n">
        <v>23987</v>
      </c>
      <c r="G257" s="1" t="n">
        <v>8035</v>
      </c>
      <c r="H257" s="1" t="n">
        <v>2776</v>
      </c>
      <c r="I257" s="1" t="n">
        <v>27818</v>
      </c>
      <c r="J257" s="1" t="n">
        <v>10540</v>
      </c>
      <c r="K257" s="1" t="n">
        <v>3705</v>
      </c>
      <c r="L257" s="7" t="n">
        <f aca="false">(J257/G257*F257/I257)</f>
        <v>1.13110979210007</v>
      </c>
      <c r="M257" s="7" t="n">
        <f aca="false">(D257/G257*F257/C257)</f>
        <v>0.964956549163768</v>
      </c>
      <c r="N257" s="7" t="n">
        <f aca="false">(K257/H257*F257/I257)</f>
        <v>1.15085016118562</v>
      </c>
      <c r="O257" s="7" t="n">
        <f aca="false">(E257/H257*F257/C257)</f>
        <v>1.00475866460116</v>
      </c>
      <c r="P257" s="7" t="n">
        <f aca="false">(IF(L257&gt;1,L257,1/L257) - 1)*100</f>
        <v>13.1109792100068</v>
      </c>
      <c r="Q257" s="7" t="n">
        <f aca="false">(IF(M257&gt;1,M257,1/M257) - 1)*100</f>
        <v>3.63160920215533</v>
      </c>
      <c r="R257" s="7" t="n">
        <f aca="false">(IF(N257&gt;1,N257,1/N257) - 1)*100</f>
        <v>15.0850161185623</v>
      </c>
      <c r="S257" s="7" t="n">
        <f aca="false">(IF(O257&gt;1,O257,1/O257) - 1)*100</f>
        <v>0.475866460116103</v>
      </c>
      <c r="T257" s="9" t="n">
        <f aca="false">(P257+Q257) &lt; (R257+S257)</f>
        <v>0</v>
      </c>
      <c r="U257" s="10" t="n">
        <f aca="false">IF($T257,P257,R257)</f>
        <v>15.0850161185623</v>
      </c>
      <c r="V257" s="11" t="n">
        <f aca="false">IF($T257,Q257,S257)</f>
        <v>0.475866460116103</v>
      </c>
      <c r="W257" s="12" t="n">
        <f aca="false">P257 &lt; R257</f>
        <v>1</v>
      </c>
      <c r="X257" s="10" t="n">
        <f aca="false">IF($W257,P257,R257)</f>
        <v>13.1109792100068</v>
      </c>
      <c r="Y257" s="1" t="n">
        <v>325510</v>
      </c>
      <c r="Z257" s="1" t="s">
        <v>307</v>
      </c>
      <c r="AA257" s="12" t="n">
        <f aca="false">T257=W257</f>
        <v>0</v>
      </c>
    </row>
    <row r="258" customFormat="false" ht="12.8" hidden="false" customHeight="false" outlineLevel="0" collapsed="false">
      <c r="A258" s="1" t="s">
        <v>308</v>
      </c>
      <c r="B258" s="1" t="n">
        <v>325520</v>
      </c>
      <c r="C258" s="1" t="n">
        <v>10432</v>
      </c>
      <c r="D258" s="1" t="n">
        <v>3495</v>
      </c>
      <c r="E258" s="1" t="n">
        <v>1388</v>
      </c>
      <c r="F258" s="1" t="n">
        <v>12048</v>
      </c>
      <c r="G258" s="1" t="n">
        <v>4056</v>
      </c>
      <c r="H258" s="1" t="n">
        <v>1521</v>
      </c>
      <c r="I258" s="1" t="n">
        <v>15038</v>
      </c>
      <c r="J258" s="1" t="n">
        <v>6104</v>
      </c>
      <c r="K258" s="1" t="n">
        <v>2209</v>
      </c>
      <c r="L258" s="7" t="n">
        <f aca="false">(J258/G258*F258/I258)</f>
        <v>1.20570609682296</v>
      </c>
      <c r="M258" s="7" t="n">
        <f aca="false">(D258/G258*F258/C258)</f>
        <v>0.995168484771482</v>
      </c>
      <c r="N258" s="7" t="n">
        <f aca="false">(K258/H258*F258/I258)</f>
        <v>1.16356695844557</v>
      </c>
      <c r="O258" s="7" t="n">
        <f aca="false">(E258/H258*F258/C258)</f>
        <v>1.05391996708656</v>
      </c>
      <c r="P258" s="7" t="n">
        <f aca="false">(IF(L258&gt;1,L258,1/L258) - 1)*100</f>
        <v>20.570609682296</v>
      </c>
      <c r="Q258" s="7" t="n">
        <f aca="false">(IF(M258&gt;1,M258,1/M258) - 1)*100</f>
        <v>0.485497210015451</v>
      </c>
      <c r="R258" s="7" t="n">
        <f aca="false">(IF(N258&gt;1,N258,1/N258) - 1)*100</f>
        <v>16.3566958445574</v>
      </c>
      <c r="S258" s="7" t="n">
        <f aca="false">(IF(O258&gt;1,O258,1/O258) - 1)*100</f>
        <v>5.39199670865551</v>
      </c>
      <c r="T258" s="9" t="n">
        <f aca="false">(P258+Q258) &lt; (R258+S258)</f>
        <v>1</v>
      </c>
      <c r="U258" s="10" t="n">
        <f aca="false">IF($T258,P258,R258)</f>
        <v>20.570609682296</v>
      </c>
      <c r="V258" s="11" t="n">
        <f aca="false">IF($T258,Q258,S258)</f>
        <v>0.485497210015451</v>
      </c>
      <c r="W258" s="12" t="n">
        <f aca="false">P258 &lt; R258</f>
        <v>0</v>
      </c>
      <c r="X258" s="10" t="n">
        <f aca="false">IF($W258,P258,R258)</f>
        <v>16.3566958445574</v>
      </c>
      <c r="Y258" s="1" t="n">
        <v>325520</v>
      </c>
      <c r="Z258" s="1" t="s">
        <v>308</v>
      </c>
      <c r="AA258" s="12" t="n">
        <f aca="false">T258=W258</f>
        <v>0</v>
      </c>
    </row>
    <row r="259" customFormat="false" ht="12.8" hidden="false" customHeight="false" outlineLevel="0" collapsed="false">
      <c r="A259" s="1" t="s">
        <v>309</v>
      </c>
      <c r="B259" s="1" t="n">
        <v>325610</v>
      </c>
      <c r="C259" s="1" t="n">
        <v>46373</v>
      </c>
      <c r="D259" s="1" t="n">
        <v>22739</v>
      </c>
      <c r="E259" s="1" t="n">
        <v>4210</v>
      </c>
      <c r="F259" s="1" t="n">
        <v>45683</v>
      </c>
      <c r="G259" s="1" t="n">
        <v>19760</v>
      </c>
      <c r="H259" s="1" t="n">
        <v>3668</v>
      </c>
      <c r="I259" s="1" t="n">
        <v>39545</v>
      </c>
      <c r="J259" s="1" t="n">
        <v>19987</v>
      </c>
      <c r="K259" s="1" t="n">
        <v>5616</v>
      </c>
      <c r="L259" s="7" t="n">
        <f aca="false">(J259/G259*F259/I259)</f>
        <v>1.16848652536981</v>
      </c>
      <c r="M259" s="7" t="n">
        <f aca="false">(D259/G259*F259/C259)</f>
        <v>1.13363656417933</v>
      </c>
      <c r="N259" s="7" t="n">
        <f aca="false">(K259/H259*F259/I259)</f>
        <v>1.76872701240515</v>
      </c>
      <c r="O259" s="7" t="n">
        <f aca="false">(E259/H259*F259/C259)</f>
        <v>1.13068646274704</v>
      </c>
      <c r="P259" s="7" t="n">
        <f aca="false">(IF(L259&gt;1,L259,1/L259) - 1)*100</f>
        <v>16.8486525369806</v>
      </c>
      <c r="Q259" s="7" t="n">
        <f aca="false">(IF(M259&gt;1,M259,1/M259) - 1)*100</f>
        <v>13.3636564179334</v>
      </c>
      <c r="R259" s="7" t="n">
        <f aca="false">(IF(N259&gt;1,N259,1/N259) - 1)*100</f>
        <v>76.8727012405149</v>
      </c>
      <c r="S259" s="7" t="n">
        <f aca="false">(IF(O259&gt;1,O259,1/O259) - 1)*100</f>
        <v>13.0686462747038</v>
      </c>
      <c r="T259" s="9" t="n">
        <f aca="false">(P259+Q259) &lt; (R259+S259)</f>
        <v>1</v>
      </c>
      <c r="U259" s="10" t="n">
        <f aca="false">IF($T259,P259,R259)</f>
        <v>16.8486525369806</v>
      </c>
      <c r="V259" s="11" t="n">
        <f aca="false">IF($T259,Q259,S259)</f>
        <v>13.3636564179334</v>
      </c>
      <c r="W259" s="12" t="n">
        <f aca="false">P259 &lt; R259</f>
        <v>1</v>
      </c>
      <c r="X259" s="10" t="n">
        <f aca="false">IF($W259,P259,R259)</f>
        <v>16.8486525369806</v>
      </c>
      <c r="Y259" s="1" t="n">
        <v>325610</v>
      </c>
      <c r="Z259" s="1" t="s">
        <v>309</v>
      </c>
      <c r="AA259" s="12" t="n">
        <f aca="false">T259=W259</f>
        <v>1</v>
      </c>
    </row>
    <row r="260" customFormat="false" ht="12.8" hidden="false" customHeight="false" outlineLevel="0" collapsed="false">
      <c r="A260" s="1" t="s">
        <v>310</v>
      </c>
      <c r="B260" s="1" t="n">
        <v>325620</v>
      </c>
      <c r="C260" s="1" t="n">
        <v>37235</v>
      </c>
      <c r="D260" s="1" t="n">
        <v>17243</v>
      </c>
      <c r="E260" s="1" t="n">
        <v>3043</v>
      </c>
      <c r="F260" s="1" t="n">
        <v>35565</v>
      </c>
      <c r="G260" s="1" t="n">
        <v>17960</v>
      </c>
      <c r="H260" s="1" t="n">
        <v>2779</v>
      </c>
      <c r="I260" s="1" t="n">
        <v>43002</v>
      </c>
      <c r="J260" s="1" t="n">
        <v>22858</v>
      </c>
      <c r="K260" s="1" t="n">
        <v>4343</v>
      </c>
      <c r="L260" s="7" t="n">
        <f aca="false">(J260/G260*F260/I260)</f>
        <v>1.05260651625568</v>
      </c>
      <c r="M260" s="7" t="n">
        <f aca="false">(D260/G260*F260/C260)</f>
        <v>0.917018190610829</v>
      </c>
      <c r="N260" s="7" t="n">
        <f aca="false">(K260/H260*F260/I260)</f>
        <v>1.29251455019063</v>
      </c>
      <c r="O260" s="7" t="n">
        <f aca="false">(E260/H260*F260/C260)</f>
        <v>1.04588723005654</v>
      </c>
      <c r="P260" s="7" t="n">
        <f aca="false">(IF(L260&gt;1,L260,1/L260) - 1)*100</f>
        <v>5.26065162556795</v>
      </c>
      <c r="Q260" s="7" t="n">
        <f aca="false">(IF(M260&gt;1,M260,1/M260) - 1)*100</f>
        <v>9.04909087287535</v>
      </c>
      <c r="R260" s="7" t="n">
        <f aca="false">(IF(N260&gt;1,N260,1/N260) - 1)*100</f>
        <v>29.2514550190633</v>
      </c>
      <c r="S260" s="7" t="n">
        <f aca="false">(IF(O260&gt;1,O260,1/O260) - 1)*100</f>
        <v>4.58872300565352</v>
      </c>
      <c r="T260" s="9" t="n">
        <f aca="false">(P260+Q260) &lt; (R260+S260)</f>
        <v>1</v>
      </c>
      <c r="U260" s="10" t="n">
        <f aca="false">IF($T260,P260,R260)</f>
        <v>5.26065162556795</v>
      </c>
      <c r="V260" s="11" t="n">
        <f aca="false">IF($T260,Q260,S260)</f>
        <v>9.04909087287535</v>
      </c>
      <c r="W260" s="12" t="n">
        <f aca="false">P260 &lt; R260</f>
        <v>1</v>
      </c>
      <c r="X260" s="10" t="n">
        <f aca="false">IF($W260,P260,R260)</f>
        <v>5.26065162556795</v>
      </c>
      <c r="Y260" s="1" t="n">
        <v>325620</v>
      </c>
      <c r="Z260" s="1" t="s">
        <v>310</v>
      </c>
      <c r="AA260" s="12" t="n">
        <f aca="false">T260=W260</f>
        <v>1</v>
      </c>
    </row>
    <row r="261" customFormat="false" ht="12.8" hidden="false" customHeight="false" outlineLevel="0" collapsed="false">
      <c r="A261" s="1" t="s">
        <v>311</v>
      </c>
      <c r="B261" s="1" t="n">
        <v>325910</v>
      </c>
      <c r="C261" s="1" t="n">
        <v>4841</v>
      </c>
      <c r="D261" s="1" t="n">
        <v>1231</v>
      </c>
      <c r="E261" s="1" t="n">
        <v>599</v>
      </c>
      <c r="F261" s="1" t="n">
        <v>4893</v>
      </c>
      <c r="G261" s="1" t="n">
        <v>1220</v>
      </c>
      <c r="H261" s="1" t="n">
        <v>579</v>
      </c>
      <c r="I261" s="1" t="n">
        <v>4276</v>
      </c>
      <c r="J261" s="1" t="n">
        <v>1337</v>
      </c>
      <c r="K261" s="1" t="n">
        <v>753</v>
      </c>
      <c r="L261" s="7" t="n">
        <f aca="false">(J261/G261*F261/I261)</f>
        <v>1.25403337729455</v>
      </c>
      <c r="M261" s="7" t="n">
        <f aca="false">(D261/G261*F261/C261)</f>
        <v>1.0198548260927</v>
      </c>
      <c r="N261" s="7" t="n">
        <f aca="false">(K261/H261*F261/I261)</f>
        <v>1.48817475050529</v>
      </c>
      <c r="O261" s="7" t="n">
        <f aca="false">(E261/H261*F261/C261)</f>
        <v>1.04565493576564</v>
      </c>
      <c r="P261" s="7" t="n">
        <f aca="false">(IF(L261&gt;1,L261,1/L261) - 1)*100</f>
        <v>25.4033377294545</v>
      </c>
      <c r="Q261" s="7" t="n">
        <f aca="false">(IF(M261&gt;1,M261,1/M261) - 1)*100</f>
        <v>1.98548260926987</v>
      </c>
      <c r="R261" s="7" t="n">
        <f aca="false">(IF(N261&gt;1,N261,1/N261) - 1)*100</f>
        <v>48.817475050529</v>
      </c>
      <c r="S261" s="7" t="n">
        <f aca="false">(IF(O261&gt;1,O261,1/O261) - 1)*100</f>
        <v>4.56549357656375</v>
      </c>
      <c r="T261" s="9" t="n">
        <f aca="false">(P261+Q261) &lt; (R261+S261)</f>
        <v>1</v>
      </c>
      <c r="U261" s="10" t="n">
        <f aca="false">IF($T261,P261,R261)</f>
        <v>25.4033377294545</v>
      </c>
      <c r="V261" s="11" t="n">
        <f aca="false">IF($T261,Q261,S261)</f>
        <v>1.98548260926987</v>
      </c>
      <c r="W261" s="12" t="n">
        <f aca="false">P261 &lt; R261</f>
        <v>1</v>
      </c>
      <c r="X261" s="10" t="n">
        <f aca="false">IF($W261,P261,R261)</f>
        <v>25.4033377294545</v>
      </c>
      <c r="Y261" s="1" t="n">
        <v>325910</v>
      </c>
      <c r="Z261" s="1" t="s">
        <v>311</v>
      </c>
      <c r="AA261" s="12" t="n">
        <f aca="false">T261=W261</f>
        <v>1</v>
      </c>
    </row>
    <row r="262" customFormat="false" ht="12.8" hidden="false" customHeight="false" outlineLevel="0" collapsed="false">
      <c r="A262" s="1" t="s">
        <v>312</v>
      </c>
      <c r="B262" s="1" t="s">
        <v>313</v>
      </c>
      <c r="C262" s="1" t="n">
        <v>39301</v>
      </c>
      <c r="D262" s="1" t="n">
        <v>12485</v>
      </c>
      <c r="E262" s="1" t="n">
        <v>5097</v>
      </c>
      <c r="F262" s="1" t="n">
        <v>40691</v>
      </c>
      <c r="G262" s="1" t="n">
        <v>13125</v>
      </c>
      <c r="H262" s="1" t="n">
        <v>5185</v>
      </c>
      <c r="I262" s="1" t="n">
        <v>42866</v>
      </c>
      <c r="J262" s="1" t="n">
        <v>15190</v>
      </c>
      <c r="K262" s="1" t="n">
        <v>6756</v>
      </c>
      <c r="L262" s="7" t="n">
        <f aca="false">(J262/G262*F262/I262)</f>
        <v>1.09861080265634</v>
      </c>
      <c r="M262" s="7" t="n">
        <f aca="false">(D262/G262*F262/C262)</f>
        <v>0.984881538213616</v>
      </c>
      <c r="N262" s="7" t="n">
        <f aca="false">(K262/H262*F262/I262)</f>
        <v>1.23687634417335</v>
      </c>
      <c r="O262" s="7" t="n">
        <f aca="false">(E262/H262*F262/C262)</f>
        <v>1.01779575418922</v>
      </c>
      <c r="P262" s="7" t="n">
        <f aca="false">(IF(L262&gt;1,L262,1/L262) - 1)*100</f>
        <v>9.86108026563399</v>
      </c>
      <c r="Q262" s="7" t="n">
        <f aca="false">(IF(M262&gt;1,M262,1/M262) - 1)*100</f>
        <v>1.53505383132733</v>
      </c>
      <c r="R262" s="7" t="n">
        <f aca="false">(IF(N262&gt;1,N262,1/N262) - 1)*100</f>
        <v>23.6876344173345</v>
      </c>
      <c r="S262" s="7" t="n">
        <f aca="false">(IF(O262&gt;1,O262,1/O262) - 1)*100</f>
        <v>1.77957541892204</v>
      </c>
      <c r="T262" s="9" t="n">
        <f aca="false">(P262+Q262) &lt; (R262+S262)</f>
        <v>1</v>
      </c>
      <c r="U262" s="10" t="n">
        <f aca="false">IF($T262,P262,R262)</f>
        <v>9.86108026563399</v>
      </c>
      <c r="V262" s="11" t="n">
        <f aca="false">IF($T262,Q262,S262)</f>
        <v>1.53505383132733</v>
      </c>
      <c r="W262" s="12" t="n">
        <f aca="false">P262 &lt; R262</f>
        <v>1</v>
      </c>
      <c r="X262" s="10" t="n">
        <f aca="false">IF($W262,P262,R262)</f>
        <v>9.86108026563399</v>
      </c>
      <c r="Y262" s="1" t="s">
        <v>313</v>
      </c>
      <c r="Z262" s="1" t="s">
        <v>312</v>
      </c>
      <c r="AA262" s="12" t="n">
        <f aca="false">T262=W262</f>
        <v>1</v>
      </c>
    </row>
    <row r="263" customFormat="false" ht="12.8" hidden="false" customHeight="false" outlineLevel="0" collapsed="false">
      <c r="A263" s="1" t="s">
        <v>314</v>
      </c>
      <c r="B263" s="1" t="n">
        <v>326110</v>
      </c>
      <c r="C263" s="1" t="n">
        <v>33988</v>
      </c>
      <c r="D263" s="1" t="n">
        <v>9897</v>
      </c>
      <c r="E263" s="1" t="n">
        <v>5502</v>
      </c>
      <c r="F263" s="1" t="n">
        <v>39379</v>
      </c>
      <c r="G263" s="1" t="n">
        <v>10993</v>
      </c>
      <c r="H263" s="1" t="n">
        <v>5351</v>
      </c>
      <c r="I263" s="1" t="n">
        <v>39196</v>
      </c>
      <c r="J263" s="1" t="n">
        <v>11476</v>
      </c>
      <c r="K263" s="1" t="n">
        <v>6831</v>
      </c>
      <c r="L263" s="7" t="n">
        <f aca="false">(J263/G263*F263/I263)</f>
        <v>1.04881102983579</v>
      </c>
      <c r="M263" s="7" t="n">
        <f aca="false">(D263/G263*F263/C263)</f>
        <v>1.04310113047535</v>
      </c>
      <c r="N263" s="7" t="n">
        <f aca="false">(K263/H263*F263/I263)</f>
        <v>1.28254398649254</v>
      </c>
      <c r="O263" s="7" t="n">
        <f aca="false">(E263/H263*F263/C263)</f>
        <v>1.19130978477855</v>
      </c>
      <c r="P263" s="7" t="n">
        <f aca="false">(IF(L263&gt;1,L263,1/L263) - 1)*100</f>
        <v>4.88110298357858</v>
      </c>
      <c r="Q263" s="7" t="n">
        <f aca="false">(IF(M263&gt;1,M263,1/M263) - 1)*100</f>
        <v>4.31011304753499</v>
      </c>
      <c r="R263" s="7" t="n">
        <f aca="false">(IF(N263&gt;1,N263,1/N263) - 1)*100</f>
        <v>28.2543986492544</v>
      </c>
      <c r="S263" s="7" t="n">
        <f aca="false">(IF(O263&gt;1,O263,1/O263) - 1)*100</f>
        <v>19.1309784778547</v>
      </c>
      <c r="T263" s="9" t="n">
        <f aca="false">(P263+Q263) &lt; (R263+S263)</f>
        <v>1</v>
      </c>
      <c r="U263" s="10" t="n">
        <f aca="false">IF($T263,P263,R263)</f>
        <v>4.88110298357858</v>
      </c>
      <c r="V263" s="11" t="n">
        <f aca="false">IF($T263,Q263,S263)</f>
        <v>4.31011304753499</v>
      </c>
      <c r="W263" s="12" t="n">
        <f aca="false">P263 &lt; R263</f>
        <v>1</v>
      </c>
      <c r="X263" s="10" t="n">
        <f aca="false">IF($W263,P263,R263)</f>
        <v>4.88110298357858</v>
      </c>
      <c r="Y263" s="1" t="n">
        <v>326110</v>
      </c>
      <c r="Z263" s="1" t="s">
        <v>314</v>
      </c>
      <c r="AA263" s="12" t="n">
        <f aca="false">T263=W263</f>
        <v>1</v>
      </c>
    </row>
    <row r="264" customFormat="false" ht="12.8" hidden="false" customHeight="false" outlineLevel="0" collapsed="false">
      <c r="A264" s="1" t="s">
        <v>315</v>
      </c>
      <c r="B264" s="1" t="n">
        <v>326120</v>
      </c>
      <c r="C264" s="1" t="n">
        <v>13806</v>
      </c>
      <c r="D264" s="1" t="n">
        <v>4643</v>
      </c>
      <c r="E264" s="1" t="n">
        <v>3074</v>
      </c>
      <c r="F264" s="1" t="n">
        <v>15381</v>
      </c>
      <c r="G264" s="1" t="n">
        <v>5437</v>
      </c>
      <c r="H264" s="1" t="n">
        <v>3270</v>
      </c>
      <c r="I264" s="1" t="n">
        <v>18797</v>
      </c>
      <c r="J264" s="1" t="n">
        <v>6599</v>
      </c>
      <c r="K264" s="1" t="n">
        <v>3541</v>
      </c>
      <c r="L264" s="7" t="n">
        <f aca="false">(J264/G264*F264/I264)</f>
        <v>0.99314995234458</v>
      </c>
      <c r="M264" s="7" t="n">
        <f aca="false">(D264/G264*F264/C264)</f>
        <v>0.951384460954794</v>
      </c>
      <c r="N264" s="7" t="n">
        <f aca="false">(K264/H264*F264/I264)</f>
        <v>0.886082592722926</v>
      </c>
      <c r="O264" s="7" t="n">
        <f aca="false">(E264/H264*F264/C264)</f>
        <v>1.0473041238552</v>
      </c>
      <c r="P264" s="7" t="n">
        <f aca="false">(IF(L264&gt;1,L264,1/L264) - 1)*100</f>
        <v>0.689729445110321</v>
      </c>
      <c r="Q264" s="7" t="n">
        <f aca="false">(IF(M264&gt;1,M264,1/M264) - 1)*100</f>
        <v>5.10997825173818</v>
      </c>
      <c r="R264" s="7" t="n">
        <f aca="false">(IF(N264&gt;1,N264,1/N264) - 1)*100</f>
        <v>12.856296716879</v>
      </c>
      <c r="S264" s="7" t="n">
        <f aca="false">(IF(O264&gt;1,O264,1/O264) - 1)*100</f>
        <v>4.73041238552046</v>
      </c>
      <c r="T264" s="9" t="n">
        <f aca="false">(P264+Q264) &lt; (R264+S264)</f>
        <v>1</v>
      </c>
      <c r="U264" s="10" t="n">
        <f aca="false">IF($T264,P264,R264)</f>
        <v>0.689729445110321</v>
      </c>
      <c r="V264" s="11" t="n">
        <f aca="false">IF($T264,Q264,S264)</f>
        <v>5.10997825173818</v>
      </c>
      <c r="W264" s="12" t="n">
        <f aca="false">P264 &lt; R264</f>
        <v>1</v>
      </c>
      <c r="X264" s="10" t="n">
        <f aca="false">IF($W264,P264,R264)</f>
        <v>0.689729445110321</v>
      </c>
      <c r="Y264" s="1" t="n">
        <v>326120</v>
      </c>
      <c r="Z264" s="1" t="s">
        <v>315</v>
      </c>
      <c r="AA264" s="12" t="n">
        <f aca="false">T264=W264</f>
        <v>1</v>
      </c>
    </row>
    <row r="265" customFormat="false" ht="12.8" hidden="false" customHeight="false" outlineLevel="0" collapsed="false">
      <c r="A265" s="1" t="s">
        <v>316</v>
      </c>
      <c r="B265" s="1" t="n">
        <v>326130</v>
      </c>
      <c r="C265" s="1" t="n">
        <v>3725</v>
      </c>
      <c r="D265" s="1" t="n">
        <v>1345</v>
      </c>
      <c r="E265" s="1" t="n">
        <v>982</v>
      </c>
      <c r="F265" s="1" t="n">
        <v>3542</v>
      </c>
      <c r="G265" s="1" t="n">
        <v>1391</v>
      </c>
      <c r="H265" s="1" t="n">
        <v>951</v>
      </c>
      <c r="I265" s="1" t="n">
        <v>4465</v>
      </c>
      <c r="J265" s="1" t="n">
        <v>1853</v>
      </c>
      <c r="K265" s="1" t="n">
        <v>1372</v>
      </c>
      <c r="L265" s="7" t="n">
        <f aca="false">(J265/G265*F265/I265)</f>
        <v>1.05675760749596</v>
      </c>
      <c r="M265" s="7" t="n">
        <f aca="false">(D265/G265*F265/C265)</f>
        <v>0.919427383129321</v>
      </c>
      <c r="N265" s="7" t="n">
        <f aca="false">(K265/H265*F265/I265)</f>
        <v>1.14446018395206</v>
      </c>
      <c r="O265" s="7" t="n">
        <f aca="false">(E265/H265*F265/C265)</f>
        <v>0.981868326523123</v>
      </c>
      <c r="P265" s="7" t="n">
        <f aca="false">(IF(L265&gt;1,L265,1/L265) - 1)*100</f>
        <v>5.67576074959566</v>
      </c>
      <c r="Q265" s="7" t="n">
        <f aca="false">(IF(M265&gt;1,M265,1/M265) - 1)*100</f>
        <v>8.76334753011656</v>
      </c>
      <c r="R265" s="7" t="n">
        <f aca="false">(IF(N265&gt;1,N265,1/N265) - 1)*100</f>
        <v>14.4460183952061</v>
      </c>
      <c r="S265" s="7" t="n">
        <f aca="false">(IF(O265&gt;1,O265,1/O265) - 1)*100</f>
        <v>1.8466502062535</v>
      </c>
      <c r="T265" s="9" t="n">
        <f aca="false">(P265+Q265) &lt; (R265+S265)</f>
        <v>1</v>
      </c>
      <c r="U265" s="10" t="n">
        <f aca="false">IF($T265,P265,R265)</f>
        <v>5.67576074959566</v>
      </c>
      <c r="V265" s="11" t="n">
        <f aca="false">IF($T265,Q265,S265)</f>
        <v>8.76334753011656</v>
      </c>
      <c r="W265" s="12" t="n">
        <f aca="false">P265 &lt; R265</f>
        <v>1</v>
      </c>
      <c r="X265" s="10" t="n">
        <f aca="false">IF($W265,P265,R265)</f>
        <v>5.67576074959566</v>
      </c>
      <c r="Y265" s="1" t="n">
        <v>326130</v>
      </c>
      <c r="Z265" s="1" t="s">
        <v>316</v>
      </c>
      <c r="AA265" s="12" t="n">
        <f aca="false">T265=W265</f>
        <v>1</v>
      </c>
    </row>
    <row r="266" customFormat="false" ht="12.8" hidden="false" customHeight="false" outlineLevel="0" collapsed="false">
      <c r="A266" s="1" t="s">
        <v>317</v>
      </c>
      <c r="B266" s="1" t="n">
        <v>326140</v>
      </c>
      <c r="C266" s="1" t="n">
        <v>7753</v>
      </c>
      <c r="D266" s="1" t="n">
        <v>2298</v>
      </c>
      <c r="E266" s="1" t="n">
        <v>1468</v>
      </c>
      <c r="F266" s="1" t="n">
        <v>8293</v>
      </c>
      <c r="G266" s="1" t="n">
        <v>2478</v>
      </c>
      <c r="H266" s="1" t="n">
        <v>1389</v>
      </c>
      <c r="I266" s="1" t="n">
        <v>9865</v>
      </c>
      <c r="J266" s="1" t="n">
        <v>2713</v>
      </c>
      <c r="K266" s="1" t="n">
        <v>1959</v>
      </c>
      <c r="L266" s="7" t="n">
        <f aca="false">(J266/G266*F266/I266)</f>
        <v>0.920371299876828</v>
      </c>
      <c r="M266" s="7" t="n">
        <f aca="false">(D266/G266*F266/C266)</f>
        <v>0.991951877411197</v>
      </c>
      <c r="N266" s="7" t="n">
        <f aca="false">(K266/H266*F266/I266)</f>
        <v>1.18562341064413</v>
      </c>
      <c r="O266" s="7" t="n">
        <f aca="false">(E266/H266*F266/C266)</f>
        <v>1.13048730898381</v>
      </c>
      <c r="P266" s="7" t="n">
        <f aca="false">(IF(L266&gt;1,L266,1/L266) - 1)*100</f>
        <v>8.65180173847542</v>
      </c>
      <c r="Q266" s="7" t="n">
        <f aca="false">(IF(M266&gt;1,M266,1/M266) - 1)*100</f>
        <v>0.811342039072227</v>
      </c>
      <c r="R266" s="7" t="n">
        <f aca="false">(IF(N266&gt;1,N266,1/N266) - 1)*100</f>
        <v>18.5623410644128</v>
      </c>
      <c r="S266" s="7" t="n">
        <f aca="false">(IF(O266&gt;1,O266,1/O266) - 1)*100</f>
        <v>13.048730898381</v>
      </c>
      <c r="T266" s="9" t="n">
        <f aca="false">(P266+Q266) &lt; (R266+S266)</f>
        <v>1</v>
      </c>
      <c r="U266" s="10" t="n">
        <f aca="false">IF($T266,P266,R266)</f>
        <v>8.65180173847542</v>
      </c>
      <c r="V266" s="11" t="n">
        <f aca="false">IF($T266,Q266,S266)</f>
        <v>0.811342039072227</v>
      </c>
      <c r="W266" s="12" t="n">
        <f aca="false">P266 &lt; R266</f>
        <v>1</v>
      </c>
      <c r="X266" s="10" t="n">
        <f aca="false">IF($W266,P266,R266)</f>
        <v>8.65180173847542</v>
      </c>
      <c r="Y266" s="1" t="n">
        <v>326140</v>
      </c>
      <c r="Z266" s="1" t="s">
        <v>317</v>
      </c>
      <c r="AA266" s="12" t="n">
        <f aca="false">T266=W266</f>
        <v>1</v>
      </c>
    </row>
    <row r="267" customFormat="false" ht="12.8" hidden="false" customHeight="false" outlineLevel="0" collapsed="false">
      <c r="A267" s="1" t="s">
        <v>318</v>
      </c>
      <c r="B267" s="1" t="n">
        <v>326150</v>
      </c>
      <c r="C267" s="1" t="n">
        <v>9636</v>
      </c>
      <c r="D267" s="1" t="n">
        <v>2428</v>
      </c>
      <c r="E267" s="1" t="n">
        <v>1711</v>
      </c>
      <c r="F267" s="1" t="n">
        <v>9429</v>
      </c>
      <c r="G267" s="1" t="n">
        <v>2616</v>
      </c>
      <c r="H267" s="1" t="n">
        <v>1711</v>
      </c>
      <c r="I267" s="1" t="n">
        <v>10931</v>
      </c>
      <c r="J267" s="1" t="n">
        <v>3300</v>
      </c>
      <c r="K267" s="1" t="n">
        <v>2214</v>
      </c>
      <c r="L267" s="7" t="n">
        <f aca="false">(J267/G267*F267/I267)</f>
        <v>1.08813290037004</v>
      </c>
      <c r="M267" s="7" t="n">
        <f aca="false">(D267/G267*F267/C267)</f>
        <v>0.908196423198937</v>
      </c>
      <c r="N267" s="7" t="n">
        <f aca="false">(K267/H267*F267/I267)</f>
        <v>1.1161777177183</v>
      </c>
      <c r="O267" s="7" t="n">
        <f aca="false">(E267/H267*F267/C267)</f>
        <v>0.978518057285181</v>
      </c>
      <c r="P267" s="7" t="n">
        <f aca="false">(IF(L267&gt;1,L267,1/L267) - 1)*100</f>
        <v>8.81329003700444</v>
      </c>
      <c r="Q267" s="7" t="n">
        <f aca="false">(IF(M267&gt;1,M267,1/M267) - 1)*100</f>
        <v>10.1083393917919</v>
      </c>
      <c r="R267" s="7" t="n">
        <f aca="false">(IF(N267&gt;1,N267,1/N267) - 1)*100</f>
        <v>11.6177717718299</v>
      </c>
      <c r="S267" s="7" t="n">
        <f aca="false">(IF(O267&gt;1,O267,1/O267) - 1)*100</f>
        <v>2.19535475660198</v>
      </c>
      <c r="T267" s="9" t="n">
        <f aca="false">(P267+Q267) &lt; (R267+S267)</f>
        <v>0</v>
      </c>
      <c r="U267" s="10" t="n">
        <f aca="false">IF($T267,P267,R267)</f>
        <v>11.6177717718299</v>
      </c>
      <c r="V267" s="11" t="n">
        <f aca="false">IF($T267,Q267,S267)</f>
        <v>2.19535475660198</v>
      </c>
      <c r="W267" s="12" t="n">
        <f aca="false">P267 &lt; R267</f>
        <v>1</v>
      </c>
      <c r="X267" s="10" t="n">
        <f aca="false">IF($W267,P267,R267)</f>
        <v>8.81329003700444</v>
      </c>
      <c r="Y267" s="1" t="n">
        <v>326150</v>
      </c>
      <c r="Z267" s="1" t="s">
        <v>318</v>
      </c>
      <c r="AA267" s="12" t="n">
        <f aca="false">T267=W267</f>
        <v>0</v>
      </c>
    </row>
    <row r="268" customFormat="false" ht="12.8" hidden="false" customHeight="false" outlineLevel="0" collapsed="false">
      <c r="A268" s="1" t="s">
        <v>319</v>
      </c>
      <c r="B268" s="1" t="n">
        <v>326160</v>
      </c>
      <c r="C268" s="1" t="n">
        <v>11847</v>
      </c>
      <c r="D268" s="1" t="n">
        <v>3097</v>
      </c>
      <c r="E268" s="1" t="n">
        <v>1837</v>
      </c>
      <c r="F268" s="1" t="n">
        <v>12336</v>
      </c>
      <c r="G268" s="1" t="n">
        <v>3280</v>
      </c>
      <c r="H268" s="1" t="n">
        <v>1742</v>
      </c>
      <c r="I268" s="1" t="n">
        <v>11131</v>
      </c>
      <c r="J268" s="1" t="n">
        <v>3329</v>
      </c>
      <c r="K268" s="1" t="n">
        <v>2279</v>
      </c>
      <c r="L268" s="7" t="n">
        <f aca="false">(J268/G268*F268/I268)</f>
        <v>1.12481248808535</v>
      </c>
      <c r="M268" s="7" t="n">
        <f aca="false">(D268/G268*F268/C268)</f>
        <v>0.983180675564669</v>
      </c>
      <c r="N268" s="7" t="n">
        <f aca="false">(K268/H268*F268/I268)</f>
        <v>1.44989433323077</v>
      </c>
      <c r="O268" s="7" t="n">
        <f aca="false">(E268/H268*F268/C268)</f>
        <v>1.09806229192584</v>
      </c>
      <c r="P268" s="7" t="n">
        <f aca="false">(IF(L268&gt;1,L268,1/L268) - 1)*100</f>
        <v>12.4812488085352</v>
      </c>
      <c r="Q268" s="7" t="n">
        <f aca="false">(IF(M268&gt;1,M268,1/M268) - 1)*100</f>
        <v>1.71070535185927</v>
      </c>
      <c r="R268" s="7" t="n">
        <f aca="false">(IF(N268&gt;1,N268,1/N268) - 1)*100</f>
        <v>44.9894333230773</v>
      </c>
      <c r="S268" s="7" t="n">
        <f aca="false">(IF(O268&gt;1,O268,1/O268) - 1)*100</f>
        <v>9.80622919258434</v>
      </c>
      <c r="T268" s="9" t="n">
        <f aca="false">(P268+Q268) &lt; (R268+S268)</f>
        <v>1</v>
      </c>
      <c r="U268" s="10" t="n">
        <f aca="false">IF($T268,P268,R268)</f>
        <v>12.4812488085352</v>
      </c>
      <c r="V268" s="11" t="n">
        <f aca="false">IF($T268,Q268,S268)</f>
        <v>1.71070535185927</v>
      </c>
      <c r="W268" s="12" t="n">
        <f aca="false">P268 &lt; R268</f>
        <v>1</v>
      </c>
      <c r="X268" s="10" t="n">
        <f aca="false">IF($W268,P268,R268)</f>
        <v>12.4812488085352</v>
      </c>
      <c r="Y268" s="1" t="n">
        <v>326160</v>
      </c>
      <c r="Z268" s="1" t="s">
        <v>319</v>
      </c>
      <c r="AA268" s="12" t="n">
        <f aca="false">T268=W268</f>
        <v>1</v>
      </c>
    </row>
    <row r="269" customFormat="false" ht="12.8" hidden="false" customHeight="false" outlineLevel="0" collapsed="false">
      <c r="A269" s="1" t="s">
        <v>320</v>
      </c>
      <c r="B269" s="1" t="n">
        <v>326190</v>
      </c>
      <c r="C269" s="1" t="n">
        <v>88219</v>
      </c>
      <c r="D269" s="1" t="n">
        <v>26217</v>
      </c>
      <c r="E269" s="1" t="n">
        <v>16223</v>
      </c>
      <c r="F269" s="1" t="n">
        <v>83568</v>
      </c>
      <c r="G269" s="1" t="n">
        <v>28068</v>
      </c>
      <c r="H269" s="1" t="n">
        <v>15663</v>
      </c>
      <c r="I269" s="1" t="n">
        <v>99611</v>
      </c>
      <c r="J269" s="1" t="n">
        <v>32539</v>
      </c>
      <c r="K269" s="1" t="n">
        <v>19074</v>
      </c>
      <c r="L269" s="7" t="n">
        <f aca="false">(J269/G269*F269/I269)</f>
        <v>0.972580241800716</v>
      </c>
      <c r="M269" s="7" t="n">
        <f aca="false">(D269/G269*F269/C269)</f>
        <v>0.884808740555061</v>
      </c>
      <c r="N269" s="7" t="n">
        <f aca="false">(K269/H269*F269/I269)</f>
        <v>1.02164388250221</v>
      </c>
      <c r="O269" s="7" t="n">
        <f aca="false">(E269/H269*F269/C269)</f>
        <v>0.981147040481318</v>
      </c>
      <c r="P269" s="7" t="n">
        <f aca="false">(IF(L269&gt;1,L269,1/L269) - 1)*100</f>
        <v>2.8192797900682</v>
      </c>
      <c r="Q269" s="7" t="n">
        <f aca="false">(IF(M269&gt;1,M269,1/M269) - 1)*100</f>
        <v>13.018775037493</v>
      </c>
      <c r="R269" s="7" t="n">
        <f aca="false">(IF(N269&gt;1,N269,1/N269) - 1)*100</f>
        <v>2.16438825022056</v>
      </c>
      <c r="S269" s="7" t="n">
        <f aca="false">(IF(O269&gt;1,O269,1/O269) - 1)*100</f>
        <v>1.92152233465772</v>
      </c>
      <c r="T269" s="9" t="n">
        <f aca="false">(P269+Q269) &lt; (R269+S269)</f>
        <v>0</v>
      </c>
      <c r="U269" s="10" t="n">
        <f aca="false">IF($T269,P269,R269)</f>
        <v>2.16438825022056</v>
      </c>
      <c r="V269" s="11" t="n">
        <f aca="false">IF($T269,Q269,S269)</f>
        <v>1.92152233465772</v>
      </c>
      <c r="W269" s="12" t="n">
        <f aca="false">P269 &lt; R269</f>
        <v>0</v>
      </c>
      <c r="X269" s="10" t="n">
        <f aca="false">IF($W269,P269,R269)</f>
        <v>2.16438825022056</v>
      </c>
      <c r="Y269" s="1" t="n">
        <v>326190</v>
      </c>
      <c r="Z269" s="1" t="s">
        <v>320</v>
      </c>
      <c r="AA269" s="12" t="n">
        <f aca="false">T269=W269</f>
        <v>1</v>
      </c>
    </row>
    <row r="270" customFormat="false" ht="12.8" hidden="false" customHeight="false" outlineLevel="0" collapsed="false">
      <c r="A270" s="1" t="s">
        <v>321</v>
      </c>
      <c r="B270" s="1" t="n">
        <v>326210</v>
      </c>
      <c r="C270" s="1" t="n">
        <v>17449</v>
      </c>
      <c r="D270" s="1" t="n">
        <v>6024</v>
      </c>
      <c r="E270" s="1" t="n">
        <v>4702</v>
      </c>
      <c r="F270" s="1" t="n">
        <v>21020</v>
      </c>
      <c r="G270" s="1" t="n">
        <v>5829</v>
      </c>
      <c r="H270" s="1" t="n">
        <v>4230</v>
      </c>
      <c r="I270" s="1" t="n">
        <v>19736</v>
      </c>
      <c r="J270" s="1" t="n">
        <v>6716</v>
      </c>
      <c r="K270" s="1" t="n">
        <v>4568</v>
      </c>
      <c r="L270" s="7" t="n">
        <f aca="false">(J270/G270*F270/I270)</f>
        <v>1.22712896526829</v>
      </c>
      <c r="M270" s="7" t="n">
        <f aca="false">(D270/G270*F270/C270)</f>
        <v>1.24495334642917</v>
      </c>
      <c r="N270" s="7" t="n">
        <f aca="false">(K270/H270*F270/I270)</f>
        <v>1.15016276313053</v>
      </c>
      <c r="O270" s="7" t="n">
        <f aca="false">(E270/H270*F270/C270)</f>
        <v>1.33907353371738</v>
      </c>
      <c r="P270" s="7" t="n">
        <f aca="false">(IF(L270&gt;1,L270,1/L270) - 1)*100</f>
        <v>22.7128965268287</v>
      </c>
      <c r="Q270" s="7" t="n">
        <f aca="false">(IF(M270&gt;1,M270,1/M270) - 1)*100</f>
        <v>24.4953346429166</v>
      </c>
      <c r="R270" s="7" t="n">
        <f aca="false">(IF(N270&gt;1,N270,1/N270) - 1)*100</f>
        <v>15.0162763130533</v>
      </c>
      <c r="S270" s="7" t="n">
        <f aca="false">(IF(O270&gt;1,O270,1/O270) - 1)*100</f>
        <v>33.9073533717377</v>
      </c>
      <c r="T270" s="9" t="n">
        <f aca="false">(P270+Q270) &lt; (R270+S270)</f>
        <v>1</v>
      </c>
      <c r="U270" s="10" t="n">
        <f aca="false">IF($T270,P270,R270)</f>
        <v>22.7128965268287</v>
      </c>
      <c r="V270" s="11" t="n">
        <f aca="false">IF($T270,Q270,S270)</f>
        <v>24.4953346429166</v>
      </c>
      <c r="W270" s="12" t="n">
        <f aca="false">P270 &lt; R270</f>
        <v>0</v>
      </c>
      <c r="X270" s="10" t="n">
        <f aca="false">IF($W270,P270,R270)</f>
        <v>15.0162763130533</v>
      </c>
      <c r="Y270" s="1" t="n">
        <v>326210</v>
      </c>
      <c r="Z270" s="1" t="s">
        <v>321</v>
      </c>
      <c r="AA270" s="12" t="n">
        <f aca="false">T270=W270</f>
        <v>0</v>
      </c>
    </row>
    <row r="271" customFormat="false" ht="12.8" hidden="false" customHeight="false" outlineLevel="0" collapsed="false">
      <c r="A271" s="1" t="s">
        <v>322</v>
      </c>
      <c r="B271" s="1" t="n">
        <v>326220</v>
      </c>
      <c r="C271" s="1" t="n">
        <v>4392</v>
      </c>
      <c r="D271" s="1" t="n">
        <v>1919</v>
      </c>
      <c r="E271" s="1" t="n">
        <v>1625</v>
      </c>
      <c r="F271" s="1" t="n">
        <v>5286</v>
      </c>
      <c r="G271" s="1" t="n">
        <v>1918</v>
      </c>
      <c r="H271" s="1" t="n">
        <v>1547</v>
      </c>
      <c r="I271" s="1" t="n">
        <v>5359</v>
      </c>
      <c r="J271" s="1" t="n">
        <v>2105</v>
      </c>
      <c r="K271" s="1" t="n">
        <v>1635</v>
      </c>
      <c r="L271" s="7" t="n">
        <f aca="false">(J271/G271*F271/I271)</f>
        <v>1.08254734465775</v>
      </c>
      <c r="M271" s="7" t="n">
        <f aca="false">(D271/G271*F271/C271)</f>
        <v>1.20417941617236</v>
      </c>
      <c r="N271" s="7" t="n">
        <f aca="false">(K271/H271*F271/I271)</f>
        <v>1.04248747312093</v>
      </c>
      <c r="O271" s="7" t="n">
        <f aca="false">(E271/H271*F271/C271)</f>
        <v>1.26423520227763</v>
      </c>
      <c r="P271" s="7" t="n">
        <f aca="false">(IF(L271&gt;1,L271,1/L271) - 1)*100</f>
        <v>8.25473446577449</v>
      </c>
      <c r="Q271" s="7" t="n">
        <f aca="false">(IF(M271&gt;1,M271,1/M271) - 1)*100</f>
        <v>20.4179416172356</v>
      </c>
      <c r="R271" s="7" t="n">
        <f aca="false">(IF(N271&gt;1,N271,1/N271) - 1)*100</f>
        <v>4.24874731209319</v>
      </c>
      <c r="S271" s="7" t="n">
        <f aca="false">(IF(O271&gt;1,O271,1/O271) - 1)*100</f>
        <v>26.4235202277632</v>
      </c>
      <c r="T271" s="9" t="n">
        <f aca="false">(P271+Q271) &lt; (R271+S271)</f>
        <v>1</v>
      </c>
      <c r="U271" s="10" t="n">
        <f aca="false">IF($T271,P271,R271)</f>
        <v>8.25473446577449</v>
      </c>
      <c r="V271" s="11" t="n">
        <f aca="false">IF($T271,Q271,S271)</f>
        <v>20.4179416172356</v>
      </c>
      <c r="W271" s="12" t="n">
        <f aca="false">P271 &lt; R271</f>
        <v>0</v>
      </c>
      <c r="X271" s="10" t="n">
        <f aca="false">IF($W271,P271,R271)</f>
        <v>4.24874731209319</v>
      </c>
      <c r="Y271" s="1" t="n">
        <v>326220</v>
      </c>
      <c r="Z271" s="1" t="s">
        <v>322</v>
      </c>
      <c r="AA271" s="12" t="n">
        <f aca="false">T271=W271</f>
        <v>0</v>
      </c>
    </row>
    <row r="272" customFormat="false" ht="12.8" hidden="false" customHeight="false" outlineLevel="0" collapsed="false">
      <c r="A272" s="1" t="s">
        <v>323</v>
      </c>
      <c r="B272" s="1" t="n">
        <v>326290</v>
      </c>
      <c r="C272" s="1" t="n">
        <v>15394</v>
      </c>
      <c r="D272" s="1" t="n">
        <v>5372</v>
      </c>
      <c r="E272" s="1" t="n">
        <v>3487</v>
      </c>
      <c r="F272" s="1" t="n">
        <v>18098</v>
      </c>
      <c r="G272" s="1" t="n">
        <v>5548</v>
      </c>
      <c r="H272" s="1" t="n">
        <v>3185</v>
      </c>
      <c r="I272" s="1" t="n">
        <v>18257</v>
      </c>
      <c r="J272" s="1" t="n">
        <v>6157</v>
      </c>
      <c r="K272" s="1" t="n">
        <v>3682</v>
      </c>
      <c r="L272" s="7" t="n">
        <f aca="false">(J272/G272*F272/I272)</f>
        <v>1.10010431846291</v>
      </c>
      <c r="M272" s="7" t="n">
        <f aca="false">(D272/G272*F272/C272)</f>
        <v>1.13835744766709</v>
      </c>
      <c r="N272" s="7" t="n">
        <f aca="false">(K272/H272*F272/I272)</f>
        <v>1.14597598271805</v>
      </c>
      <c r="O272" s="7" t="n">
        <f aca="false">(E272/H272*F272/C272)</f>
        <v>1.28712762765733</v>
      </c>
      <c r="P272" s="7" t="n">
        <f aca="false">(IF(L272&gt;1,L272,1/L272) - 1)*100</f>
        <v>10.0104318462911</v>
      </c>
      <c r="Q272" s="7" t="n">
        <f aca="false">(IF(M272&gt;1,M272,1/M272) - 1)*100</f>
        <v>13.8357447667089</v>
      </c>
      <c r="R272" s="7" t="n">
        <f aca="false">(IF(N272&gt;1,N272,1/N272) - 1)*100</f>
        <v>14.5975982718054</v>
      </c>
      <c r="S272" s="7" t="n">
        <f aca="false">(IF(O272&gt;1,O272,1/O272) - 1)*100</f>
        <v>28.7127627657333</v>
      </c>
      <c r="T272" s="9" t="n">
        <f aca="false">(P272+Q272) &lt; (R272+S272)</f>
        <v>1</v>
      </c>
      <c r="U272" s="10" t="n">
        <f aca="false">IF($T272,P272,R272)</f>
        <v>10.0104318462911</v>
      </c>
      <c r="V272" s="11" t="n">
        <f aca="false">IF($T272,Q272,S272)</f>
        <v>13.8357447667089</v>
      </c>
      <c r="W272" s="12" t="n">
        <f aca="false">P272 &lt; R272</f>
        <v>1</v>
      </c>
      <c r="X272" s="10" t="n">
        <f aca="false">IF($W272,P272,R272)</f>
        <v>10.0104318462911</v>
      </c>
      <c r="Y272" s="1" t="n">
        <v>326290</v>
      </c>
      <c r="Z272" s="1" t="s">
        <v>323</v>
      </c>
      <c r="AA272" s="12" t="n">
        <f aca="false">T272=W272</f>
        <v>1</v>
      </c>
    </row>
    <row r="273" customFormat="false" ht="12.8" hidden="false" customHeight="false" outlineLevel="0" collapsed="false">
      <c r="A273" s="1" t="s">
        <v>324</v>
      </c>
      <c r="B273" s="1" t="n">
        <v>423100</v>
      </c>
      <c r="C273" s="1" t="n">
        <v>72469</v>
      </c>
      <c r="D273" s="1" t="n">
        <v>44791</v>
      </c>
      <c r="E273" s="1" t="n">
        <v>30238</v>
      </c>
      <c r="F273" s="1" t="n">
        <v>104839</v>
      </c>
      <c r="G273" s="1" t="n">
        <v>51190</v>
      </c>
      <c r="H273" s="1" t="n">
        <v>24355</v>
      </c>
      <c r="I273" s="1" t="n">
        <v>132717</v>
      </c>
      <c r="J273" s="1" t="n">
        <v>62796</v>
      </c>
      <c r="K273" s="1" t="n">
        <v>28670</v>
      </c>
      <c r="L273" s="7" t="n">
        <f aca="false">(J273/G273*F273/I273)</f>
        <v>0.969043259273964</v>
      </c>
      <c r="M273" s="7" t="n">
        <f aca="false">(D273/G273*F273/C273)</f>
        <v>1.26583246616924</v>
      </c>
      <c r="N273" s="7" t="n">
        <f aca="false">(K273/H273*F273/I273)</f>
        <v>0.929899197079972</v>
      </c>
      <c r="O273" s="7" t="n">
        <f aca="false">(E273/H273*F273/C273)</f>
        <v>1.79612074962817</v>
      </c>
      <c r="P273" s="7" t="n">
        <f aca="false">(IF(L273&gt;1,L273,1/L273) - 1)*100</f>
        <v>3.19456746948836</v>
      </c>
      <c r="Q273" s="7" t="n">
        <f aca="false">(IF(M273&gt;1,M273,1/M273) - 1)*100</f>
        <v>26.5832466169238</v>
      </c>
      <c r="R273" s="7" t="n">
        <f aca="false">(IF(N273&gt;1,N273,1/N273) - 1)*100</f>
        <v>7.5385378479899</v>
      </c>
      <c r="S273" s="7" t="n">
        <f aca="false">(IF(O273&gt;1,O273,1/O273) - 1)*100</f>
        <v>79.6120749628171</v>
      </c>
      <c r="T273" s="9" t="n">
        <f aca="false">(P273+Q273) &lt; (R273+S273)</f>
        <v>1</v>
      </c>
      <c r="U273" s="10" t="n">
        <f aca="false">IF($T273,P273,R273)</f>
        <v>3.19456746948836</v>
      </c>
      <c r="V273" s="11" t="n">
        <f aca="false">IF($T273,Q273,S273)</f>
        <v>26.5832466169238</v>
      </c>
      <c r="W273" s="12" t="n">
        <f aca="false">P273 &lt; R273</f>
        <v>1</v>
      </c>
      <c r="X273" s="10" t="n">
        <f aca="false">IF($W273,P273,R273)</f>
        <v>3.19456746948836</v>
      </c>
      <c r="Y273" s="1" t="n">
        <v>423100</v>
      </c>
      <c r="Z273" s="1" t="s">
        <v>324</v>
      </c>
      <c r="AA273" s="12" t="n">
        <f aca="false">T273=W273</f>
        <v>1</v>
      </c>
    </row>
    <row r="274" customFormat="false" ht="12.8" hidden="false" customHeight="false" outlineLevel="0" collapsed="false">
      <c r="A274" s="1" t="s">
        <v>325</v>
      </c>
      <c r="B274" s="1" t="n">
        <v>423400</v>
      </c>
      <c r="C274" s="1" t="n">
        <v>137425</v>
      </c>
      <c r="D274" s="1" t="n">
        <v>98993</v>
      </c>
      <c r="E274" s="1" t="n">
        <v>78449</v>
      </c>
      <c r="F274" s="1" t="n">
        <v>193969</v>
      </c>
      <c r="G274" s="1" t="n">
        <v>118348</v>
      </c>
      <c r="H274" s="1" t="n">
        <v>89306</v>
      </c>
      <c r="I274" s="1" t="n">
        <v>201491</v>
      </c>
      <c r="J274" s="1" t="n">
        <v>116492</v>
      </c>
      <c r="K274" s="1" t="n">
        <v>81746</v>
      </c>
      <c r="L274" s="7" t="n">
        <f aca="false">(J274/G274*F274/I274)</f>
        <v>0.947571201103788</v>
      </c>
      <c r="M274" s="7" t="n">
        <f aca="false">(D274/G274*F274/C274)</f>
        <v>1.18062002159263</v>
      </c>
      <c r="N274" s="7" t="n">
        <f aca="false">(K274/H274*F274/I274)</f>
        <v>0.881175771914623</v>
      </c>
      <c r="O274" s="7" t="n">
        <f aca="false">(E274/H274*F274/C274)</f>
        <v>1.23986201597286</v>
      </c>
      <c r="P274" s="7" t="n">
        <f aca="false">(IF(L274&gt;1,L274,1/L274) - 1)*100</f>
        <v>5.53296668737289</v>
      </c>
      <c r="Q274" s="7" t="n">
        <f aca="false">(IF(M274&gt;1,M274,1/M274) - 1)*100</f>
        <v>18.0620021592632</v>
      </c>
      <c r="R274" s="7" t="n">
        <f aca="false">(IF(N274&gt;1,N274,1/N274) - 1)*100</f>
        <v>13.48473617553</v>
      </c>
      <c r="S274" s="7" t="n">
        <f aca="false">(IF(O274&gt;1,O274,1/O274) - 1)*100</f>
        <v>23.9862015972856</v>
      </c>
      <c r="T274" s="9" t="n">
        <f aca="false">(P274+Q274) &lt; (R274+S274)</f>
        <v>1</v>
      </c>
      <c r="U274" s="10" t="n">
        <f aca="false">IF($T274,P274,R274)</f>
        <v>5.53296668737289</v>
      </c>
      <c r="V274" s="11" t="n">
        <f aca="false">IF($T274,Q274,S274)</f>
        <v>18.0620021592632</v>
      </c>
      <c r="W274" s="12" t="n">
        <f aca="false">P274 &lt; R274</f>
        <v>1</v>
      </c>
      <c r="X274" s="10" t="n">
        <f aca="false">IF($W274,P274,R274)</f>
        <v>5.53296668737289</v>
      </c>
      <c r="Y274" s="1" t="n">
        <v>423400</v>
      </c>
      <c r="Z274" s="1" t="s">
        <v>325</v>
      </c>
      <c r="AA274" s="12" t="n">
        <f aca="false">T274=W274</f>
        <v>1</v>
      </c>
    </row>
    <row r="275" customFormat="false" ht="12.8" hidden="false" customHeight="false" outlineLevel="0" collapsed="false">
      <c r="A275" s="1" t="s">
        <v>326</v>
      </c>
      <c r="B275" s="1" t="n">
        <v>423600</v>
      </c>
      <c r="C275" s="1" t="n">
        <v>106559</v>
      </c>
      <c r="D275" s="1" t="n">
        <v>66855</v>
      </c>
      <c r="E275" s="1" t="n">
        <v>27918</v>
      </c>
      <c r="F275" s="1" t="n">
        <v>140961</v>
      </c>
      <c r="G275" s="1" t="n">
        <v>74539</v>
      </c>
      <c r="H275" s="1" t="n">
        <v>33404</v>
      </c>
      <c r="I275" s="1" t="n">
        <v>228747</v>
      </c>
      <c r="J275" s="1" t="n">
        <v>110034</v>
      </c>
      <c r="K275" s="1" t="n">
        <v>45681</v>
      </c>
      <c r="L275" s="7" t="n">
        <f aca="false">(J275/G275*F275/I275)</f>
        <v>0.909676349753831</v>
      </c>
      <c r="M275" s="7" t="n">
        <f aca="false">(D275/G275*F275/C275)</f>
        <v>1.18647657140983</v>
      </c>
      <c r="N275" s="7" t="n">
        <f aca="false">(K275/H275*F275/I275)</f>
        <v>0.842714938252137</v>
      </c>
      <c r="O275" s="7" t="n">
        <f aca="false">(E275/H275*F275/C275)</f>
        <v>1.1055914302827</v>
      </c>
      <c r="P275" s="7" t="n">
        <f aca="false">(IF(L275&gt;1,L275,1/L275) - 1)*100</f>
        <v>9.92920726922406</v>
      </c>
      <c r="Q275" s="7" t="n">
        <f aca="false">(IF(M275&gt;1,M275,1/M275) - 1)*100</f>
        <v>18.6476571409828</v>
      </c>
      <c r="R275" s="7" t="n">
        <f aca="false">(IF(N275&gt;1,N275,1/N275) - 1)*100</f>
        <v>18.6640884845456</v>
      </c>
      <c r="S275" s="7" t="n">
        <f aca="false">(IF(O275&gt;1,O275,1/O275) - 1)*100</f>
        <v>10.5591430282704</v>
      </c>
      <c r="T275" s="9" t="n">
        <f aca="false">(P275+Q275) &lt; (R275+S275)</f>
        <v>1</v>
      </c>
      <c r="U275" s="10" t="n">
        <f aca="false">IF($T275,P275,R275)</f>
        <v>9.92920726922406</v>
      </c>
      <c r="V275" s="11" t="n">
        <f aca="false">IF($T275,Q275,S275)</f>
        <v>18.6476571409828</v>
      </c>
      <c r="W275" s="12" t="n">
        <f aca="false">P275 &lt; R275</f>
        <v>1</v>
      </c>
      <c r="X275" s="10" t="n">
        <f aca="false">IF($W275,P275,R275)</f>
        <v>9.92920726922406</v>
      </c>
      <c r="Y275" s="1" t="n">
        <v>423600</v>
      </c>
      <c r="Z275" s="1" t="s">
        <v>326</v>
      </c>
      <c r="AA275" s="12" t="n">
        <f aca="false">T275=W275</f>
        <v>1</v>
      </c>
    </row>
    <row r="276" customFormat="false" ht="12.8" hidden="false" customHeight="false" outlineLevel="0" collapsed="false">
      <c r="A276" s="1" t="s">
        <v>327</v>
      </c>
      <c r="B276" s="1" t="n">
        <v>423800</v>
      </c>
      <c r="C276" s="1" t="n">
        <v>109743</v>
      </c>
      <c r="D276" s="1" t="n">
        <v>75209</v>
      </c>
      <c r="E276" s="1" t="n">
        <v>54351</v>
      </c>
      <c r="F276" s="1" t="n">
        <v>161400</v>
      </c>
      <c r="G276" s="1" t="n">
        <v>98425</v>
      </c>
      <c r="H276" s="1" t="n">
        <v>66512</v>
      </c>
      <c r="I276" s="1" t="n">
        <v>173715</v>
      </c>
      <c r="J276" s="1" t="n">
        <v>97618</v>
      </c>
      <c r="K276" s="1" t="n">
        <v>63904</v>
      </c>
      <c r="L276" s="7" t="n">
        <f aca="false">(J276/G276*F276/I276)</f>
        <v>0.921490138360641</v>
      </c>
      <c r="M276" s="7" t="n">
        <f aca="false">(D276/G276*F276/C276)</f>
        <v>1.12380534408153</v>
      </c>
      <c r="N276" s="7" t="n">
        <f aca="false">(K276/H276*F276/I276)</f>
        <v>0.892676795503622</v>
      </c>
      <c r="O276" s="7" t="n">
        <f aca="false">(E276/H276*F276/C276)</f>
        <v>1.20180562980909</v>
      </c>
      <c r="P276" s="7" t="n">
        <f aca="false">(IF(L276&gt;1,L276,1/L276) - 1)*100</f>
        <v>8.51988082900488</v>
      </c>
      <c r="Q276" s="7" t="n">
        <f aca="false">(IF(M276&gt;1,M276,1/M276) - 1)*100</f>
        <v>12.3805344081534</v>
      </c>
      <c r="R276" s="7" t="n">
        <f aca="false">(IF(N276&gt;1,N276,1/N276) - 1)*100</f>
        <v>12.0226273425007</v>
      </c>
      <c r="S276" s="7" t="n">
        <f aca="false">(IF(O276&gt;1,O276,1/O276) - 1)*100</f>
        <v>20.1805629809086</v>
      </c>
      <c r="T276" s="9" t="n">
        <f aca="false">(P276+Q276) &lt; (R276+S276)</f>
        <v>1</v>
      </c>
      <c r="U276" s="10" t="n">
        <f aca="false">IF($T276,P276,R276)</f>
        <v>8.51988082900488</v>
      </c>
      <c r="V276" s="11" t="n">
        <f aca="false">IF($T276,Q276,S276)</f>
        <v>12.3805344081534</v>
      </c>
      <c r="W276" s="12" t="n">
        <f aca="false">P276 &lt; R276</f>
        <v>1</v>
      </c>
      <c r="X276" s="10" t="n">
        <f aca="false">IF($W276,P276,R276)</f>
        <v>8.51988082900488</v>
      </c>
      <c r="Y276" s="1" t="n">
        <v>423800</v>
      </c>
      <c r="Z276" s="1" t="s">
        <v>327</v>
      </c>
      <c r="AA276" s="12" t="n">
        <f aca="false">T276=W276</f>
        <v>1</v>
      </c>
    </row>
    <row r="277" customFormat="false" ht="12.8" hidden="false" customHeight="false" outlineLevel="0" collapsed="false">
      <c r="A277" s="1" t="s">
        <v>328</v>
      </c>
      <c r="B277" s="1" t="s">
        <v>329</v>
      </c>
      <c r="C277" s="1" t="n">
        <v>201163</v>
      </c>
      <c r="D277" s="1" t="n">
        <v>110713</v>
      </c>
      <c r="E277" s="1" t="n">
        <v>81086</v>
      </c>
      <c r="F277" s="1" t="n">
        <v>222730</v>
      </c>
      <c r="G277" s="1" t="n">
        <v>115817</v>
      </c>
      <c r="H277" s="1" t="n">
        <v>64239</v>
      </c>
      <c r="I277" s="1" t="n">
        <v>270531</v>
      </c>
      <c r="J277" s="1" t="n">
        <v>137022</v>
      </c>
      <c r="K277" s="1" t="n">
        <v>76780</v>
      </c>
      <c r="L277" s="7" t="n">
        <f aca="false">(J277/G277*F277/I277)</f>
        <v>0.974046455329233</v>
      </c>
      <c r="M277" s="7" t="n">
        <f aca="false">(D277/G277*F277/C277)</f>
        <v>1.0584172787093</v>
      </c>
      <c r="N277" s="7" t="n">
        <f aca="false">(K277/H277*F277/I277)</f>
        <v>0.984036064128794</v>
      </c>
      <c r="O277" s="7" t="n">
        <f aca="false">(E277/H277*F277/C277)</f>
        <v>1.39758335184853</v>
      </c>
      <c r="P277" s="7" t="n">
        <f aca="false">(IF(L277&gt;1,L277,1/L277) - 1)*100</f>
        <v>2.66450789166879</v>
      </c>
      <c r="Q277" s="7" t="n">
        <f aca="false">(IF(M277&gt;1,M277,1/M277) - 1)*100</f>
        <v>5.84172787092956</v>
      </c>
      <c r="R277" s="7" t="n">
        <f aca="false">(IF(N277&gt;1,N277,1/N277) - 1)*100</f>
        <v>1.62229174855901</v>
      </c>
      <c r="S277" s="7" t="n">
        <f aca="false">(IF(O277&gt;1,O277,1/O277) - 1)*100</f>
        <v>39.7583351848525</v>
      </c>
      <c r="T277" s="9" t="n">
        <f aca="false">(P277+Q277) &lt; (R277+S277)</f>
        <v>1</v>
      </c>
      <c r="U277" s="10" t="n">
        <f aca="false">IF($T277,P277,R277)</f>
        <v>2.66450789166879</v>
      </c>
      <c r="V277" s="11" t="n">
        <f aca="false">IF($T277,Q277,S277)</f>
        <v>5.84172787092956</v>
      </c>
      <c r="W277" s="12" t="n">
        <f aca="false">P277 &lt; R277</f>
        <v>0</v>
      </c>
      <c r="X277" s="10" t="n">
        <f aca="false">IF($W277,P277,R277)</f>
        <v>1.62229174855901</v>
      </c>
      <c r="Y277" s="1" t="s">
        <v>329</v>
      </c>
      <c r="Z277" s="1" t="s">
        <v>328</v>
      </c>
      <c r="AA277" s="12" t="n">
        <f aca="false">T277=W277</f>
        <v>0</v>
      </c>
    </row>
    <row r="278" customFormat="false" ht="12.8" hidden="false" customHeight="false" outlineLevel="0" collapsed="false">
      <c r="A278" s="1" t="s">
        <v>330</v>
      </c>
      <c r="B278" s="1" t="n">
        <v>424200</v>
      </c>
      <c r="C278" s="1" t="n">
        <v>87615</v>
      </c>
      <c r="D278" s="1" t="n">
        <v>67906</v>
      </c>
      <c r="E278" s="1" t="n">
        <v>32091</v>
      </c>
      <c r="F278" s="1" t="n">
        <v>129904</v>
      </c>
      <c r="G278" s="1" t="n">
        <v>68321</v>
      </c>
      <c r="H278" s="1" t="n">
        <v>24140</v>
      </c>
      <c r="I278" s="1" t="n">
        <v>211954</v>
      </c>
      <c r="J278" s="1" t="n">
        <v>104428</v>
      </c>
      <c r="K278" s="1" t="n">
        <v>43090</v>
      </c>
      <c r="L278" s="7" t="n">
        <f aca="false">(J278/G278*F278/I278)</f>
        <v>0.936793035077455</v>
      </c>
      <c r="M278" s="7" t="n">
        <f aca="false">(D278/G278*F278/C278)</f>
        <v>1.47366236844683</v>
      </c>
      <c r="N278" s="7" t="n">
        <f aca="false">(K278/H278*F278/I278)</f>
        <v>1.09400708704525</v>
      </c>
      <c r="O278" s="7" t="n">
        <f aca="false">(E278/H278*F278/C278)</f>
        <v>1.97101551796453</v>
      </c>
      <c r="P278" s="7" t="n">
        <f aca="false">(IF(L278&gt;1,L278,1/L278) - 1)*100</f>
        <v>6.74716426743283</v>
      </c>
      <c r="Q278" s="7" t="n">
        <f aca="false">(IF(M278&gt;1,M278,1/M278) - 1)*100</f>
        <v>47.3662368446834</v>
      </c>
      <c r="R278" s="7" t="n">
        <f aca="false">(IF(N278&gt;1,N278,1/N278) - 1)*100</f>
        <v>9.40070870452507</v>
      </c>
      <c r="S278" s="7" t="n">
        <f aca="false">(IF(O278&gt;1,O278,1/O278) - 1)*100</f>
        <v>97.101551796453</v>
      </c>
      <c r="T278" s="9" t="n">
        <f aca="false">(P278+Q278) &lt; (R278+S278)</f>
        <v>1</v>
      </c>
      <c r="U278" s="10" t="n">
        <f aca="false">IF($T278,P278,R278)</f>
        <v>6.74716426743283</v>
      </c>
      <c r="V278" s="11" t="n">
        <f aca="false">IF($T278,Q278,S278)</f>
        <v>47.3662368446834</v>
      </c>
      <c r="W278" s="12" t="n">
        <f aca="false">P278 &lt; R278</f>
        <v>1</v>
      </c>
      <c r="X278" s="10" t="n">
        <f aca="false">IF($W278,P278,R278)</f>
        <v>6.74716426743283</v>
      </c>
      <c r="Y278" s="1" t="n">
        <v>424200</v>
      </c>
      <c r="Z278" s="1" t="s">
        <v>330</v>
      </c>
      <c r="AA278" s="12" t="n">
        <f aca="false">T278=W278</f>
        <v>1</v>
      </c>
    </row>
    <row r="279" customFormat="false" ht="12.8" hidden="false" customHeight="false" outlineLevel="0" collapsed="false">
      <c r="A279" s="1" t="s">
        <v>331</v>
      </c>
      <c r="B279" s="1" t="n">
        <v>424400</v>
      </c>
      <c r="C279" s="1" t="n">
        <v>103359</v>
      </c>
      <c r="D279" s="1" t="n">
        <v>54355</v>
      </c>
      <c r="E279" s="1" t="n">
        <v>33783</v>
      </c>
      <c r="F279" s="1" t="n">
        <v>127857</v>
      </c>
      <c r="G279" s="1" t="n">
        <v>67551</v>
      </c>
      <c r="H279" s="1" t="n">
        <v>39531</v>
      </c>
      <c r="I279" s="1" t="n">
        <v>173300</v>
      </c>
      <c r="J279" s="1" t="n">
        <v>93160</v>
      </c>
      <c r="K279" s="1" t="n">
        <v>55047</v>
      </c>
      <c r="L279" s="7" t="n">
        <f aca="false">(J279/G279*F279/I279)</f>
        <v>1.01747475991788</v>
      </c>
      <c r="M279" s="7" t="n">
        <f aca="false">(D279/G279*F279/C279)</f>
        <v>0.995368582589669</v>
      </c>
      <c r="N279" s="7" t="n">
        <f aca="false">(K279/H279*F279/I279)</f>
        <v>1.02735798807667</v>
      </c>
      <c r="O279" s="7" t="n">
        <f aca="false">(E279/H279*F279/C279)</f>
        <v>1.05715002336156</v>
      </c>
      <c r="P279" s="7" t="n">
        <f aca="false">(IF(L279&gt;1,L279,1/L279) - 1)*100</f>
        <v>1.74747599178831</v>
      </c>
      <c r="Q279" s="7" t="n">
        <f aca="false">(IF(M279&gt;1,M279,1/M279) - 1)*100</f>
        <v>0.465296724383379</v>
      </c>
      <c r="R279" s="7" t="n">
        <f aca="false">(IF(N279&gt;1,N279,1/N279) - 1)*100</f>
        <v>2.73579880766734</v>
      </c>
      <c r="S279" s="7" t="n">
        <f aca="false">(IF(O279&gt;1,O279,1/O279) - 1)*100</f>
        <v>5.71500233615627</v>
      </c>
      <c r="T279" s="9" t="n">
        <f aca="false">(P279+Q279) &lt; (R279+S279)</f>
        <v>1</v>
      </c>
      <c r="U279" s="10" t="n">
        <f aca="false">IF($T279,P279,R279)</f>
        <v>1.74747599178831</v>
      </c>
      <c r="V279" s="11" t="n">
        <f aca="false">IF($T279,Q279,S279)</f>
        <v>0.465296724383379</v>
      </c>
      <c r="W279" s="12" t="n">
        <f aca="false">P279 &lt; R279</f>
        <v>1</v>
      </c>
      <c r="X279" s="10" t="n">
        <f aca="false">IF($W279,P279,R279)</f>
        <v>1.74747599178831</v>
      </c>
      <c r="Y279" s="1" t="n">
        <v>424400</v>
      </c>
      <c r="Z279" s="1" t="s">
        <v>331</v>
      </c>
      <c r="AA279" s="12" t="n">
        <f aca="false">T279=W279</f>
        <v>1</v>
      </c>
    </row>
    <row r="280" customFormat="false" ht="12.8" hidden="false" customHeight="false" outlineLevel="0" collapsed="false">
      <c r="A280" s="1" t="s">
        <v>332</v>
      </c>
      <c r="B280" s="1" t="n">
        <v>424700</v>
      </c>
      <c r="C280" s="1" t="n">
        <v>45642</v>
      </c>
      <c r="D280" s="1" t="n">
        <v>38338</v>
      </c>
      <c r="E280" s="1" t="n">
        <v>10992</v>
      </c>
      <c r="F280" s="1" t="n">
        <v>69686</v>
      </c>
      <c r="G280" s="1" t="n">
        <v>38101</v>
      </c>
      <c r="H280" s="1" t="n">
        <v>10878</v>
      </c>
      <c r="I280" s="1" t="n">
        <v>61861</v>
      </c>
      <c r="J280" s="1" t="n">
        <v>35411</v>
      </c>
      <c r="K280" s="1" t="n">
        <v>16763</v>
      </c>
      <c r="L280" s="7" t="n">
        <f aca="false">(J280/G280*F280/I280)</f>
        <v>1.04696079062298</v>
      </c>
      <c r="M280" s="7" t="n">
        <f aca="false">(D280/G280*F280/C280)</f>
        <v>1.53629263541025</v>
      </c>
      <c r="N280" s="7" t="n">
        <f aca="false">(K280/H280*F280/I280)</f>
        <v>1.73592633181296</v>
      </c>
      <c r="O280" s="7" t="n">
        <f aca="false">(E280/H280*F280/C280)</f>
        <v>1.54279611005559</v>
      </c>
      <c r="P280" s="7" t="n">
        <f aca="false">(IF(L280&gt;1,L280,1/L280) - 1)*100</f>
        <v>4.6960790622975</v>
      </c>
      <c r="Q280" s="7" t="n">
        <f aca="false">(IF(M280&gt;1,M280,1/M280) - 1)*100</f>
        <v>53.6292635410249</v>
      </c>
      <c r="R280" s="7" t="n">
        <f aca="false">(IF(N280&gt;1,N280,1/N280) - 1)*100</f>
        <v>73.5926331812962</v>
      </c>
      <c r="S280" s="7" t="n">
        <f aca="false">(IF(O280&gt;1,O280,1/O280) - 1)*100</f>
        <v>54.2796110055589</v>
      </c>
      <c r="T280" s="9" t="n">
        <f aca="false">(P280+Q280) &lt; (R280+S280)</f>
        <v>1</v>
      </c>
      <c r="U280" s="10" t="n">
        <f aca="false">IF($T280,P280,R280)</f>
        <v>4.6960790622975</v>
      </c>
      <c r="V280" s="11" t="n">
        <f aca="false">IF($T280,Q280,S280)</f>
        <v>53.6292635410249</v>
      </c>
      <c r="W280" s="12" t="n">
        <f aca="false">P280 &lt; R280</f>
        <v>1</v>
      </c>
      <c r="X280" s="10" t="n">
        <f aca="false">IF($W280,P280,R280)</f>
        <v>4.6960790622975</v>
      </c>
      <c r="Y280" s="1" t="n">
        <v>424700</v>
      </c>
      <c r="Z280" s="1" t="s">
        <v>332</v>
      </c>
      <c r="AA280" s="12" t="n">
        <f aca="false">T280=W280</f>
        <v>1</v>
      </c>
    </row>
    <row r="281" customFormat="false" ht="12.8" hidden="false" customHeight="false" outlineLevel="0" collapsed="false">
      <c r="A281" s="1" t="s">
        <v>333</v>
      </c>
      <c r="B281" s="1" t="s">
        <v>334</v>
      </c>
      <c r="C281" s="1" t="n">
        <v>204380</v>
      </c>
      <c r="D281" s="1" t="n">
        <v>114134</v>
      </c>
      <c r="E281" s="1" t="n">
        <v>67083</v>
      </c>
      <c r="F281" s="1" t="n">
        <v>259782</v>
      </c>
      <c r="G281" s="1" t="n">
        <v>131810</v>
      </c>
      <c r="H281" s="1" t="n">
        <v>65113</v>
      </c>
      <c r="I281" s="1" t="n">
        <v>336977</v>
      </c>
      <c r="J281" s="1" t="n">
        <v>177109</v>
      </c>
      <c r="K281" s="1" t="n">
        <v>97018</v>
      </c>
      <c r="L281" s="7" t="n">
        <f aca="false">(J281/G281*F281/I281)</f>
        <v>1.03586001031255</v>
      </c>
      <c r="M281" s="7" t="n">
        <f aca="false">(D281/G281*F281/C281)</f>
        <v>1.10061984501336</v>
      </c>
      <c r="N281" s="7" t="n">
        <f aca="false">(K281/H281*F281/I281)</f>
        <v>1.14866505371947</v>
      </c>
      <c r="O281" s="7" t="n">
        <f aca="false">(E281/H281*F281/C281)</f>
        <v>1.30952993975124</v>
      </c>
      <c r="P281" s="7" t="n">
        <f aca="false">(IF(L281&gt;1,L281,1/L281) - 1)*100</f>
        <v>3.58600103125477</v>
      </c>
      <c r="Q281" s="7" t="n">
        <f aca="false">(IF(M281&gt;1,M281,1/M281) - 1)*100</f>
        <v>10.0619845013356</v>
      </c>
      <c r="R281" s="7" t="n">
        <f aca="false">(IF(N281&gt;1,N281,1/N281) - 1)*100</f>
        <v>14.8665053719475</v>
      </c>
      <c r="S281" s="7" t="n">
        <f aca="false">(IF(O281&gt;1,O281,1/O281) - 1)*100</f>
        <v>30.9529939751236</v>
      </c>
      <c r="T281" s="9" t="n">
        <f aca="false">(P281+Q281) &lt; (R281+S281)</f>
        <v>1</v>
      </c>
      <c r="U281" s="10" t="n">
        <f aca="false">IF($T281,P281,R281)</f>
        <v>3.58600103125477</v>
      </c>
      <c r="V281" s="11" t="n">
        <f aca="false">IF($T281,Q281,S281)</f>
        <v>10.0619845013356</v>
      </c>
      <c r="W281" s="12" t="n">
        <f aca="false">P281 &lt; R281</f>
        <v>1</v>
      </c>
      <c r="X281" s="10" t="n">
        <f aca="false">IF($W281,P281,R281)</f>
        <v>3.58600103125477</v>
      </c>
      <c r="Y281" s="1" t="s">
        <v>334</v>
      </c>
      <c r="Z281" s="1" t="s">
        <v>333</v>
      </c>
      <c r="AA281" s="12" t="n">
        <f aca="false">T281=W281</f>
        <v>1</v>
      </c>
    </row>
    <row r="282" customFormat="false" ht="12.8" hidden="false" customHeight="false" outlineLevel="0" collapsed="false">
      <c r="A282" s="1" t="s">
        <v>335</v>
      </c>
      <c r="B282" s="1" t="n">
        <v>425000</v>
      </c>
      <c r="C282" s="1" t="n">
        <v>40053</v>
      </c>
      <c r="D282" s="1" t="n">
        <v>22351</v>
      </c>
      <c r="E282" s="1" t="n">
        <v>13264</v>
      </c>
      <c r="F282" s="1" t="n">
        <v>62350</v>
      </c>
      <c r="G282" s="1" t="n">
        <v>52101</v>
      </c>
      <c r="H282" s="1" t="n">
        <v>40195</v>
      </c>
      <c r="I282" s="1" t="n">
        <v>51875</v>
      </c>
      <c r="J282" s="1" t="n">
        <v>31367</v>
      </c>
      <c r="K282" s="1" t="n">
        <v>24242</v>
      </c>
      <c r="L282" s="7" t="n">
        <f aca="false">(J282/G282*F282/I282)</f>
        <v>0.723611188000693</v>
      </c>
      <c r="M282" s="7" t="n">
        <f aca="false">(D282/G282*F282/C282)</f>
        <v>0.667809060022207</v>
      </c>
      <c r="N282" s="7" t="n">
        <f aca="false">(K282/H282*F282/I282)</f>
        <v>0.724894428816148</v>
      </c>
      <c r="O282" s="7" t="n">
        <f aca="false">(E282/H282*F282/C282)</f>
        <v>0.513693283504718</v>
      </c>
      <c r="P282" s="7" t="n">
        <f aca="false">(IF(L282&gt;1,L282,1/L282) - 1)*100</f>
        <v>38.1957626668208</v>
      </c>
      <c r="Q282" s="7" t="n">
        <f aca="false">(IF(M282&gt;1,M282,1/M282) - 1)*100</f>
        <v>49.7434012001494</v>
      </c>
      <c r="R282" s="7" t="n">
        <f aca="false">(IF(N282&gt;1,N282,1/N282) - 1)*100</f>
        <v>37.9511222941991</v>
      </c>
      <c r="S282" s="7" t="n">
        <f aca="false">(IF(O282&gt;1,O282,1/O282) - 1)*100</f>
        <v>94.6686927999938</v>
      </c>
      <c r="T282" s="9" t="n">
        <f aca="false">(P282+Q282) &lt; (R282+S282)</f>
        <v>1</v>
      </c>
      <c r="U282" s="10" t="n">
        <f aca="false">IF($T282,P282,R282)</f>
        <v>38.1957626668208</v>
      </c>
      <c r="V282" s="11" t="n">
        <f aca="false">IF($T282,Q282,S282)</f>
        <v>49.7434012001494</v>
      </c>
      <c r="W282" s="12" t="n">
        <f aca="false">P282 &lt; R282</f>
        <v>0</v>
      </c>
      <c r="X282" s="10" t="n">
        <f aca="false">IF($W282,P282,R282)</f>
        <v>37.9511222941991</v>
      </c>
      <c r="Y282" s="1" t="n">
        <v>425000</v>
      </c>
      <c r="Z282" s="1" t="s">
        <v>335</v>
      </c>
      <c r="AA282" s="12" t="n">
        <f aca="false">T282=W282</f>
        <v>0</v>
      </c>
    </row>
    <row r="283" customFormat="false" ht="12.8" hidden="false" customHeight="false" outlineLevel="0" collapsed="false">
      <c r="A283" s="1" t="s">
        <v>336</v>
      </c>
      <c r="B283" s="1" t="n">
        <v>441000</v>
      </c>
      <c r="C283" s="1" t="n">
        <v>183148</v>
      </c>
      <c r="D283" s="1" t="n">
        <v>130177</v>
      </c>
      <c r="E283" s="1" t="n">
        <v>96270</v>
      </c>
      <c r="F283" s="1" t="n">
        <v>187631</v>
      </c>
      <c r="G283" s="1" t="n">
        <v>129016</v>
      </c>
      <c r="H283" s="1" t="n">
        <v>92380</v>
      </c>
      <c r="I283" s="1" t="n">
        <v>309788</v>
      </c>
      <c r="J283" s="1" t="n">
        <v>189835</v>
      </c>
      <c r="K283" s="1" t="n">
        <v>118071</v>
      </c>
      <c r="L283" s="7" t="n">
        <f aca="false">(J283/G283*F283/I283)</f>
        <v>0.891194948247928</v>
      </c>
      <c r="M283" s="7" t="n">
        <f aca="false">(D283/G283*F283/C283)</f>
        <v>1.03369662555647</v>
      </c>
      <c r="N283" s="7" t="n">
        <f aca="false">(K283/H283*F283/I283)</f>
        <v>0.774114649022993</v>
      </c>
      <c r="O283" s="7" t="n">
        <f aca="false">(E283/H283*F283/C283)</f>
        <v>1.06761686736782</v>
      </c>
      <c r="P283" s="7" t="n">
        <f aca="false">(IF(L283&gt;1,L283,1/L283) - 1)*100</f>
        <v>12.2088945820419</v>
      </c>
      <c r="Q283" s="7" t="n">
        <f aca="false">(IF(M283&gt;1,M283,1/M283) - 1)*100</f>
        <v>3.36966255564721</v>
      </c>
      <c r="R283" s="7" t="n">
        <f aca="false">(IF(N283&gt;1,N283,1/N283) - 1)*100</f>
        <v>29.1798316001507</v>
      </c>
      <c r="S283" s="7" t="n">
        <f aca="false">(IF(O283&gt;1,O283,1/O283) - 1)*100</f>
        <v>6.76168673678155</v>
      </c>
      <c r="T283" s="9" t="n">
        <f aca="false">(P283+Q283) &lt; (R283+S283)</f>
        <v>1</v>
      </c>
      <c r="U283" s="10" t="n">
        <f aca="false">IF($T283,P283,R283)</f>
        <v>12.2088945820419</v>
      </c>
      <c r="V283" s="11" t="n">
        <f aca="false">IF($T283,Q283,S283)</f>
        <v>3.36966255564721</v>
      </c>
      <c r="W283" s="12" t="n">
        <f aca="false">P283 &lt; R283</f>
        <v>1</v>
      </c>
      <c r="X283" s="10" t="n">
        <f aca="false">IF($W283,P283,R283)</f>
        <v>12.2088945820419</v>
      </c>
      <c r="Y283" s="1" t="n">
        <v>441000</v>
      </c>
      <c r="Z283" s="1" t="s">
        <v>336</v>
      </c>
      <c r="AA283" s="12" t="n">
        <f aca="false">T283=W283</f>
        <v>1</v>
      </c>
    </row>
    <row r="284" customFormat="false" ht="12.8" hidden="false" customHeight="false" outlineLevel="0" collapsed="false">
      <c r="A284" s="1" t="s">
        <v>337</v>
      </c>
      <c r="B284" s="1" t="n">
        <v>445000</v>
      </c>
      <c r="C284" s="1" t="n">
        <v>172027</v>
      </c>
      <c r="D284" s="1" t="n">
        <v>107944</v>
      </c>
      <c r="E284" s="1" t="n">
        <v>77432</v>
      </c>
      <c r="F284" s="1" t="n">
        <v>189260</v>
      </c>
      <c r="G284" s="1" t="n">
        <v>115419</v>
      </c>
      <c r="H284" s="1" t="n">
        <v>82848</v>
      </c>
      <c r="I284" s="1" t="n">
        <v>226985</v>
      </c>
      <c r="J284" s="1" t="n">
        <v>139814</v>
      </c>
      <c r="K284" s="1" t="n">
        <v>96461</v>
      </c>
      <c r="L284" s="7" t="n">
        <f aca="false">(J284/G284*F284/I284)</f>
        <v>1.01003176180342</v>
      </c>
      <c r="M284" s="7" t="n">
        <f aca="false">(D284/G284*F284/C284)</f>
        <v>1.0289242909029</v>
      </c>
      <c r="N284" s="7" t="n">
        <f aca="false">(K284/H284*F284/I284)</f>
        <v>0.970803667899335</v>
      </c>
      <c r="O284" s="7" t="n">
        <f aca="false">(E284/H284*F284/C284)</f>
        <v>1.02825461684389</v>
      </c>
      <c r="P284" s="7" t="n">
        <f aca="false">(IF(L284&gt;1,L284,1/L284) - 1)*100</f>
        <v>1.00317618034218</v>
      </c>
      <c r="Q284" s="7" t="n">
        <f aca="false">(IF(M284&gt;1,M284,1/M284) - 1)*100</f>
        <v>2.89242909029046</v>
      </c>
      <c r="R284" s="7" t="n">
        <f aca="false">(IF(N284&gt;1,N284,1/N284) - 1)*100</f>
        <v>3.00743940984909</v>
      </c>
      <c r="S284" s="7" t="n">
        <f aca="false">(IF(O284&gt;1,O284,1/O284) - 1)*100</f>
        <v>2.82546168438895</v>
      </c>
      <c r="T284" s="9" t="n">
        <f aca="false">(P284+Q284) &lt; (R284+S284)</f>
        <v>1</v>
      </c>
      <c r="U284" s="10" t="n">
        <f aca="false">IF($T284,P284,R284)</f>
        <v>1.00317618034218</v>
      </c>
      <c r="V284" s="11" t="n">
        <f aca="false">IF($T284,Q284,S284)</f>
        <v>2.89242909029046</v>
      </c>
      <c r="W284" s="12" t="n">
        <f aca="false">P284 &lt; R284</f>
        <v>1</v>
      </c>
      <c r="X284" s="10" t="n">
        <f aca="false">IF($W284,P284,R284)</f>
        <v>1.00317618034218</v>
      </c>
      <c r="Y284" s="1" t="n">
        <v>445000</v>
      </c>
      <c r="Z284" s="1" t="s">
        <v>337</v>
      </c>
      <c r="AA284" s="12" t="n">
        <f aca="false">T284=W284</f>
        <v>1</v>
      </c>
    </row>
    <row r="285" customFormat="false" ht="12.8" hidden="false" customHeight="false" outlineLevel="0" collapsed="false">
      <c r="A285" s="1" t="s">
        <v>338</v>
      </c>
      <c r="B285" s="1" t="n">
        <v>452000</v>
      </c>
      <c r="C285" s="1" t="n">
        <v>164594</v>
      </c>
      <c r="D285" s="1" t="n">
        <v>90726</v>
      </c>
      <c r="E285" s="1" t="n">
        <v>77976</v>
      </c>
      <c r="F285" s="1" t="n">
        <v>176215</v>
      </c>
      <c r="G285" s="1" t="n">
        <v>99574</v>
      </c>
      <c r="H285" s="1" t="n">
        <v>84367</v>
      </c>
      <c r="I285" s="1" t="n">
        <v>195946</v>
      </c>
      <c r="J285" s="1" t="n">
        <v>114125</v>
      </c>
      <c r="K285" s="1" t="n">
        <v>93086</v>
      </c>
      <c r="L285" s="7" t="n">
        <f aca="false">(J285/G285*F285/I285)</f>
        <v>1.03072143761235</v>
      </c>
      <c r="M285" s="7" t="n">
        <f aca="false">(D285/G285*F285/C285)</f>
        <v>0.975471723376841</v>
      </c>
      <c r="N285" s="7" t="n">
        <f aca="false">(K285/H285*F285/I285)</f>
        <v>0.992243435114639</v>
      </c>
      <c r="O285" s="7" t="n">
        <f aca="false">(E285/H285*F285/C285)</f>
        <v>0.989503241538244</v>
      </c>
      <c r="P285" s="7" t="n">
        <f aca="false">(IF(L285&gt;1,L285,1/L285) - 1)*100</f>
        <v>3.07214376123488</v>
      </c>
      <c r="Q285" s="7" t="n">
        <f aca="false">(IF(M285&gt;1,M285,1/M285) - 1)*100</f>
        <v>2.51450411481418</v>
      </c>
      <c r="R285" s="7" t="n">
        <f aca="false">(IF(N285&gt;1,N285,1/N285) - 1)*100</f>
        <v>0.781719950050897</v>
      </c>
      <c r="S285" s="7" t="n">
        <f aca="false">(IF(O285&gt;1,O285,1/O285) - 1)*100</f>
        <v>1.06081092219947</v>
      </c>
      <c r="T285" s="9" t="n">
        <f aca="false">(P285+Q285) &lt; (R285+S285)</f>
        <v>0</v>
      </c>
      <c r="U285" s="10" t="n">
        <f aca="false">IF($T285,P285,R285)</f>
        <v>0.781719950050897</v>
      </c>
      <c r="V285" s="11" t="n">
        <f aca="false">IF($T285,Q285,S285)</f>
        <v>1.06081092219947</v>
      </c>
      <c r="W285" s="12" t="n">
        <f aca="false">P285 &lt; R285</f>
        <v>0</v>
      </c>
      <c r="X285" s="10" t="n">
        <f aca="false">IF($W285,P285,R285)</f>
        <v>0.781719950050897</v>
      </c>
      <c r="Y285" s="1" t="n">
        <v>452000</v>
      </c>
      <c r="Z285" s="1" t="s">
        <v>338</v>
      </c>
      <c r="AA285" s="12" t="n">
        <f aca="false">T285=W285</f>
        <v>1</v>
      </c>
    </row>
    <row r="286" customFormat="false" ht="12.8" hidden="false" customHeight="false" outlineLevel="0" collapsed="false">
      <c r="A286" s="1" t="s">
        <v>339</v>
      </c>
      <c r="B286" s="1" t="n">
        <v>444000</v>
      </c>
      <c r="C286" s="1" t="n">
        <v>107618</v>
      </c>
      <c r="D286" s="1" t="n">
        <v>69002</v>
      </c>
      <c r="E286" s="1" t="n">
        <v>49500</v>
      </c>
      <c r="F286" s="1" t="n">
        <v>97008</v>
      </c>
      <c r="G286" s="1" t="n">
        <v>67853</v>
      </c>
      <c r="H286" s="1" t="n">
        <v>47730</v>
      </c>
      <c r="I286" s="1" t="n">
        <v>121484</v>
      </c>
      <c r="J286" s="1" t="n">
        <v>82604</v>
      </c>
      <c r="K286" s="1" t="n">
        <v>52804</v>
      </c>
      <c r="L286" s="7" t="n">
        <f aca="false">(J286/G286*F286/I286)</f>
        <v>0.972121373446536</v>
      </c>
      <c r="M286" s="7" t="n">
        <f aca="false">(D286/G286*F286/C286)</f>
        <v>0.916674729277913</v>
      </c>
      <c r="N286" s="7" t="n">
        <f aca="false">(K286/H286*F286/I286)</f>
        <v>0.883413142159973</v>
      </c>
      <c r="O286" s="7" t="n">
        <f aca="false">(E286/H286*F286/C286)</f>
        <v>0.934838088474097</v>
      </c>
      <c r="P286" s="7" t="n">
        <f aca="false">(IF(L286&gt;1,L286,1/L286) - 1)*100</f>
        <v>2.8678133528351</v>
      </c>
      <c r="Q286" s="7" t="n">
        <f aca="false">(IF(M286&gt;1,M286,1/M286) - 1)*100</f>
        <v>9.08994958197709</v>
      </c>
      <c r="R286" s="7" t="n">
        <f aca="false">(IF(N286&gt;1,N286,1/N286) - 1)*100</f>
        <v>13.1973198355379</v>
      </c>
      <c r="S286" s="7" t="n">
        <f aca="false">(IF(O286&gt;1,O286,1/O286) - 1)*100</f>
        <v>6.97039544379972</v>
      </c>
      <c r="T286" s="9" t="n">
        <f aca="false">(P286+Q286) &lt; (R286+S286)</f>
        <v>1</v>
      </c>
      <c r="U286" s="10" t="n">
        <f aca="false">IF($T286,P286,R286)</f>
        <v>2.8678133528351</v>
      </c>
      <c r="V286" s="11" t="n">
        <f aca="false">IF($T286,Q286,S286)</f>
        <v>9.08994958197709</v>
      </c>
      <c r="W286" s="12" t="n">
        <f aca="false">P286 &lt; R286</f>
        <v>1</v>
      </c>
      <c r="X286" s="10" t="n">
        <f aca="false">IF($W286,P286,R286)</f>
        <v>2.8678133528351</v>
      </c>
      <c r="Y286" s="1" t="n">
        <v>444000</v>
      </c>
      <c r="Z286" s="1" t="s">
        <v>339</v>
      </c>
      <c r="AA286" s="12" t="n">
        <f aca="false">T286=W286</f>
        <v>1</v>
      </c>
    </row>
    <row r="287" customFormat="false" ht="12.8" hidden="false" customHeight="false" outlineLevel="0" collapsed="false">
      <c r="A287" s="1" t="s">
        <v>340</v>
      </c>
      <c r="B287" s="1" t="n">
        <v>446000</v>
      </c>
      <c r="C287" s="1" t="n">
        <v>70899</v>
      </c>
      <c r="D287" s="1" t="n">
        <v>45625</v>
      </c>
      <c r="E287" s="1" t="n">
        <v>38489</v>
      </c>
      <c r="F287" s="1" t="n">
        <v>81945</v>
      </c>
      <c r="G287" s="1" t="n">
        <v>52238</v>
      </c>
      <c r="H287" s="1" t="n">
        <v>43028</v>
      </c>
      <c r="I287" s="1" t="n">
        <v>103096</v>
      </c>
      <c r="J287" s="1" t="n">
        <v>65272</v>
      </c>
      <c r="K287" s="1" t="n">
        <v>50169</v>
      </c>
      <c r="L287" s="7" t="n">
        <f aca="false">(J287/G287*F287/I287)</f>
        <v>0.99316412388847</v>
      </c>
      <c r="M287" s="7" t="n">
        <f aca="false">(D287/G287*F287/C287)</f>
        <v>1.00948224828569</v>
      </c>
      <c r="N287" s="7" t="n">
        <f aca="false">(K287/H287*F287/I287)</f>
        <v>0.926754980347802</v>
      </c>
      <c r="O287" s="7" t="n">
        <f aca="false">(E287/H287*F287/C287)</f>
        <v>1.03387448516528</v>
      </c>
      <c r="P287" s="7" t="n">
        <f aca="false">(IF(L287&gt;1,L287,1/L287) - 1)*100</f>
        <v>0.688292694742776</v>
      </c>
      <c r="Q287" s="7" t="n">
        <f aca="false">(IF(M287&gt;1,M287,1/M287) - 1)*100</f>
        <v>0.948224828568511</v>
      </c>
      <c r="R287" s="7" t="n">
        <f aca="false">(IF(N287&gt;1,N287,1/N287) - 1)*100</f>
        <v>7.90338559871671</v>
      </c>
      <c r="S287" s="7" t="n">
        <f aca="false">(IF(O287&gt;1,O287,1/O287) - 1)*100</f>
        <v>3.38744851652828</v>
      </c>
      <c r="T287" s="9" t="n">
        <f aca="false">(P287+Q287) &lt; (R287+S287)</f>
        <v>1</v>
      </c>
      <c r="U287" s="10" t="n">
        <f aca="false">IF($T287,P287,R287)</f>
        <v>0.688292694742776</v>
      </c>
      <c r="V287" s="11" t="n">
        <f aca="false">IF($T287,Q287,S287)</f>
        <v>0.948224828568511</v>
      </c>
      <c r="W287" s="12" t="n">
        <f aca="false">P287 &lt; R287</f>
        <v>1</v>
      </c>
      <c r="X287" s="10" t="n">
        <f aca="false">IF($W287,P287,R287)</f>
        <v>0.688292694742776</v>
      </c>
      <c r="Y287" s="1" t="n">
        <v>446000</v>
      </c>
      <c r="Z287" s="1" t="s">
        <v>340</v>
      </c>
      <c r="AA287" s="12" t="n">
        <f aca="false">T287=W287</f>
        <v>1</v>
      </c>
    </row>
    <row r="288" customFormat="false" ht="12.8" hidden="false" customHeight="false" outlineLevel="0" collapsed="false">
      <c r="A288" s="1" t="s">
        <v>341</v>
      </c>
      <c r="B288" s="1" t="n">
        <v>447000</v>
      </c>
      <c r="C288" s="1" t="n">
        <v>71775</v>
      </c>
      <c r="D288" s="1" t="n">
        <v>45486</v>
      </c>
      <c r="E288" s="1" t="n">
        <v>28005</v>
      </c>
      <c r="F288" s="1" t="n">
        <v>71283</v>
      </c>
      <c r="G288" s="1" t="n">
        <v>37421</v>
      </c>
      <c r="H288" s="1" t="n">
        <v>20148</v>
      </c>
      <c r="I288" s="1" t="n">
        <v>93663</v>
      </c>
      <c r="J288" s="1" t="n">
        <v>47988</v>
      </c>
      <c r="K288" s="1" t="n">
        <v>24942</v>
      </c>
      <c r="L288" s="7" t="n">
        <f aca="false">(J288/G288*F288/I288)</f>
        <v>0.975967074104933</v>
      </c>
      <c r="M288" s="7" t="n">
        <f aca="false">(D288/G288*F288/C288)</f>
        <v>1.20718860103948</v>
      </c>
      <c r="N288" s="7" t="n">
        <f aca="false">(K288/H288*F288/I288)</f>
        <v>0.94214389380981</v>
      </c>
      <c r="O288" s="7" t="n">
        <f aca="false">(E288/H288*F288/C288)</f>
        <v>1.38043640072865</v>
      </c>
      <c r="P288" s="7" t="n">
        <f aca="false">(IF(L288&gt;1,L288,1/L288) - 1)*100</f>
        <v>2.46247302114238</v>
      </c>
      <c r="Q288" s="7" t="n">
        <f aca="false">(IF(M288&gt;1,M288,1/M288) - 1)*100</f>
        <v>20.7188601039481</v>
      </c>
      <c r="R288" s="7" t="n">
        <f aca="false">(IF(N288&gt;1,N288,1/N288) - 1)*100</f>
        <v>6.14089913126041</v>
      </c>
      <c r="S288" s="7" t="n">
        <f aca="false">(IF(O288&gt;1,O288,1/O288) - 1)*100</f>
        <v>38.0436400728652</v>
      </c>
      <c r="T288" s="9" t="n">
        <f aca="false">(P288+Q288) &lt; (R288+S288)</f>
        <v>1</v>
      </c>
      <c r="U288" s="10" t="n">
        <f aca="false">IF($T288,P288,R288)</f>
        <v>2.46247302114238</v>
      </c>
      <c r="V288" s="11" t="n">
        <f aca="false">IF($T288,Q288,S288)</f>
        <v>20.7188601039481</v>
      </c>
      <c r="W288" s="12" t="n">
        <f aca="false">P288 &lt; R288</f>
        <v>1</v>
      </c>
      <c r="X288" s="10" t="n">
        <f aca="false">IF($W288,P288,R288)</f>
        <v>2.46247302114238</v>
      </c>
      <c r="Y288" s="1" t="n">
        <v>447000</v>
      </c>
      <c r="Z288" s="1" t="s">
        <v>341</v>
      </c>
      <c r="AA288" s="12" t="n">
        <f aca="false">T288=W288</f>
        <v>1</v>
      </c>
    </row>
    <row r="289" customFormat="false" ht="12.8" hidden="false" customHeight="false" outlineLevel="0" collapsed="false">
      <c r="A289" s="1" t="s">
        <v>342</v>
      </c>
      <c r="B289" s="1" t="n">
        <v>448000</v>
      </c>
      <c r="C289" s="1" t="n">
        <v>102340</v>
      </c>
      <c r="D289" s="1" t="n">
        <v>44502</v>
      </c>
      <c r="E289" s="1" t="n">
        <v>34026</v>
      </c>
      <c r="F289" s="1" t="n">
        <v>110672</v>
      </c>
      <c r="G289" s="1" t="n">
        <v>50127</v>
      </c>
      <c r="H289" s="1" t="n">
        <v>34691</v>
      </c>
      <c r="I289" s="1" t="n">
        <v>123876</v>
      </c>
      <c r="J289" s="1" t="n">
        <v>53047</v>
      </c>
      <c r="K289" s="1" t="n">
        <v>37806</v>
      </c>
      <c r="L289" s="7" t="n">
        <f aca="false">(J289/G289*F289/I289)</f>
        <v>0.945452466586206</v>
      </c>
      <c r="M289" s="7" t="n">
        <f aca="false">(D289/G289*F289/C289)</f>
        <v>0.960063947637492</v>
      </c>
      <c r="N289" s="7" t="n">
        <f aca="false">(K289/H289*F289/I289)</f>
        <v>0.973631230440424</v>
      </c>
      <c r="O289" s="7" t="n">
        <f aca="false">(E289/H289*F289/C289)</f>
        <v>1.0606849932107</v>
      </c>
      <c r="P289" s="7" t="n">
        <f aca="false">(IF(L289&gt;1,L289,1/L289) - 1)*100</f>
        <v>5.76946333544945</v>
      </c>
      <c r="Q289" s="7" t="n">
        <f aca="false">(IF(M289&gt;1,M289,1/M289) - 1)*100</f>
        <v>4.15972836609293</v>
      </c>
      <c r="R289" s="7" t="n">
        <f aca="false">(IF(N289&gt;1,N289,1/N289) - 1)*100</f>
        <v>2.70829126420356</v>
      </c>
      <c r="S289" s="7" t="n">
        <f aca="false">(IF(O289&gt;1,O289,1/O289) - 1)*100</f>
        <v>6.06849932106988</v>
      </c>
      <c r="T289" s="9" t="n">
        <f aca="false">(P289+Q289) &lt; (R289+S289)</f>
        <v>0</v>
      </c>
      <c r="U289" s="10" t="n">
        <f aca="false">IF($T289,P289,R289)</f>
        <v>2.70829126420356</v>
      </c>
      <c r="V289" s="11" t="n">
        <f aca="false">IF($T289,Q289,S289)</f>
        <v>6.06849932106988</v>
      </c>
      <c r="W289" s="12" t="n">
        <f aca="false">P289 &lt; R289</f>
        <v>0</v>
      </c>
      <c r="X289" s="10" t="n">
        <f aca="false">IF($W289,P289,R289)</f>
        <v>2.70829126420356</v>
      </c>
      <c r="Y289" s="1" t="n">
        <v>448000</v>
      </c>
      <c r="Z289" s="1" t="s">
        <v>342</v>
      </c>
      <c r="AA289" s="12" t="n">
        <f aca="false">T289=W289</f>
        <v>1</v>
      </c>
    </row>
    <row r="290" customFormat="false" ht="12.8" hidden="false" customHeight="false" outlineLevel="0" collapsed="false">
      <c r="A290" s="1" t="s">
        <v>343</v>
      </c>
      <c r="B290" s="1" t="n">
        <v>454000</v>
      </c>
      <c r="C290" s="1" t="n">
        <v>126030</v>
      </c>
      <c r="D290" s="1" t="n">
        <v>74325</v>
      </c>
      <c r="E290" s="1" t="n">
        <v>27256</v>
      </c>
      <c r="F290" s="1" t="n">
        <v>157513</v>
      </c>
      <c r="G290" s="1" t="n">
        <v>107785</v>
      </c>
      <c r="H290" s="1" t="n">
        <v>36084</v>
      </c>
      <c r="I290" s="1" t="n">
        <v>276509</v>
      </c>
      <c r="J290" s="1" t="n">
        <v>162877</v>
      </c>
      <c r="K290" s="1" t="n">
        <v>42272</v>
      </c>
      <c r="L290" s="7" t="n">
        <f aca="false">(J290/G290*F290/I290)</f>
        <v>0.860812504463094</v>
      </c>
      <c r="M290" s="7" t="n">
        <f aca="false">(D290/G290*F290/C290)</f>
        <v>0.861824941845524</v>
      </c>
      <c r="N290" s="7" t="n">
        <f aca="false">(K290/H290*F290/I290)</f>
        <v>0.667337074882428</v>
      </c>
      <c r="O290" s="7" t="n">
        <f aca="false">(E290/H290*F290/C290)</f>
        <v>0.944038950331829</v>
      </c>
      <c r="P290" s="7" t="n">
        <f aca="false">(IF(L290&gt;1,L290,1/L290) - 1)*100</f>
        <v>16.1693161768973</v>
      </c>
      <c r="Q290" s="7" t="n">
        <f aca="false">(IF(M290&gt;1,M290,1/M290) - 1)*100</f>
        <v>16.0328451226517</v>
      </c>
      <c r="R290" s="7" t="n">
        <f aca="false">(IF(N290&gt;1,N290,1/N290) - 1)*100</f>
        <v>49.849309687489</v>
      </c>
      <c r="S290" s="7" t="n">
        <f aca="false">(IF(O290&gt;1,O290,1/O290) - 1)*100</f>
        <v>5.9278327073794</v>
      </c>
      <c r="T290" s="9" t="n">
        <f aca="false">(P290+Q290) &lt; (R290+S290)</f>
        <v>1</v>
      </c>
      <c r="U290" s="10" t="n">
        <f aca="false">IF($T290,P290,R290)</f>
        <v>16.1693161768973</v>
      </c>
      <c r="V290" s="11" t="n">
        <f aca="false">IF($T290,Q290,S290)</f>
        <v>16.0328451226517</v>
      </c>
      <c r="W290" s="12" t="n">
        <f aca="false">P290 &lt; R290</f>
        <v>1</v>
      </c>
      <c r="X290" s="10" t="n">
        <f aca="false">IF($W290,P290,R290)</f>
        <v>16.1693161768973</v>
      </c>
      <c r="Y290" s="1" t="n">
        <v>454000</v>
      </c>
      <c r="Z290" s="1" t="s">
        <v>343</v>
      </c>
      <c r="AA290" s="12" t="n">
        <f aca="false">T290=W290</f>
        <v>1</v>
      </c>
    </row>
    <row r="291" customFormat="false" ht="12.8" hidden="false" customHeight="false" outlineLevel="0" collapsed="false">
      <c r="A291" s="1" t="s">
        <v>344</v>
      </c>
      <c r="B291" s="1" t="s">
        <v>345</v>
      </c>
      <c r="C291" s="1" t="n">
        <v>172870</v>
      </c>
      <c r="D291" s="1" t="n">
        <v>98849</v>
      </c>
      <c r="E291" s="1" t="n">
        <v>77436</v>
      </c>
      <c r="F291" s="1" t="n">
        <v>156710</v>
      </c>
      <c r="G291" s="1" t="n">
        <v>88449</v>
      </c>
      <c r="H291" s="1" t="n">
        <v>68843</v>
      </c>
      <c r="I291" s="1" t="n">
        <v>185299</v>
      </c>
      <c r="J291" s="1" t="n">
        <v>113065</v>
      </c>
      <c r="K291" s="1" t="n">
        <v>91257</v>
      </c>
      <c r="L291" s="7" t="n">
        <f aca="false">(J291/G291*F291/I291)</f>
        <v>1.08108264356687</v>
      </c>
      <c r="M291" s="7" t="n">
        <f aca="false">(D291/G291*F291/C291)</f>
        <v>1.01310960223883</v>
      </c>
      <c r="N291" s="7" t="n">
        <f aca="false">(K291/H291*F291/I291)</f>
        <v>1.12106304116653</v>
      </c>
      <c r="O291" s="7" t="n">
        <f aca="false">(E291/H291*F291/C291)</f>
        <v>1.01967131547355</v>
      </c>
      <c r="P291" s="7" t="n">
        <f aca="false">(IF(L291&gt;1,L291,1/L291) - 1)*100</f>
        <v>8.10826435668677</v>
      </c>
      <c r="Q291" s="7" t="n">
        <f aca="false">(IF(M291&gt;1,M291,1/M291) - 1)*100</f>
        <v>1.31096022388326</v>
      </c>
      <c r="R291" s="7" t="n">
        <f aca="false">(IF(N291&gt;1,N291,1/N291) - 1)*100</f>
        <v>12.1063041166527</v>
      </c>
      <c r="S291" s="7" t="n">
        <f aca="false">(IF(O291&gt;1,O291,1/O291) - 1)*100</f>
        <v>1.96713154735548</v>
      </c>
      <c r="T291" s="9" t="n">
        <f aca="false">(P291+Q291) &lt; (R291+S291)</f>
        <v>1</v>
      </c>
      <c r="U291" s="10" t="n">
        <f aca="false">IF($T291,P291,R291)</f>
        <v>8.10826435668677</v>
      </c>
      <c r="V291" s="11" t="n">
        <f aca="false">IF($T291,Q291,S291)</f>
        <v>1.31096022388326</v>
      </c>
      <c r="W291" s="12" t="n">
        <f aca="false">P291 &lt; R291</f>
        <v>1</v>
      </c>
      <c r="X291" s="10" t="n">
        <f aca="false">IF($W291,P291,R291)</f>
        <v>8.10826435668677</v>
      </c>
      <c r="Y291" s="1" t="s">
        <v>345</v>
      </c>
      <c r="Z291" s="1" t="s">
        <v>344</v>
      </c>
      <c r="AA291" s="12" t="n">
        <f aca="false">T291=W291</f>
        <v>1</v>
      </c>
    </row>
    <row r="292" customFormat="false" ht="12.8" hidden="false" customHeight="false" outlineLevel="0" collapsed="false">
      <c r="A292" s="1" t="s">
        <v>346</v>
      </c>
      <c r="B292" s="1" t="n">
        <v>481000</v>
      </c>
      <c r="C292" s="1" t="n">
        <v>146843</v>
      </c>
      <c r="D292" s="1" t="n">
        <v>59366</v>
      </c>
      <c r="E292" s="1" t="n">
        <v>39908</v>
      </c>
      <c r="F292" s="1" t="n">
        <v>181456</v>
      </c>
      <c r="G292" s="1" t="n">
        <v>74095</v>
      </c>
      <c r="H292" s="1" t="n">
        <v>40570</v>
      </c>
      <c r="I292" s="1" t="n">
        <v>214601</v>
      </c>
      <c r="J292" s="1" t="n">
        <v>106983</v>
      </c>
      <c r="K292" s="1" t="n">
        <v>57095</v>
      </c>
      <c r="L292" s="7" t="n">
        <f aca="false">(J292/G292*F292/I292)</f>
        <v>1.22085886619715</v>
      </c>
      <c r="M292" s="7" t="n">
        <f aca="false">(D292/G292*F292/C292)</f>
        <v>0.990072436378214</v>
      </c>
      <c r="N292" s="7" t="n">
        <f aca="false">(K292/H292*F292/I292)</f>
        <v>1.18996081735659</v>
      </c>
      <c r="O292" s="7" t="n">
        <f aca="false">(E292/H292*F292/C292)</f>
        <v>1.21555059540358</v>
      </c>
      <c r="P292" s="7" t="n">
        <f aca="false">(IF(L292&gt;1,L292,1/L292) - 1)*100</f>
        <v>22.0858866197146</v>
      </c>
      <c r="Q292" s="7" t="n">
        <f aca="false">(IF(M292&gt;1,M292,1/M292) - 1)*100</f>
        <v>1.00271083781531</v>
      </c>
      <c r="R292" s="7" t="n">
        <f aca="false">(IF(N292&gt;1,N292,1/N292) - 1)*100</f>
        <v>18.9960817356587</v>
      </c>
      <c r="S292" s="7" t="n">
        <f aca="false">(IF(O292&gt;1,O292,1/O292) - 1)*100</f>
        <v>21.555059540358</v>
      </c>
      <c r="T292" s="9" t="n">
        <f aca="false">(P292+Q292) &lt; (R292+S292)</f>
        <v>1</v>
      </c>
      <c r="U292" s="10" t="n">
        <f aca="false">IF($T292,P292,R292)</f>
        <v>22.0858866197146</v>
      </c>
      <c r="V292" s="11" t="n">
        <f aca="false">IF($T292,Q292,S292)</f>
        <v>1.00271083781531</v>
      </c>
      <c r="W292" s="12" t="n">
        <f aca="false">P292 &lt; R292</f>
        <v>0</v>
      </c>
      <c r="X292" s="10" t="n">
        <f aca="false">IF($W292,P292,R292)</f>
        <v>18.9960817356587</v>
      </c>
      <c r="Y292" s="1" t="n">
        <v>481000</v>
      </c>
      <c r="Z292" s="1" t="s">
        <v>346</v>
      </c>
      <c r="AA292" s="12" t="n">
        <f aca="false">T292=W292</f>
        <v>0</v>
      </c>
    </row>
    <row r="293" customFormat="false" ht="12.8" hidden="false" customHeight="false" outlineLevel="0" collapsed="false">
      <c r="A293" s="1" t="s">
        <v>347</v>
      </c>
      <c r="B293" s="1" t="n">
        <v>482000</v>
      </c>
      <c r="C293" s="1" t="n">
        <v>61731</v>
      </c>
      <c r="D293" s="1" t="n">
        <v>33461</v>
      </c>
      <c r="E293" s="1" t="n">
        <v>19287</v>
      </c>
      <c r="F293" s="1" t="n">
        <v>80198</v>
      </c>
      <c r="G293" s="1" t="n">
        <v>40801</v>
      </c>
      <c r="H293" s="1" t="n">
        <v>22308</v>
      </c>
      <c r="I293" s="1" t="n">
        <v>81045</v>
      </c>
      <c r="J293" s="1" t="n">
        <v>45810</v>
      </c>
      <c r="K293" s="1" t="n">
        <v>21893</v>
      </c>
      <c r="L293" s="7" t="n">
        <f aca="false">(J293/G293*F293/I293)</f>
        <v>1.11103258307365</v>
      </c>
      <c r="M293" s="7" t="n">
        <f aca="false">(D293/G293*F293/C293)</f>
        <v>1.06543837233074</v>
      </c>
      <c r="N293" s="7" t="n">
        <f aca="false">(K293/H293*F293/I293)</f>
        <v>0.971140245957655</v>
      </c>
      <c r="O293" s="7" t="n">
        <f aca="false">(E293/H293*F293/C293)</f>
        <v>1.12321855773469</v>
      </c>
      <c r="P293" s="7" t="n">
        <f aca="false">(IF(L293&gt;1,L293,1/L293) - 1)*100</f>
        <v>11.1032583073645</v>
      </c>
      <c r="Q293" s="7" t="n">
        <f aca="false">(IF(M293&gt;1,M293,1/M293) - 1)*100</f>
        <v>6.5438372330741</v>
      </c>
      <c r="R293" s="7" t="n">
        <f aca="false">(IF(N293&gt;1,N293,1/N293) - 1)*100</f>
        <v>2.97173906266091</v>
      </c>
      <c r="S293" s="7" t="n">
        <f aca="false">(IF(O293&gt;1,O293,1/O293) - 1)*100</f>
        <v>12.321855773469</v>
      </c>
      <c r="T293" s="9" t="n">
        <f aca="false">(P293+Q293) &lt; (R293+S293)</f>
        <v>0</v>
      </c>
      <c r="U293" s="10" t="n">
        <f aca="false">IF($T293,P293,R293)</f>
        <v>2.97173906266091</v>
      </c>
      <c r="V293" s="11" t="n">
        <f aca="false">IF($T293,Q293,S293)</f>
        <v>12.321855773469</v>
      </c>
      <c r="W293" s="12" t="n">
        <f aca="false">P293 &lt; R293</f>
        <v>0</v>
      </c>
      <c r="X293" s="10" t="n">
        <f aca="false">IF($W293,P293,R293)</f>
        <v>2.97173906266091</v>
      </c>
      <c r="Y293" s="1" t="n">
        <v>482000</v>
      </c>
      <c r="Z293" s="1" t="s">
        <v>347</v>
      </c>
      <c r="AA293" s="12" t="n">
        <f aca="false">T293=W293</f>
        <v>1</v>
      </c>
    </row>
    <row r="294" customFormat="false" ht="12.8" hidden="false" customHeight="false" outlineLevel="0" collapsed="false">
      <c r="A294" s="1" t="s">
        <v>348</v>
      </c>
      <c r="B294" s="1" t="n">
        <v>483000</v>
      </c>
      <c r="C294" s="1" t="n">
        <v>47322</v>
      </c>
      <c r="D294" s="1" t="n">
        <v>14598</v>
      </c>
      <c r="E294" s="1" t="n">
        <v>5752</v>
      </c>
      <c r="F294" s="1" t="n">
        <v>50384</v>
      </c>
      <c r="G294" s="1" t="n">
        <v>13528</v>
      </c>
      <c r="H294" s="1" t="n">
        <v>6554</v>
      </c>
      <c r="I294" s="1" t="n">
        <v>54799</v>
      </c>
      <c r="J294" s="1" t="n">
        <v>13780</v>
      </c>
      <c r="K294" s="1" t="n">
        <v>7144</v>
      </c>
      <c r="L294" s="7" t="n">
        <f aca="false">(J294/G294*F294/I294)</f>
        <v>0.936560059514957</v>
      </c>
      <c r="M294" s="7" t="n">
        <f aca="false">(D294/G294*F294/C294)</f>
        <v>1.14891874936314</v>
      </c>
      <c r="N294" s="7" t="n">
        <f aca="false">(K294/H294*F294/I294)</f>
        <v>1.00220143164419</v>
      </c>
      <c r="O294" s="7" t="n">
        <f aca="false">(E294/H294*F294/C294)</f>
        <v>0.934419713959629</v>
      </c>
      <c r="P294" s="7" t="n">
        <f aca="false">(IF(L294&gt;1,L294,1/L294) - 1)*100</f>
        <v>6.77371833664335</v>
      </c>
      <c r="Q294" s="7" t="n">
        <f aca="false">(IF(M294&gt;1,M294,1/M294) - 1)*100</f>
        <v>14.891874936314</v>
      </c>
      <c r="R294" s="7" t="n">
        <f aca="false">(IF(N294&gt;1,N294,1/N294) - 1)*100</f>
        <v>0.220143164419295</v>
      </c>
      <c r="S294" s="7" t="n">
        <f aca="false">(IF(O294&gt;1,O294,1/O294) - 1)*100</f>
        <v>7.01829007464674</v>
      </c>
      <c r="T294" s="9" t="n">
        <f aca="false">(P294+Q294) &lt; (R294+S294)</f>
        <v>0</v>
      </c>
      <c r="U294" s="10" t="n">
        <f aca="false">IF($T294,P294,R294)</f>
        <v>0.220143164419295</v>
      </c>
      <c r="V294" s="11" t="n">
        <f aca="false">IF($T294,Q294,S294)</f>
        <v>7.01829007464674</v>
      </c>
      <c r="W294" s="12" t="n">
        <f aca="false">P294 &lt; R294</f>
        <v>0</v>
      </c>
      <c r="X294" s="10" t="n">
        <f aca="false">IF($W294,P294,R294)</f>
        <v>0.220143164419295</v>
      </c>
      <c r="Y294" s="1" t="n">
        <v>483000</v>
      </c>
      <c r="Z294" s="1" t="s">
        <v>348</v>
      </c>
      <c r="AA294" s="12" t="n">
        <f aca="false">T294=W294</f>
        <v>1</v>
      </c>
    </row>
    <row r="295" customFormat="false" ht="12.8" hidden="false" customHeight="false" outlineLevel="0" collapsed="false">
      <c r="A295" s="1" t="s">
        <v>349</v>
      </c>
      <c r="B295" s="1" t="n">
        <v>484000</v>
      </c>
      <c r="C295" s="1" t="n">
        <v>278564</v>
      </c>
      <c r="D295" s="1" t="n">
        <v>123249</v>
      </c>
      <c r="E295" s="1" t="n">
        <v>76841</v>
      </c>
      <c r="F295" s="1" t="n">
        <v>297253</v>
      </c>
      <c r="G295" s="1" t="n">
        <v>127874</v>
      </c>
      <c r="H295" s="1" t="n">
        <v>78692</v>
      </c>
      <c r="I295" s="1" t="n">
        <v>366619</v>
      </c>
      <c r="J295" s="1" t="n">
        <v>177432</v>
      </c>
      <c r="K295" s="1" t="n">
        <v>96307</v>
      </c>
      <c r="L295" s="7" t="n">
        <f aca="false">(J295/G295*F295/I295)</f>
        <v>1.12502189668347</v>
      </c>
      <c r="M295" s="7" t="n">
        <f aca="false">(D295/G295*F295/C295)</f>
        <v>1.02849553389122</v>
      </c>
      <c r="N295" s="7" t="n">
        <f aca="false">(K295/H295*F295/I295)</f>
        <v>0.992289850499149</v>
      </c>
      <c r="O295" s="7" t="n">
        <f aca="false">(E295/H295*F295/C295)</f>
        <v>1.04199031223769</v>
      </c>
      <c r="P295" s="7" t="n">
        <f aca="false">(IF(L295&gt;1,L295,1/L295) - 1)*100</f>
        <v>12.5021896683471</v>
      </c>
      <c r="Q295" s="7" t="n">
        <f aca="false">(IF(M295&gt;1,M295,1/M295) - 1)*100</f>
        <v>2.84955338912176</v>
      </c>
      <c r="R295" s="7" t="n">
        <f aca="false">(IF(N295&gt;1,N295,1/N295) - 1)*100</f>
        <v>0.777005780818252</v>
      </c>
      <c r="S295" s="7" t="n">
        <f aca="false">(IF(O295&gt;1,O295,1/O295) - 1)*100</f>
        <v>4.19903122376877</v>
      </c>
      <c r="T295" s="9" t="n">
        <f aca="false">(P295+Q295) &lt; (R295+S295)</f>
        <v>0</v>
      </c>
      <c r="U295" s="10" t="n">
        <f aca="false">IF($T295,P295,R295)</f>
        <v>0.777005780818252</v>
      </c>
      <c r="V295" s="11" t="n">
        <f aca="false">IF($T295,Q295,S295)</f>
        <v>4.19903122376877</v>
      </c>
      <c r="W295" s="12" t="n">
        <f aca="false">P295 &lt; R295</f>
        <v>0</v>
      </c>
      <c r="X295" s="10" t="n">
        <f aca="false">IF($W295,P295,R295)</f>
        <v>0.777005780818252</v>
      </c>
      <c r="Y295" s="1" t="n">
        <v>484000</v>
      </c>
      <c r="Z295" s="1" t="s">
        <v>349</v>
      </c>
      <c r="AA295" s="12" t="n">
        <f aca="false">T295=W295</f>
        <v>1</v>
      </c>
    </row>
    <row r="296" customFormat="false" ht="12.8" hidden="false" customHeight="false" outlineLevel="0" collapsed="false">
      <c r="A296" s="1" t="s">
        <v>350</v>
      </c>
      <c r="B296" s="1" t="n">
        <v>485000</v>
      </c>
      <c r="C296" s="1" t="n">
        <v>44669</v>
      </c>
      <c r="D296" s="1" t="n">
        <v>26051</v>
      </c>
      <c r="E296" s="1" t="n">
        <v>14289</v>
      </c>
      <c r="F296" s="1" t="n">
        <v>50225</v>
      </c>
      <c r="G296" s="1" t="n">
        <v>35692</v>
      </c>
      <c r="H296" s="1" t="n">
        <v>17111</v>
      </c>
      <c r="I296" s="1" t="n">
        <v>77284</v>
      </c>
      <c r="J296" s="1" t="n">
        <v>42391</v>
      </c>
      <c r="K296" s="1" t="n">
        <v>21954</v>
      </c>
      <c r="L296" s="7" t="n">
        <f aca="false">(J296/G296*F296/I296)</f>
        <v>0.771850395321594</v>
      </c>
      <c r="M296" s="7" t="n">
        <f aca="false">(D296/G296*F296/C296)</f>
        <v>0.820667490635359</v>
      </c>
      <c r="N296" s="7" t="n">
        <f aca="false">(K296/H296*F296/I296)</f>
        <v>0.833812923627107</v>
      </c>
      <c r="O296" s="7" t="n">
        <f aca="false">(E296/H296*F296/C296)</f>
        <v>0.938945014415536</v>
      </c>
      <c r="P296" s="7" t="n">
        <f aca="false">(IF(L296&gt;1,L296,1/L296) - 1)*100</f>
        <v>29.5587857519133</v>
      </c>
      <c r="Q296" s="7" t="n">
        <f aca="false">(IF(M296&gt;1,M296,1/M296) - 1)*100</f>
        <v>21.8520303790518</v>
      </c>
      <c r="R296" s="7" t="n">
        <f aca="false">(IF(N296&gt;1,N296,1/N296) - 1)*100</f>
        <v>19.9309787200197</v>
      </c>
      <c r="S296" s="7" t="n">
        <f aca="false">(IF(O296&gt;1,O296,1/O296) - 1)*100</f>
        <v>6.5025091615688</v>
      </c>
      <c r="T296" s="9" t="n">
        <f aca="false">(P296+Q296) &lt; (R296+S296)</f>
        <v>0</v>
      </c>
      <c r="U296" s="10" t="n">
        <f aca="false">IF($T296,P296,R296)</f>
        <v>19.9309787200197</v>
      </c>
      <c r="V296" s="11" t="n">
        <f aca="false">IF($T296,Q296,S296)</f>
        <v>6.5025091615688</v>
      </c>
      <c r="W296" s="12" t="n">
        <f aca="false">P296 &lt; R296</f>
        <v>0</v>
      </c>
      <c r="X296" s="10" t="n">
        <f aca="false">IF($W296,P296,R296)</f>
        <v>19.9309787200197</v>
      </c>
      <c r="Y296" s="1" t="n">
        <v>485000</v>
      </c>
      <c r="Z296" s="1" t="s">
        <v>350</v>
      </c>
      <c r="AA296" s="12" t="n">
        <f aca="false">T296=W296</f>
        <v>1</v>
      </c>
    </row>
    <row r="297" customFormat="false" ht="12.8" hidden="false" customHeight="false" outlineLevel="0" collapsed="false">
      <c r="A297" s="1" t="s">
        <v>351</v>
      </c>
      <c r="B297" s="1" t="n">
        <v>486000</v>
      </c>
      <c r="C297" s="1" t="n">
        <v>25701</v>
      </c>
      <c r="D297" s="1" t="n">
        <v>12965</v>
      </c>
      <c r="E297" s="1" t="n">
        <v>4733</v>
      </c>
      <c r="F297" s="1" t="n">
        <v>36377</v>
      </c>
      <c r="G297" s="1" t="n">
        <v>25270</v>
      </c>
      <c r="H297" s="1" t="n">
        <v>6754</v>
      </c>
      <c r="I297" s="1" t="n">
        <v>47995</v>
      </c>
      <c r="J297" s="1" t="n">
        <v>40928</v>
      </c>
      <c r="K297" s="1" t="n">
        <v>7617</v>
      </c>
      <c r="L297" s="7" t="n">
        <f aca="false">(J297/G297*F297/I297)</f>
        <v>1.22756971329085</v>
      </c>
      <c r="M297" s="7" t="n">
        <f aca="false">(D297/G297*F297/C297)</f>
        <v>0.726179755816282</v>
      </c>
      <c r="N297" s="7" t="n">
        <f aca="false">(K297/H297*F297/I297)</f>
        <v>0.854778880671948</v>
      </c>
      <c r="O297" s="7" t="n">
        <f aca="false">(E297/H297*F297/C297)</f>
        <v>0.991864408627049</v>
      </c>
      <c r="P297" s="7" t="n">
        <f aca="false">(IF(L297&gt;1,L297,1/L297) - 1)*100</f>
        <v>22.7569713290854</v>
      </c>
      <c r="Q297" s="7" t="n">
        <f aca="false">(IF(M297&gt;1,M297,1/M297) - 1)*100</f>
        <v>37.7069509292396</v>
      </c>
      <c r="R297" s="7" t="n">
        <f aca="false">(IF(N297&gt;1,N297,1/N297) - 1)*100</f>
        <v>16.9893199997983</v>
      </c>
      <c r="S297" s="7" t="n">
        <f aca="false">(IF(O297&gt;1,O297,1/O297) - 1)*100</f>
        <v>0.820232211397998</v>
      </c>
      <c r="T297" s="9" t="n">
        <f aca="false">(P297+Q297) &lt; (R297+S297)</f>
        <v>0</v>
      </c>
      <c r="U297" s="10" t="n">
        <f aca="false">IF($T297,P297,R297)</f>
        <v>16.9893199997983</v>
      </c>
      <c r="V297" s="11" t="n">
        <f aca="false">IF($T297,Q297,S297)</f>
        <v>0.820232211397998</v>
      </c>
      <c r="W297" s="12" t="n">
        <f aca="false">P297 &lt; R297</f>
        <v>0</v>
      </c>
      <c r="X297" s="10" t="n">
        <f aca="false">IF($W297,P297,R297)</f>
        <v>16.9893199997983</v>
      </c>
      <c r="Y297" s="1" t="n">
        <v>486000</v>
      </c>
      <c r="Z297" s="1" t="s">
        <v>351</v>
      </c>
      <c r="AA297" s="12" t="n">
        <f aca="false">T297=W297</f>
        <v>1</v>
      </c>
    </row>
    <row r="298" customFormat="false" ht="12.8" hidden="false" customHeight="false" outlineLevel="0" collapsed="false">
      <c r="A298" s="1" t="s">
        <v>352</v>
      </c>
      <c r="B298" s="1" t="s">
        <v>353</v>
      </c>
      <c r="C298" s="1" t="n">
        <v>94661</v>
      </c>
      <c r="D298" s="1" t="n">
        <v>46838</v>
      </c>
      <c r="E298" s="1" t="n">
        <v>32900</v>
      </c>
      <c r="F298" s="1" t="n">
        <v>113030</v>
      </c>
      <c r="G298" s="1" t="n">
        <v>54992</v>
      </c>
      <c r="H298" s="1" t="n">
        <v>39936</v>
      </c>
      <c r="I298" s="1" t="n">
        <v>141492</v>
      </c>
      <c r="J298" s="1" t="n">
        <v>68311</v>
      </c>
      <c r="K298" s="1" t="n">
        <v>47282</v>
      </c>
      <c r="L298" s="7" t="n">
        <f aca="false">(J298/G298*F298/I298)</f>
        <v>0.992322800891017</v>
      </c>
      <c r="M298" s="7" t="n">
        <f aca="false">(D298/G298*F298/C298)</f>
        <v>1.01700120387636</v>
      </c>
      <c r="N298" s="7" t="n">
        <f aca="false">(K298/H298*F298/I298)</f>
        <v>0.94578651415442</v>
      </c>
      <c r="O298" s="7" t="n">
        <f aca="false">(E298/H298*F298/C298)</f>
        <v>0.983680299778914</v>
      </c>
      <c r="P298" s="7" t="n">
        <f aca="false">(IF(L298&gt;1,L298,1/L298) - 1)*100</f>
        <v>0.773659448527164</v>
      </c>
      <c r="Q298" s="7" t="n">
        <f aca="false">(IF(M298&gt;1,M298,1/M298) - 1)*100</f>
        <v>1.70012038763552</v>
      </c>
      <c r="R298" s="7" t="n">
        <f aca="false">(IF(N298&gt;1,N298,1/N298) - 1)*100</f>
        <v>5.73210603389176</v>
      </c>
      <c r="S298" s="7" t="n">
        <f aca="false">(IF(O298&gt;1,O298,1/O298) - 1)*100</f>
        <v>1.65904514147064</v>
      </c>
      <c r="T298" s="9" t="n">
        <f aca="false">(P298+Q298) &lt; (R298+S298)</f>
        <v>1</v>
      </c>
      <c r="U298" s="10" t="n">
        <f aca="false">IF($T298,P298,R298)</f>
        <v>0.773659448527164</v>
      </c>
      <c r="V298" s="11" t="n">
        <f aca="false">IF($T298,Q298,S298)</f>
        <v>1.70012038763552</v>
      </c>
      <c r="W298" s="12" t="n">
        <f aca="false">P298 &lt; R298</f>
        <v>1</v>
      </c>
      <c r="X298" s="10" t="n">
        <f aca="false">IF($W298,P298,R298)</f>
        <v>0.773659448527164</v>
      </c>
      <c r="Y298" s="1" t="s">
        <v>353</v>
      </c>
      <c r="Z298" s="1" t="s">
        <v>352</v>
      </c>
      <c r="AA298" s="12" t="n">
        <f aca="false">T298=W298</f>
        <v>1</v>
      </c>
    </row>
    <row r="299" customFormat="false" ht="12.8" hidden="false" customHeight="false" outlineLevel="0" collapsed="false">
      <c r="A299" s="1" t="s">
        <v>354</v>
      </c>
      <c r="B299" s="1" t="n">
        <v>492000</v>
      </c>
      <c r="C299" s="1" t="n">
        <v>83637</v>
      </c>
      <c r="D299" s="1" t="n">
        <v>42923</v>
      </c>
      <c r="E299" s="1" t="n">
        <v>30945</v>
      </c>
      <c r="F299" s="1" t="n">
        <v>73984</v>
      </c>
      <c r="G299" s="1" t="n">
        <v>39732</v>
      </c>
      <c r="H299" s="1" t="n">
        <v>27228</v>
      </c>
      <c r="I299" s="1" t="n">
        <v>96928</v>
      </c>
      <c r="J299" s="1" t="n">
        <v>56400</v>
      </c>
      <c r="K299" s="1" t="n">
        <v>38870</v>
      </c>
      <c r="L299" s="7" t="n">
        <f aca="false">(J299/G299*F299/I299)</f>
        <v>1.08349580352774</v>
      </c>
      <c r="M299" s="7" t="n">
        <f aca="false">(D299/G299*F299/C299)</f>
        <v>0.955628301162199</v>
      </c>
      <c r="N299" s="7" t="n">
        <f aca="false">(K299/H299*F299/I299)</f>
        <v>1.08965083280213</v>
      </c>
      <c r="O299" s="7" t="n">
        <f aca="false">(E299/H299*F299/C299)</f>
        <v>1.00534264862069</v>
      </c>
      <c r="P299" s="7" t="n">
        <f aca="false">(IF(L299&gt;1,L299,1/L299) - 1)*100</f>
        <v>8.34958035277429</v>
      </c>
      <c r="Q299" s="7" t="n">
        <f aca="false">(IF(M299&gt;1,M299,1/M299) - 1)*100</f>
        <v>4.64319639590392</v>
      </c>
      <c r="R299" s="7" t="n">
        <f aca="false">(IF(N299&gt;1,N299,1/N299) - 1)*100</f>
        <v>8.96508328021333</v>
      </c>
      <c r="S299" s="7" t="n">
        <f aca="false">(IF(O299&gt;1,O299,1/O299) - 1)*100</f>
        <v>0.534264862068712</v>
      </c>
      <c r="T299" s="9" t="n">
        <f aca="false">(P299+Q299) &lt; (R299+S299)</f>
        <v>0</v>
      </c>
      <c r="U299" s="10" t="n">
        <f aca="false">IF($T299,P299,R299)</f>
        <v>8.96508328021333</v>
      </c>
      <c r="V299" s="11" t="n">
        <f aca="false">IF($T299,Q299,S299)</f>
        <v>0.534264862068712</v>
      </c>
      <c r="W299" s="12" t="n">
        <f aca="false">P299 &lt; R299</f>
        <v>1</v>
      </c>
      <c r="X299" s="10" t="n">
        <f aca="false">IF($W299,P299,R299)</f>
        <v>8.34958035277429</v>
      </c>
      <c r="Y299" s="1" t="n">
        <v>492000</v>
      </c>
      <c r="Z299" s="1" t="s">
        <v>354</v>
      </c>
      <c r="AA299" s="12" t="n">
        <f aca="false">T299=W299</f>
        <v>0</v>
      </c>
    </row>
    <row r="300" customFormat="false" ht="12.8" hidden="false" customHeight="false" outlineLevel="0" collapsed="false">
      <c r="A300" s="1" t="s">
        <v>355</v>
      </c>
      <c r="B300" s="1" t="n">
        <v>493000</v>
      </c>
      <c r="C300" s="1" t="n">
        <v>68973</v>
      </c>
      <c r="D300" s="1" t="n">
        <v>41216</v>
      </c>
      <c r="E300" s="1" t="n">
        <v>31263</v>
      </c>
      <c r="F300" s="1" t="n">
        <v>108809</v>
      </c>
      <c r="G300" s="1" t="n">
        <v>47138</v>
      </c>
      <c r="H300" s="1" t="n">
        <v>35598</v>
      </c>
      <c r="I300" s="1" t="n">
        <v>123701</v>
      </c>
      <c r="J300" s="1" t="n">
        <v>60983</v>
      </c>
      <c r="K300" s="1" t="n">
        <v>53892</v>
      </c>
      <c r="L300" s="7" t="n">
        <f aca="false">(J300/G300*F300/I300)</f>
        <v>1.13796588265498</v>
      </c>
      <c r="M300" s="7" t="n">
        <f aca="false">(D300/G300*F300/C300)</f>
        <v>1.37936877982983</v>
      </c>
      <c r="N300" s="7" t="n">
        <f aca="false">(K300/H300*F300/I300)</f>
        <v>1.33165066677139</v>
      </c>
      <c r="O300" s="7" t="n">
        <f aca="false">(E300/H300*F300/C300)</f>
        <v>1.38544967369608</v>
      </c>
      <c r="P300" s="7" t="n">
        <f aca="false">(IF(L300&gt;1,L300,1/L300) - 1)*100</f>
        <v>13.7965882654977</v>
      </c>
      <c r="Q300" s="7" t="n">
        <f aca="false">(IF(M300&gt;1,M300,1/M300) - 1)*100</f>
        <v>37.936877982983</v>
      </c>
      <c r="R300" s="7" t="n">
        <f aca="false">(IF(N300&gt;1,N300,1/N300) - 1)*100</f>
        <v>33.1650666771394</v>
      </c>
      <c r="S300" s="7" t="n">
        <f aca="false">(IF(O300&gt;1,O300,1/O300) - 1)*100</f>
        <v>38.5449673696077</v>
      </c>
      <c r="T300" s="9" t="n">
        <f aca="false">(P300+Q300) &lt; (R300+S300)</f>
        <v>1</v>
      </c>
      <c r="U300" s="10" t="n">
        <f aca="false">IF($T300,P300,R300)</f>
        <v>13.7965882654977</v>
      </c>
      <c r="V300" s="11" t="n">
        <f aca="false">IF($T300,Q300,S300)</f>
        <v>37.936877982983</v>
      </c>
      <c r="W300" s="12" t="n">
        <f aca="false">P300 &lt; R300</f>
        <v>1</v>
      </c>
      <c r="X300" s="10" t="n">
        <f aca="false">IF($W300,P300,R300)</f>
        <v>13.7965882654977</v>
      </c>
      <c r="Y300" s="1" t="n">
        <v>493000</v>
      </c>
      <c r="Z300" s="1" t="s">
        <v>355</v>
      </c>
      <c r="AA300" s="12" t="n">
        <f aca="false">T300=W300</f>
        <v>1</v>
      </c>
    </row>
    <row r="301" customFormat="false" ht="12.8" hidden="false" customHeight="false" outlineLevel="0" collapsed="false">
      <c r="A301" s="1" t="s">
        <v>356</v>
      </c>
      <c r="B301" s="1" t="n">
        <v>511110</v>
      </c>
      <c r="C301" s="1" t="n">
        <v>48591</v>
      </c>
      <c r="D301" s="1" t="n">
        <v>30217</v>
      </c>
      <c r="E301" s="1" t="n">
        <v>15393</v>
      </c>
      <c r="F301" s="1" t="n">
        <v>30346</v>
      </c>
      <c r="G301" s="1" t="n">
        <v>19383</v>
      </c>
      <c r="H301" s="1" t="n">
        <v>8923</v>
      </c>
      <c r="I301" s="1" t="n">
        <v>26038</v>
      </c>
      <c r="J301" s="1" t="n">
        <v>17862</v>
      </c>
      <c r="K301" s="1" t="n">
        <v>9580</v>
      </c>
      <c r="L301" s="7" t="n">
        <f aca="false">(J301/G301*F301/I301)</f>
        <v>1.07399663361535</v>
      </c>
      <c r="M301" s="7" t="n">
        <f aca="false">(D301/G301*F301/C301)</f>
        <v>0.973589688176897</v>
      </c>
      <c r="N301" s="7" t="n">
        <f aca="false">(K301/H301*F301/I301)</f>
        <v>1.25126255140839</v>
      </c>
      <c r="O301" s="7" t="n">
        <f aca="false">(E301/H301*F301/C301)</f>
        <v>1.07735291970056</v>
      </c>
      <c r="P301" s="7" t="n">
        <f aca="false">(IF(L301&gt;1,L301,1/L301) - 1)*100</f>
        <v>7.3996633615349</v>
      </c>
      <c r="Q301" s="7" t="n">
        <f aca="false">(IF(M301&gt;1,M301,1/M301) - 1)*100</f>
        <v>2.71267374170305</v>
      </c>
      <c r="R301" s="7" t="n">
        <f aca="false">(IF(N301&gt;1,N301,1/N301) - 1)*100</f>
        <v>25.126255140839</v>
      </c>
      <c r="S301" s="7" t="n">
        <f aca="false">(IF(O301&gt;1,O301,1/O301) - 1)*100</f>
        <v>7.7352919700562</v>
      </c>
      <c r="T301" s="9" t="n">
        <f aca="false">(P301+Q301) &lt; (R301+S301)</f>
        <v>1</v>
      </c>
      <c r="U301" s="10" t="n">
        <f aca="false">IF($T301,P301,R301)</f>
        <v>7.3996633615349</v>
      </c>
      <c r="V301" s="11" t="n">
        <f aca="false">IF($T301,Q301,S301)</f>
        <v>2.71267374170305</v>
      </c>
      <c r="W301" s="12" t="n">
        <f aca="false">P301 &lt; R301</f>
        <v>1</v>
      </c>
      <c r="X301" s="10" t="n">
        <f aca="false">IF($W301,P301,R301)</f>
        <v>7.3996633615349</v>
      </c>
      <c r="Y301" s="1" t="n">
        <v>511110</v>
      </c>
      <c r="Z301" s="1" t="s">
        <v>356</v>
      </c>
      <c r="AA301" s="12" t="n">
        <f aca="false">T301=W301</f>
        <v>1</v>
      </c>
    </row>
    <row r="302" customFormat="false" ht="12.8" hidden="false" customHeight="false" outlineLevel="0" collapsed="false">
      <c r="A302" s="1" t="s">
        <v>357</v>
      </c>
      <c r="B302" s="1" t="n">
        <v>511120</v>
      </c>
      <c r="C302" s="1" t="n">
        <v>47523</v>
      </c>
      <c r="D302" s="1" t="n">
        <v>26205</v>
      </c>
      <c r="E302" s="1" t="n">
        <v>10864</v>
      </c>
      <c r="F302" s="1" t="n">
        <v>30164</v>
      </c>
      <c r="G302" s="1" t="n">
        <v>17208</v>
      </c>
      <c r="H302" s="1" t="n">
        <v>6405</v>
      </c>
      <c r="I302" s="1" t="n">
        <v>27642</v>
      </c>
      <c r="J302" s="1" t="n">
        <v>17029</v>
      </c>
      <c r="K302" s="1" t="n">
        <v>10016</v>
      </c>
      <c r="L302" s="7" t="n">
        <f aca="false">(J302/G302*F302/I302)</f>
        <v>1.07988676264644</v>
      </c>
      <c r="M302" s="7" t="n">
        <f aca="false">(D302/G302*F302/C302)</f>
        <v>0.966582326678434</v>
      </c>
      <c r="N302" s="7" t="n">
        <f aca="false">(K302/H302*F302/I302)</f>
        <v>1.70645425754437</v>
      </c>
      <c r="O302" s="7" t="n">
        <f aca="false">(E302/H302*F302/C302)</f>
        <v>1.07660329901805</v>
      </c>
      <c r="P302" s="7" t="n">
        <f aca="false">(IF(L302&gt;1,L302,1/L302) - 1)*100</f>
        <v>7.98867626464435</v>
      </c>
      <c r="Q302" s="7" t="n">
        <f aca="false">(IF(M302&gt;1,M302,1/M302) - 1)*100</f>
        <v>3.45730233206345</v>
      </c>
      <c r="R302" s="7" t="n">
        <f aca="false">(IF(N302&gt;1,N302,1/N302) - 1)*100</f>
        <v>70.6454257544366</v>
      </c>
      <c r="S302" s="7" t="n">
        <f aca="false">(IF(O302&gt;1,O302,1/O302) - 1)*100</f>
        <v>7.66032990180536</v>
      </c>
      <c r="T302" s="9" t="n">
        <f aca="false">(P302+Q302) &lt; (R302+S302)</f>
        <v>1</v>
      </c>
      <c r="U302" s="10" t="n">
        <f aca="false">IF($T302,P302,R302)</f>
        <v>7.98867626464435</v>
      </c>
      <c r="V302" s="11" t="n">
        <f aca="false">IF($T302,Q302,S302)</f>
        <v>3.45730233206345</v>
      </c>
      <c r="W302" s="12" t="n">
        <f aca="false">P302 &lt; R302</f>
        <v>1</v>
      </c>
      <c r="X302" s="10" t="n">
        <f aca="false">IF($W302,P302,R302)</f>
        <v>7.98867626464435</v>
      </c>
      <c r="Y302" s="1" t="n">
        <v>511120</v>
      </c>
      <c r="Z302" s="1" t="s">
        <v>357</v>
      </c>
      <c r="AA302" s="12" t="n">
        <f aca="false">T302=W302</f>
        <v>1</v>
      </c>
    </row>
    <row r="303" customFormat="false" ht="12.8" hidden="false" customHeight="false" outlineLevel="0" collapsed="false">
      <c r="A303" s="1" t="s">
        <v>358</v>
      </c>
      <c r="B303" s="1" t="n">
        <v>511130</v>
      </c>
      <c r="C303" s="1" t="n">
        <v>38930</v>
      </c>
      <c r="D303" s="1" t="n">
        <v>19059</v>
      </c>
      <c r="E303" s="1" t="n">
        <v>5852</v>
      </c>
      <c r="F303" s="1" t="n">
        <v>36005</v>
      </c>
      <c r="G303" s="1" t="n">
        <v>17498</v>
      </c>
      <c r="H303" s="1" t="n">
        <v>4693</v>
      </c>
      <c r="I303" s="1" t="n">
        <v>38494</v>
      </c>
      <c r="J303" s="1" t="n">
        <v>18067</v>
      </c>
      <c r="K303" s="1" t="n">
        <v>5911</v>
      </c>
      <c r="L303" s="7" t="n">
        <f aca="false">(J303/G303*F303/I303)</f>
        <v>0.965755979219512</v>
      </c>
      <c r="M303" s="7" t="n">
        <f aca="false">(D303/G303*F303/C303)</f>
        <v>1.0073725426974</v>
      </c>
      <c r="N303" s="7" t="n">
        <f aca="false">(K303/H303*F303/I303)</f>
        <v>1.17809463549606</v>
      </c>
      <c r="O303" s="7" t="n">
        <f aca="false">(E303/H303*F303/C303)</f>
        <v>1.15327313323717</v>
      </c>
      <c r="P303" s="7" t="n">
        <f aca="false">(IF(L303&gt;1,L303,1/L303) - 1)*100</f>
        <v>3.54582539661443</v>
      </c>
      <c r="Q303" s="7" t="n">
        <f aca="false">(IF(M303&gt;1,M303,1/M303) - 1)*100</f>
        <v>0.737254269740451</v>
      </c>
      <c r="R303" s="7" t="n">
        <f aca="false">(IF(N303&gt;1,N303,1/N303) - 1)*100</f>
        <v>17.8094635496062</v>
      </c>
      <c r="S303" s="7" t="n">
        <f aca="false">(IF(O303&gt;1,O303,1/O303) - 1)*100</f>
        <v>15.3273133237171</v>
      </c>
      <c r="T303" s="9" t="n">
        <f aca="false">(P303+Q303) &lt; (R303+S303)</f>
        <v>1</v>
      </c>
      <c r="U303" s="10" t="n">
        <f aca="false">IF($T303,P303,R303)</f>
        <v>3.54582539661443</v>
      </c>
      <c r="V303" s="11" t="n">
        <f aca="false">IF($T303,Q303,S303)</f>
        <v>0.737254269740451</v>
      </c>
      <c r="W303" s="12" t="n">
        <f aca="false">P303 &lt; R303</f>
        <v>1</v>
      </c>
      <c r="X303" s="10" t="n">
        <f aca="false">IF($W303,P303,R303)</f>
        <v>3.54582539661443</v>
      </c>
      <c r="Y303" s="1" t="n">
        <v>511130</v>
      </c>
      <c r="Z303" s="1" t="s">
        <v>358</v>
      </c>
      <c r="AA303" s="12" t="n">
        <f aca="false">T303=W303</f>
        <v>1</v>
      </c>
    </row>
    <row r="304" customFormat="false" ht="12.8" hidden="false" customHeight="false" outlineLevel="0" collapsed="false">
      <c r="A304" s="1" t="s">
        <v>359</v>
      </c>
      <c r="B304" s="1" t="s">
        <v>360</v>
      </c>
      <c r="C304" s="1" t="n">
        <v>26727</v>
      </c>
      <c r="D304" s="1" t="n">
        <v>13640</v>
      </c>
      <c r="E304" s="1" t="n">
        <v>4504</v>
      </c>
      <c r="F304" s="1" t="n">
        <v>16218</v>
      </c>
      <c r="G304" s="1" t="n">
        <v>8974</v>
      </c>
      <c r="H304" s="1" t="n">
        <v>2659</v>
      </c>
      <c r="I304" s="1" t="n">
        <v>10842</v>
      </c>
      <c r="J304" s="1" t="n">
        <v>6373</v>
      </c>
      <c r="K304" s="1" t="n">
        <v>2805</v>
      </c>
      <c r="L304" s="7" t="n">
        <f aca="false">(J304/G304*F304/I304)</f>
        <v>1.06229648980409</v>
      </c>
      <c r="M304" s="7" t="n">
        <f aca="false">(D304/G304*F304/C304)</f>
        <v>0.922306751000377</v>
      </c>
      <c r="N304" s="7" t="n">
        <f aca="false">(K304/H304*F304/I304)</f>
        <v>1.57798336792712</v>
      </c>
      <c r="O304" s="7" t="n">
        <f aca="false">(E304/H304*F304/C304)</f>
        <v>1.02784381513959</v>
      </c>
      <c r="P304" s="7" t="n">
        <f aca="false">(IF(L304&gt;1,L304,1/L304) - 1)*100</f>
        <v>6.22964898040936</v>
      </c>
      <c r="Q304" s="7" t="n">
        <f aca="false">(IF(M304&gt;1,M304,1/M304) - 1)*100</f>
        <v>8.423797062675</v>
      </c>
      <c r="R304" s="7" t="n">
        <f aca="false">(IF(N304&gt;1,N304,1/N304) - 1)*100</f>
        <v>57.7983367927118</v>
      </c>
      <c r="S304" s="7" t="n">
        <f aca="false">(IF(O304&gt;1,O304,1/O304) - 1)*100</f>
        <v>2.78438151395892</v>
      </c>
      <c r="T304" s="9" t="n">
        <f aca="false">(P304+Q304) &lt; (R304+S304)</f>
        <v>1</v>
      </c>
      <c r="U304" s="10" t="n">
        <f aca="false">IF($T304,P304,R304)</f>
        <v>6.22964898040936</v>
      </c>
      <c r="V304" s="11" t="n">
        <f aca="false">IF($T304,Q304,S304)</f>
        <v>8.423797062675</v>
      </c>
      <c r="W304" s="12" t="n">
        <f aca="false">P304 &lt; R304</f>
        <v>1</v>
      </c>
      <c r="X304" s="10" t="n">
        <f aca="false">IF($W304,P304,R304)</f>
        <v>6.22964898040936</v>
      </c>
      <c r="Y304" s="1" t="s">
        <v>360</v>
      </c>
      <c r="Z304" s="1" t="s">
        <v>359</v>
      </c>
      <c r="AA304" s="12" t="n">
        <f aca="false">T304=W304</f>
        <v>1</v>
      </c>
    </row>
    <row r="305" customFormat="false" ht="12.8" hidden="false" customHeight="false" outlineLevel="0" collapsed="false">
      <c r="A305" s="1" t="s">
        <v>361</v>
      </c>
      <c r="B305" s="1" t="n">
        <v>511200</v>
      </c>
      <c r="C305" s="1" t="n">
        <v>148272</v>
      </c>
      <c r="D305" s="1" t="n">
        <v>94525</v>
      </c>
      <c r="E305" s="1" t="n">
        <v>43051</v>
      </c>
      <c r="F305" s="1" t="n">
        <v>182461</v>
      </c>
      <c r="G305" s="1" t="n">
        <v>125736</v>
      </c>
      <c r="H305" s="1" t="n">
        <v>57987</v>
      </c>
      <c r="I305" s="1" t="n">
        <v>281109</v>
      </c>
      <c r="J305" s="1" t="n">
        <v>175519</v>
      </c>
      <c r="K305" s="1" t="n">
        <v>71879</v>
      </c>
      <c r="L305" s="7" t="n">
        <f aca="false">(J305/G305*F305/I305)</f>
        <v>0.906065921507883</v>
      </c>
      <c r="M305" s="7" t="n">
        <f aca="false">(D305/G305*F305/C305)</f>
        <v>0.925119746395402</v>
      </c>
      <c r="N305" s="7" t="n">
        <f aca="false">(K305/H305*F305/I305)</f>
        <v>0.804575282099353</v>
      </c>
      <c r="O305" s="7" t="n">
        <f aca="false">(E305/H305*F305/C305)</f>
        <v>0.913615603239597</v>
      </c>
      <c r="P305" s="7" t="n">
        <f aca="false">(IF(L305&gt;1,L305,1/L305) - 1)*100</f>
        <v>10.3672455019377</v>
      </c>
      <c r="Q305" s="7" t="n">
        <f aca="false">(IF(M305&gt;1,M305,1/M305) - 1)*100</f>
        <v>8.09411472367321</v>
      </c>
      <c r="R305" s="7" t="n">
        <f aca="false">(IF(N305&gt;1,N305,1/N305) - 1)*100</f>
        <v>24.2891774391492</v>
      </c>
      <c r="S305" s="7" t="n">
        <f aca="false">(IF(O305&gt;1,O305,1/O305) - 1)*100</f>
        <v>9.45522345000369</v>
      </c>
      <c r="T305" s="9" t="n">
        <f aca="false">(P305+Q305) &lt; (R305+S305)</f>
        <v>1</v>
      </c>
      <c r="U305" s="10" t="n">
        <f aca="false">IF($T305,P305,R305)</f>
        <v>10.3672455019377</v>
      </c>
      <c r="V305" s="11" t="n">
        <f aca="false">IF($T305,Q305,S305)</f>
        <v>8.09411472367321</v>
      </c>
      <c r="W305" s="12" t="n">
        <f aca="false">P305 &lt; R305</f>
        <v>1</v>
      </c>
      <c r="X305" s="10" t="n">
        <f aca="false">IF($W305,P305,R305)</f>
        <v>10.3672455019377</v>
      </c>
      <c r="Y305" s="1" t="n">
        <v>511200</v>
      </c>
      <c r="Z305" s="1" t="s">
        <v>361</v>
      </c>
      <c r="AA305" s="12" t="n">
        <f aca="false">T305=W305</f>
        <v>1</v>
      </c>
    </row>
    <row r="306" customFormat="false" ht="12.8" hidden="false" customHeight="false" outlineLevel="0" collapsed="false">
      <c r="A306" s="1" t="s">
        <v>362</v>
      </c>
      <c r="B306" s="1" t="n">
        <v>512100</v>
      </c>
      <c r="C306" s="1" t="n">
        <v>113562</v>
      </c>
      <c r="D306" s="1" t="n">
        <v>60791</v>
      </c>
      <c r="E306" s="1" t="n">
        <v>24573</v>
      </c>
      <c r="F306" s="1" t="n">
        <v>114207</v>
      </c>
      <c r="G306" s="1" t="n">
        <v>67582</v>
      </c>
      <c r="H306" s="1" t="n">
        <v>28318</v>
      </c>
      <c r="I306" s="1" t="n">
        <v>129761</v>
      </c>
      <c r="J306" s="1" t="n">
        <v>81328</v>
      </c>
      <c r="K306" s="1" t="n">
        <v>33679</v>
      </c>
      <c r="L306" s="7" t="n">
        <f aca="false">(J306/G306*F306/I306)</f>
        <v>1.05915029666393</v>
      </c>
      <c r="M306" s="7" t="n">
        <f aca="false">(D306/G306*F306/C306)</f>
        <v>0.904623652220928</v>
      </c>
      <c r="N306" s="7" t="n">
        <f aca="false">(K306/H306*F306/I306)</f>
        <v>1.04675525614779</v>
      </c>
      <c r="O306" s="7" t="n">
        <f aca="false">(E306/H306*F306/C306)</f>
        <v>0.872680545274755</v>
      </c>
      <c r="P306" s="7" t="n">
        <f aca="false">(IF(L306&gt;1,L306,1/L306) - 1)*100</f>
        <v>5.91502966639323</v>
      </c>
      <c r="Q306" s="7" t="n">
        <f aca="false">(IF(M306&gt;1,M306,1/M306) - 1)*100</f>
        <v>10.5432073929213</v>
      </c>
      <c r="R306" s="7" t="n">
        <f aca="false">(IF(N306&gt;1,N306,1/N306) - 1)*100</f>
        <v>4.67552561477935</v>
      </c>
      <c r="S306" s="7" t="n">
        <f aca="false">(IF(O306&gt;1,O306,1/O306) - 1)*100</f>
        <v>14.5894686680749</v>
      </c>
      <c r="T306" s="9" t="n">
        <f aca="false">(P306+Q306) &lt; (R306+S306)</f>
        <v>1</v>
      </c>
      <c r="U306" s="10" t="n">
        <f aca="false">IF($T306,P306,R306)</f>
        <v>5.91502966639323</v>
      </c>
      <c r="V306" s="11" t="n">
        <f aca="false">IF($T306,Q306,S306)</f>
        <v>10.5432073929213</v>
      </c>
      <c r="W306" s="12" t="n">
        <f aca="false">P306 &lt; R306</f>
        <v>0</v>
      </c>
      <c r="X306" s="10" t="n">
        <f aca="false">IF($W306,P306,R306)</f>
        <v>4.67552561477935</v>
      </c>
      <c r="Y306" s="1" t="n">
        <v>512100</v>
      </c>
      <c r="Z306" s="1" t="s">
        <v>362</v>
      </c>
      <c r="AA306" s="12" t="n">
        <f aca="false">T306=W306</f>
        <v>0</v>
      </c>
    </row>
    <row r="307" customFormat="false" ht="12.8" hidden="false" customHeight="false" outlineLevel="0" collapsed="false">
      <c r="A307" s="1" t="s">
        <v>363</v>
      </c>
      <c r="B307" s="1" t="n">
        <v>512200</v>
      </c>
      <c r="C307" s="1" t="n">
        <v>20961</v>
      </c>
      <c r="D307" s="1" t="n">
        <v>13181</v>
      </c>
      <c r="E307" s="1" t="n">
        <v>1785</v>
      </c>
      <c r="F307" s="1" t="n">
        <v>14617</v>
      </c>
      <c r="G307" s="1" t="n">
        <v>12333</v>
      </c>
      <c r="H307" s="1" t="n">
        <v>2020</v>
      </c>
      <c r="I307" s="1" t="n">
        <v>18217</v>
      </c>
      <c r="J307" s="1" t="n">
        <v>13639</v>
      </c>
      <c r="K307" s="1" t="n">
        <v>1757</v>
      </c>
      <c r="L307" s="7" t="n">
        <f aca="false">(J307/G307*F307/I307)</f>
        <v>0.887350475815756</v>
      </c>
      <c r="M307" s="7" t="n">
        <f aca="false">(D307/G307*F307/C307)</f>
        <v>0.745291001234825</v>
      </c>
      <c r="N307" s="7" t="n">
        <f aca="false">(K307/H307*F307/I307)</f>
        <v>0.697913791763433</v>
      </c>
      <c r="O307" s="7" t="n">
        <f aca="false">(E307/H307*F307/C307)</f>
        <v>0.616216183662162</v>
      </c>
      <c r="P307" s="7" t="n">
        <f aca="false">(IF(L307&gt;1,L307,1/L307) - 1)*100</f>
        <v>12.6950429683022</v>
      </c>
      <c r="Q307" s="7" t="n">
        <f aca="false">(IF(M307&gt;1,M307,1/M307) - 1)*100</f>
        <v>34.1757780978389</v>
      </c>
      <c r="R307" s="7" t="n">
        <f aca="false">(IF(N307&gt;1,N307,1/N307) - 1)*100</f>
        <v>43.284172314933</v>
      </c>
      <c r="S307" s="7" t="n">
        <f aca="false">(IF(O307&gt;1,O307,1/O307) - 1)*100</f>
        <v>62.2807103275051</v>
      </c>
      <c r="T307" s="9" t="n">
        <f aca="false">(P307+Q307) &lt; (R307+S307)</f>
        <v>1</v>
      </c>
      <c r="U307" s="10" t="n">
        <f aca="false">IF($T307,P307,R307)</f>
        <v>12.6950429683022</v>
      </c>
      <c r="V307" s="11" t="n">
        <f aca="false">IF($T307,Q307,S307)</f>
        <v>34.1757780978389</v>
      </c>
      <c r="W307" s="12" t="n">
        <f aca="false">P307 &lt; R307</f>
        <v>1</v>
      </c>
      <c r="X307" s="10" t="n">
        <f aca="false">IF($W307,P307,R307)</f>
        <v>12.6950429683022</v>
      </c>
      <c r="Y307" s="1" t="n">
        <v>512200</v>
      </c>
      <c r="Z307" s="1" t="s">
        <v>363</v>
      </c>
      <c r="AA307" s="12" t="n">
        <f aca="false">T307=W307</f>
        <v>1</v>
      </c>
    </row>
    <row r="308" customFormat="false" ht="12.8" hidden="false" customHeight="false" outlineLevel="0" collapsed="false">
      <c r="A308" s="1" t="s">
        <v>364</v>
      </c>
      <c r="B308" s="1" t="n">
        <v>515100</v>
      </c>
      <c r="C308" s="1" t="n">
        <v>63859</v>
      </c>
      <c r="D308" s="1" t="n">
        <v>37796</v>
      </c>
      <c r="E308" s="1" t="n">
        <v>15248</v>
      </c>
      <c r="F308" s="1" t="n">
        <v>74494</v>
      </c>
      <c r="G308" s="1" t="n">
        <v>41449</v>
      </c>
      <c r="H308" s="1" t="n">
        <v>15204</v>
      </c>
      <c r="I308" s="1" t="n">
        <v>92801</v>
      </c>
      <c r="J308" s="1" t="n">
        <v>40796</v>
      </c>
      <c r="K308" s="1" t="n">
        <v>17950</v>
      </c>
      <c r="L308" s="7" t="n">
        <f aca="false">(J308/G308*F308/I308)</f>
        <v>0.790081994171541</v>
      </c>
      <c r="M308" s="7" t="n">
        <f aca="false">(D308/G308*F308/C308)</f>
        <v>1.06372891402151</v>
      </c>
      <c r="N308" s="7" t="n">
        <f aca="false">(K308/H308*F308/I308)</f>
        <v>0.947709492160129</v>
      </c>
      <c r="O308" s="7" t="n">
        <f aca="false">(E308/H308*F308/C308)</f>
        <v>1.16991471513394</v>
      </c>
      <c r="P308" s="7" t="n">
        <f aca="false">(IF(L308&gt;1,L308,1/L308) - 1)*100</f>
        <v>26.5691418583173</v>
      </c>
      <c r="Q308" s="7" t="n">
        <f aca="false">(IF(M308&gt;1,M308,1/M308) - 1)*100</f>
        <v>6.37289140215145</v>
      </c>
      <c r="R308" s="7" t="n">
        <f aca="false">(IF(N308&gt;1,N308,1/N308) - 1)*100</f>
        <v>5.51756717353169</v>
      </c>
      <c r="S308" s="7" t="n">
        <f aca="false">(IF(O308&gt;1,O308,1/O308) - 1)*100</f>
        <v>16.9914715133944</v>
      </c>
      <c r="T308" s="9" t="n">
        <f aca="false">(P308+Q308) &lt; (R308+S308)</f>
        <v>0</v>
      </c>
      <c r="U308" s="10" t="n">
        <f aca="false">IF($T308,P308,R308)</f>
        <v>5.51756717353169</v>
      </c>
      <c r="V308" s="11" t="n">
        <f aca="false">IF($T308,Q308,S308)</f>
        <v>16.9914715133944</v>
      </c>
      <c r="W308" s="12" t="n">
        <f aca="false">P308 &lt; R308</f>
        <v>0</v>
      </c>
      <c r="X308" s="10" t="n">
        <f aca="false">IF($W308,P308,R308)</f>
        <v>5.51756717353169</v>
      </c>
      <c r="Y308" s="1" t="n">
        <v>515100</v>
      </c>
      <c r="Z308" s="1" t="s">
        <v>364</v>
      </c>
      <c r="AA308" s="12" t="n">
        <f aca="false">T308=W308</f>
        <v>1</v>
      </c>
    </row>
    <row r="309" customFormat="false" ht="12.8" hidden="false" customHeight="false" outlineLevel="0" collapsed="false">
      <c r="A309" s="1" t="s">
        <v>365</v>
      </c>
      <c r="B309" s="1" t="n">
        <v>515200</v>
      </c>
      <c r="C309" s="1" t="n">
        <v>57051</v>
      </c>
      <c r="D309" s="1" t="n">
        <v>36120</v>
      </c>
      <c r="E309" s="1" t="n">
        <v>11225</v>
      </c>
      <c r="F309" s="1" t="n">
        <v>78162</v>
      </c>
      <c r="G309" s="1" t="n">
        <v>46472</v>
      </c>
      <c r="H309" s="1" t="n">
        <v>12336</v>
      </c>
      <c r="I309" s="1" t="n">
        <v>108040</v>
      </c>
      <c r="J309" s="1" t="n">
        <v>60835</v>
      </c>
      <c r="K309" s="1" t="n">
        <v>10426</v>
      </c>
      <c r="L309" s="7" t="n">
        <f aca="false">(J309/G309*F309/I309)</f>
        <v>0.947050716394003</v>
      </c>
      <c r="M309" s="7" t="n">
        <f aca="false">(D309/G309*F309/C309)</f>
        <v>1.06485084654801</v>
      </c>
      <c r="N309" s="7" t="n">
        <f aca="false">(K309/H309*F309/I309)</f>
        <v>0.611440846595223</v>
      </c>
      <c r="O309" s="7" t="n">
        <f aca="false">(E309/H309*F309/C309)</f>
        <v>1.2466495691922</v>
      </c>
      <c r="P309" s="7" t="n">
        <f aca="false">(IF(L309&gt;1,L309,1/L309) - 1)*100</f>
        <v>5.59096600524276</v>
      </c>
      <c r="Q309" s="7" t="n">
        <f aca="false">(IF(M309&gt;1,M309,1/M309) - 1)*100</f>
        <v>6.4850846548014</v>
      </c>
      <c r="R309" s="7" t="n">
        <f aca="false">(IF(N309&gt;1,N309,1/N309) - 1)*100</f>
        <v>63.5481184432557</v>
      </c>
      <c r="S309" s="7" t="n">
        <f aca="false">(IF(O309&gt;1,O309,1/O309) - 1)*100</f>
        <v>24.6649569192204</v>
      </c>
      <c r="T309" s="9" t="n">
        <f aca="false">(P309+Q309) &lt; (R309+S309)</f>
        <v>1</v>
      </c>
      <c r="U309" s="10" t="n">
        <f aca="false">IF($T309,P309,R309)</f>
        <v>5.59096600524276</v>
      </c>
      <c r="V309" s="11" t="n">
        <f aca="false">IF($T309,Q309,S309)</f>
        <v>6.4850846548014</v>
      </c>
      <c r="W309" s="12" t="n">
        <f aca="false">P309 &lt; R309</f>
        <v>1</v>
      </c>
      <c r="X309" s="10" t="n">
        <f aca="false">IF($W309,P309,R309)</f>
        <v>5.59096600524276</v>
      </c>
      <c r="Y309" s="1" t="n">
        <v>515200</v>
      </c>
      <c r="Z309" s="1" t="s">
        <v>365</v>
      </c>
      <c r="AA309" s="12" t="n">
        <f aca="false">T309=W309</f>
        <v>1</v>
      </c>
    </row>
    <row r="310" customFormat="false" ht="12.8" hidden="false" customHeight="false" outlineLevel="0" collapsed="false">
      <c r="A310" s="1" t="s">
        <v>366</v>
      </c>
      <c r="B310" s="1" t="n">
        <v>517110</v>
      </c>
      <c r="C310" s="1" t="n">
        <v>304952</v>
      </c>
      <c r="D310" s="1" t="n">
        <v>173636</v>
      </c>
      <c r="E310" s="1" t="n">
        <v>57739</v>
      </c>
      <c r="F310" s="1" t="n">
        <v>293569</v>
      </c>
      <c r="G310" s="1" t="n">
        <v>151462</v>
      </c>
      <c r="H310" s="1" t="n">
        <v>55751</v>
      </c>
      <c r="I310" s="1" t="n">
        <v>330610</v>
      </c>
      <c r="J310" s="1" t="n">
        <v>172534</v>
      </c>
      <c r="K310" s="1" t="n">
        <v>61328</v>
      </c>
      <c r="L310" s="7" t="n">
        <f aca="false">(J310/G310*F310/I310)</f>
        <v>1.0114984269563</v>
      </c>
      <c r="M310" s="7" t="n">
        <f aca="false">(D310/G310*F310/C310)</f>
        <v>1.10360788016783</v>
      </c>
      <c r="N310" s="7" t="n">
        <f aca="false">(K310/H310*F310/I310)</f>
        <v>0.976788073145679</v>
      </c>
      <c r="O310" s="7" t="n">
        <f aca="false">(E310/H310*F310/C310)</f>
        <v>0.997000333846802</v>
      </c>
      <c r="P310" s="7" t="n">
        <f aca="false">(IF(L310&gt;1,L310,1/L310) - 1)*100</f>
        <v>1.14984269563037</v>
      </c>
      <c r="Q310" s="7" t="n">
        <f aca="false">(IF(M310&gt;1,M310,1/M310) - 1)*100</f>
        <v>10.3607880167829</v>
      </c>
      <c r="R310" s="7" t="n">
        <f aca="false">(IF(N310&gt;1,N310,1/N310) - 1)*100</f>
        <v>2.37635240360463</v>
      </c>
      <c r="S310" s="7" t="n">
        <f aca="false">(IF(O310&gt;1,O310,1/O310) - 1)*100</f>
        <v>0.300869122242298</v>
      </c>
      <c r="T310" s="9" t="n">
        <f aca="false">(P310+Q310) &lt; (R310+S310)</f>
        <v>0</v>
      </c>
      <c r="U310" s="10" t="n">
        <f aca="false">IF($T310,P310,R310)</f>
        <v>2.37635240360463</v>
      </c>
      <c r="V310" s="11" t="n">
        <f aca="false">IF($T310,Q310,S310)</f>
        <v>0.300869122242298</v>
      </c>
      <c r="W310" s="12" t="n">
        <f aca="false">P310 &lt; R310</f>
        <v>1</v>
      </c>
      <c r="X310" s="10" t="n">
        <f aca="false">IF($W310,P310,R310)</f>
        <v>1.14984269563037</v>
      </c>
      <c r="Y310" s="1" t="n">
        <v>517110</v>
      </c>
      <c r="Z310" s="1" t="s">
        <v>366</v>
      </c>
      <c r="AA310" s="12" t="n">
        <f aca="false">T310=W310</f>
        <v>0</v>
      </c>
    </row>
    <row r="311" customFormat="false" ht="12.8" hidden="false" customHeight="false" outlineLevel="0" collapsed="false">
      <c r="A311" s="1" t="s">
        <v>367</v>
      </c>
      <c r="B311" s="1" t="n">
        <v>517210</v>
      </c>
      <c r="C311" s="1" t="n">
        <v>164132</v>
      </c>
      <c r="D311" s="1" t="n">
        <v>74632</v>
      </c>
      <c r="E311" s="1" t="n">
        <v>18693</v>
      </c>
      <c r="F311" s="1" t="n">
        <v>221629</v>
      </c>
      <c r="G311" s="1" t="n">
        <v>91194</v>
      </c>
      <c r="H311" s="1" t="n">
        <v>20422</v>
      </c>
      <c r="I311" s="1" t="n">
        <v>249104</v>
      </c>
      <c r="J311" s="1" t="n">
        <v>129917</v>
      </c>
      <c r="K311" s="1" t="n">
        <v>12221</v>
      </c>
      <c r="L311" s="7" t="n">
        <f aca="false">(J311/G311*F311/I311)</f>
        <v>1.26749309959379</v>
      </c>
      <c r="M311" s="7" t="n">
        <f aca="false">(D311/G311*F311/C311)</f>
        <v>1.10507598224767</v>
      </c>
      <c r="N311" s="7" t="n">
        <f aca="false">(K311/H311*F311/I311)</f>
        <v>0.53241999602749</v>
      </c>
      <c r="O311" s="7" t="n">
        <f aca="false">(E311/H311*F311/C311)</f>
        <v>1.23598744559877</v>
      </c>
      <c r="P311" s="7" t="n">
        <f aca="false">(IF(L311&gt;1,L311,1/L311) - 1)*100</f>
        <v>26.749309959379</v>
      </c>
      <c r="Q311" s="7" t="n">
        <f aca="false">(IF(M311&gt;1,M311,1/M311) - 1)*100</f>
        <v>10.5075982247675</v>
      </c>
      <c r="R311" s="7" t="n">
        <f aca="false">(IF(N311&gt;1,N311,1/N311) - 1)*100</f>
        <v>87.821645967701</v>
      </c>
      <c r="S311" s="7" t="n">
        <f aca="false">(IF(O311&gt;1,O311,1/O311) - 1)*100</f>
        <v>23.5987445598765</v>
      </c>
      <c r="T311" s="9" t="n">
        <f aca="false">(P311+Q311) &lt; (R311+S311)</f>
        <v>1</v>
      </c>
      <c r="U311" s="10" t="n">
        <f aca="false">IF($T311,P311,R311)</f>
        <v>26.749309959379</v>
      </c>
      <c r="V311" s="11" t="n">
        <f aca="false">IF($T311,Q311,S311)</f>
        <v>10.5075982247675</v>
      </c>
      <c r="W311" s="12" t="n">
        <f aca="false">P311 &lt; R311</f>
        <v>1</v>
      </c>
      <c r="X311" s="10" t="n">
        <f aca="false">IF($W311,P311,R311)</f>
        <v>26.749309959379</v>
      </c>
      <c r="Y311" s="1" t="n">
        <v>517210</v>
      </c>
      <c r="Z311" s="1" t="s">
        <v>367</v>
      </c>
      <c r="AA311" s="12" t="n">
        <f aca="false">T311=W311</f>
        <v>1</v>
      </c>
    </row>
    <row r="312" customFormat="false" ht="12.8" hidden="false" customHeight="false" outlineLevel="0" collapsed="false">
      <c r="A312" s="1" t="s">
        <v>368</v>
      </c>
      <c r="B312" s="1" t="s">
        <v>369</v>
      </c>
      <c r="C312" s="1" t="n">
        <v>32254</v>
      </c>
      <c r="D312" s="1" t="n">
        <v>19893</v>
      </c>
      <c r="E312" s="1" t="n">
        <v>14195</v>
      </c>
      <c r="F312" s="1" t="n">
        <v>36483</v>
      </c>
      <c r="G312" s="1" t="n">
        <v>12978</v>
      </c>
      <c r="H312" s="1" t="n">
        <v>7687</v>
      </c>
      <c r="I312" s="1" t="n">
        <v>44156</v>
      </c>
      <c r="J312" s="1" t="n">
        <v>20703</v>
      </c>
      <c r="K312" s="1" t="n">
        <v>10248</v>
      </c>
      <c r="L312" s="7" t="n">
        <f aca="false">(J312/G312*F312/I312)</f>
        <v>1.31803314223597</v>
      </c>
      <c r="M312" s="7" t="n">
        <f aca="false">(D312/G312*F312/C312)</f>
        <v>1.73380189939993</v>
      </c>
      <c r="N312" s="7" t="n">
        <f aca="false">(K312/H312*F312/I312)</f>
        <v>1.10149632923318</v>
      </c>
      <c r="O312" s="7" t="n">
        <f aca="false">(E312/H312*F312/C312)</f>
        <v>2.08874526008672</v>
      </c>
      <c r="P312" s="7" t="n">
        <f aca="false">(IF(L312&gt;1,L312,1/L312) - 1)*100</f>
        <v>31.8033142235969</v>
      </c>
      <c r="Q312" s="7" t="n">
        <f aca="false">(IF(M312&gt;1,M312,1/M312) - 1)*100</f>
        <v>73.3801899399935</v>
      </c>
      <c r="R312" s="7" t="n">
        <f aca="false">(IF(N312&gt;1,N312,1/N312) - 1)*100</f>
        <v>10.1496329233182</v>
      </c>
      <c r="S312" s="7" t="n">
        <f aca="false">(IF(O312&gt;1,O312,1/O312) - 1)*100</f>
        <v>108.874526008672</v>
      </c>
      <c r="T312" s="9" t="n">
        <f aca="false">(P312+Q312) &lt; (R312+S312)</f>
        <v>1</v>
      </c>
      <c r="U312" s="10" t="n">
        <f aca="false">IF($T312,P312,R312)</f>
        <v>31.8033142235969</v>
      </c>
      <c r="V312" s="11" t="n">
        <f aca="false">IF($T312,Q312,S312)</f>
        <v>73.3801899399935</v>
      </c>
      <c r="W312" s="12" t="n">
        <f aca="false">P312 &lt; R312</f>
        <v>0</v>
      </c>
      <c r="X312" s="10" t="n">
        <f aca="false">IF($W312,P312,R312)</f>
        <v>10.1496329233182</v>
      </c>
      <c r="Y312" s="1" t="s">
        <v>369</v>
      </c>
      <c r="Z312" s="1" t="s">
        <v>368</v>
      </c>
      <c r="AA312" s="12" t="n">
        <f aca="false">T312=W312</f>
        <v>0</v>
      </c>
    </row>
    <row r="313" customFormat="false" ht="12.8" hidden="false" customHeight="false" outlineLevel="0" collapsed="false">
      <c r="A313" s="1" t="s">
        <v>370</v>
      </c>
      <c r="B313" s="1" t="n">
        <v>518200</v>
      </c>
      <c r="C313" s="1" t="n">
        <v>78465</v>
      </c>
      <c r="D313" s="1" t="n">
        <v>43499</v>
      </c>
      <c r="E313" s="1" t="n">
        <v>24184</v>
      </c>
      <c r="F313" s="1" t="n">
        <v>121326</v>
      </c>
      <c r="G313" s="1" t="n">
        <v>61359</v>
      </c>
      <c r="H313" s="1" t="n">
        <v>26411</v>
      </c>
      <c r="I313" s="1" t="n">
        <v>175248</v>
      </c>
      <c r="J313" s="1" t="n">
        <v>95395</v>
      </c>
      <c r="K313" s="1" t="n">
        <v>42813</v>
      </c>
      <c r="L313" s="7" t="n">
        <f aca="false">(J313/G313*F313/I313)</f>
        <v>1.07633669947139</v>
      </c>
      <c r="M313" s="7" t="n">
        <f aca="false">(D313/G313*F313/C313)</f>
        <v>1.09617249462798</v>
      </c>
      <c r="N313" s="7" t="n">
        <f aca="false">(K313/H313*F313/I313)</f>
        <v>1.12225519610722</v>
      </c>
      <c r="O313" s="7" t="n">
        <f aca="false">(E313/H313*F313/C313)</f>
        <v>1.41586285891245</v>
      </c>
      <c r="P313" s="7" t="n">
        <f aca="false">(IF(L313&gt;1,L313,1/L313) - 1)*100</f>
        <v>7.63366994713892</v>
      </c>
      <c r="Q313" s="7" t="n">
        <f aca="false">(IF(M313&gt;1,M313,1/M313) - 1)*100</f>
        <v>9.6172494627977</v>
      </c>
      <c r="R313" s="7" t="n">
        <f aca="false">(IF(N313&gt;1,N313,1/N313) - 1)*100</f>
        <v>12.2255196107222</v>
      </c>
      <c r="S313" s="7" t="n">
        <f aca="false">(IF(O313&gt;1,O313,1/O313) - 1)*100</f>
        <v>41.5862858912452</v>
      </c>
      <c r="T313" s="9" t="n">
        <f aca="false">(P313+Q313) &lt; (R313+S313)</f>
        <v>1</v>
      </c>
      <c r="U313" s="10" t="n">
        <f aca="false">IF($T313,P313,R313)</f>
        <v>7.63366994713892</v>
      </c>
      <c r="V313" s="11" t="n">
        <f aca="false">IF($T313,Q313,S313)</f>
        <v>9.6172494627977</v>
      </c>
      <c r="W313" s="12" t="n">
        <f aca="false">P313 &lt; R313</f>
        <v>1</v>
      </c>
      <c r="X313" s="10" t="n">
        <f aca="false">IF($W313,P313,R313)</f>
        <v>7.63366994713892</v>
      </c>
      <c r="Y313" s="1" t="n">
        <v>518200</v>
      </c>
      <c r="Z313" s="1" t="s">
        <v>370</v>
      </c>
      <c r="AA313" s="12" t="n">
        <f aca="false">T313=W313</f>
        <v>1</v>
      </c>
    </row>
    <row r="314" customFormat="false" ht="12.8" hidden="false" customHeight="false" outlineLevel="0" collapsed="false">
      <c r="A314" s="1" t="s">
        <v>371</v>
      </c>
      <c r="B314" s="1" t="n">
        <v>519130</v>
      </c>
      <c r="C314" s="1" t="n">
        <v>32194</v>
      </c>
      <c r="D314" s="1" t="n">
        <v>22091</v>
      </c>
      <c r="E314" s="1" t="n">
        <v>10214</v>
      </c>
      <c r="F314" s="1" t="n">
        <v>92027</v>
      </c>
      <c r="G314" s="1" t="n">
        <v>49955</v>
      </c>
      <c r="H314" s="1" t="n">
        <v>19804</v>
      </c>
      <c r="I314" s="1" t="n">
        <v>180015</v>
      </c>
      <c r="J314" s="1" t="n">
        <v>109329</v>
      </c>
      <c r="K314" s="1" t="n">
        <v>52084</v>
      </c>
      <c r="L314" s="7" t="n">
        <f aca="false">(J314/G314*F314/I314)</f>
        <v>1.11882711305436</v>
      </c>
      <c r="M314" s="7" t="n">
        <f aca="false">(D314/G314*F314/C314)</f>
        <v>1.2640863370809</v>
      </c>
      <c r="N314" s="7" t="n">
        <f aca="false">(K314/H314*F314/I314)</f>
        <v>1.34449125693665</v>
      </c>
      <c r="O314" s="7" t="n">
        <f aca="false">(E314/H314*F314/C314)</f>
        <v>1.47429115765012</v>
      </c>
      <c r="P314" s="7" t="n">
        <f aca="false">(IF(L314&gt;1,L314,1/L314) - 1)*100</f>
        <v>11.8827113054361</v>
      </c>
      <c r="Q314" s="7" t="n">
        <f aca="false">(IF(M314&gt;1,M314,1/M314) - 1)*100</f>
        <v>26.4086337080897</v>
      </c>
      <c r="R314" s="7" t="n">
        <f aca="false">(IF(N314&gt;1,N314,1/N314) - 1)*100</f>
        <v>34.449125693665</v>
      </c>
      <c r="S314" s="7" t="n">
        <f aca="false">(IF(O314&gt;1,O314,1/O314) - 1)*100</f>
        <v>47.4291157650121</v>
      </c>
      <c r="T314" s="9" t="n">
        <f aca="false">(P314+Q314) &lt; (R314+S314)</f>
        <v>1</v>
      </c>
      <c r="U314" s="10" t="n">
        <f aca="false">IF($T314,P314,R314)</f>
        <v>11.8827113054361</v>
      </c>
      <c r="V314" s="11" t="n">
        <f aca="false">IF($T314,Q314,S314)</f>
        <v>26.4086337080897</v>
      </c>
      <c r="W314" s="12" t="n">
        <f aca="false">P314 &lt; R314</f>
        <v>1</v>
      </c>
      <c r="X314" s="10" t="n">
        <f aca="false">IF($W314,P314,R314)</f>
        <v>11.8827113054361</v>
      </c>
      <c r="Y314" s="1" t="n">
        <v>519130</v>
      </c>
      <c r="Z314" s="1" t="s">
        <v>371</v>
      </c>
      <c r="AA314" s="12" t="n">
        <f aca="false">T314=W314</f>
        <v>1</v>
      </c>
    </row>
    <row r="315" customFormat="false" ht="12.8" hidden="false" customHeight="false" outlineLevel="0" collapsed="false">
      <c r="A315" s="1" t="s">
        <v>372</v>
      </c>
      <c r="B315" s="1" t="s">
        <v>373</v>
      </c>
      <c r="C315" s="1" t="n">
        <v>7018</v>
      </c>
      <c r="D315" s="1" t="n">
        <v>6015</v>
      </c>
      <c r="E315" s="1" t="n">
        <v>2966</v>
      </c>
      <c r="F315" s="1" t="n">
        <v>7354</v>
      </c>
      <c r="G315" s="1" t="n">
        <v>5584</v>
      </c>
      <c r="H315" s="1" t="n">
        <v>2956</v>
      </c>
      <c r="I315" s="1" t="n">
        <v>8443</v>
      </c>
      <c r="J315" s="1" t="n">
        <v>7910</v>
      </c>
      <c r="K315" s="1" t="n">
        <v>6076</v>
      </c>
      <c r="L315" s="7" t="n">
        <f aca="false">(J315/G315*F315/I315)</f>
        <v>1.23383734240773</v>
      </c>
      <c r="M315" s="7" t="n">
        <f aca="false">(D315/G315*F315/C315)</f>
        <v>1.12875707043942</v>
      </c>
      <c r="N315" s="7" t="n">
        <f aca="false">(K315/H315*F315/I315)</f>
        <v>1.79035919772118</v>
      </c>
      <c r="O315" s="7" t="n">
        <f aca="false">(E315/H315*F315/C315)</f>
        <v>1.05142180304965</v>
      </c>
      <c r="P315" s="7" t="n">
        <f aca="false">(IF(L315&gt;1,L315,1/L315) - 1)*100</f>
        <v>23.3837342407725</v>
      </c>
      <c r="Q315" s="7" t="n">
        <f aca="false">(IF(M315&gt;1,M315,1/M315) - 1)*100</f>
        <v>12.8757070439419</v>
      </c>
      <c r="R315" s="7" t="n">
        <f aca="false">(IF(N315&gt;1,N315,1/N315) - 1)*100</f>
        <v>79.0359197721183</v>
      </c>
      <c r="S315" s="7" t="n">
        <f aca="false">(IF(O315&gt;1,O315,1/O315) - 1)*100</f>
        <v>5.14218030496487</v>
      </c>
      <c r="T315" s="9" t="n">
        <f aca="false">(P315+Q315) &lt; (R315+S315)</f>
        <v>1</v>
      </c>
      <c r="U315" s="10" t="n">
        <f aca="false">IF($T315,P315,R315)</f>
        <v>23.3837342407725</v>
      </c>
      <c r="V315" s="11" t="n">
        <f aca="false">IF($T315,Q315,S315)</f>
        <v>12.8757070439419</v>
      </c>
      <c r="W315" s="12" t="n">
        <f aca="false">P315 &lt; R315</f>
        <v>1</v>
      </c>
      <c r="X315" s="10" t="n">
        <f aca="false">IF($W315,P315,R315)</f>
        <v>23.3837342407725</v>
      </c>
      <c r="Y315" s="1" t="s">
        <v>373</v>
      </c>
      <c r="Z315" s="1" t="s">
        <v>372</v>
      </c>
      <c r="AA315" s="12" t="n">
        <f aca="false">T315=W315</f>
        <v>1</v>
      </c>
    </row>
    <row r="316" customFormat="false" ht="12.8" hidden="false" customHeight="false" outlineLevel="0" collapsed="false">
      <c r="A316" s="1" t="s">
        <v>374</v>
      </c>
      <c r="B316" s="1" t="s">
        <v>375</v>
      </c>
      <c r="C316" s="1" t="n">
        <v>239868</v>
      </c>
      <c r="D316" s="1" t="n">
        <v>141927</v>
      </c>
      <c r="E316" s="1" t="n">
        <v>89415</v>
      </c>
      <c r="F316" s="1" t="n">
        <v>298637</v>
      </c>
      <c r="G316" s="1" t="n">
        <v>192403</v>
      </c>
      <c r="H316" s="1" t="n">
        <v>98662</v>
      </c>
      <c r="I316" s="1" t="n">
        <v>398838</v>
      </c>
      <c r="J316" s="1" t="n">
        <v>208650</v>
      </c>
      <c r="K316" s="1" t="n">
        <v>97437</v>
      </c>
      <c r="L316" s="7" t="n">
        <f aca="false">(J316/G316*F316/I316)</f>
        <v>0.811995521704564</v>
      </c>
      <c r="M316" s="7" t="n">
        <f aca="false">(D316/G316*F316/C316)</f>
        <v>0.918384369587917</v>
      </c>
      <c r="N316" s="7" t="n">
        <f aca="false">(K316/H316*F316/I316)</f>
        <v>0.739470875004962</v>
      </c>
      <c r="O316" s="7" t="n">
        <f aca="false">(E316/H316*F316/C316)</f>
        <v>1.12831864860311</v>
      </c>
      <c r="P316" s="7" t="n">
        <f aca="false">(IF(L316&gt;1,L316,1/L316) - 1)*100</f>
        <v>23.1533885680518</v>
      </c>
      <c r="Q316" s="7" t="n">
        <f aca="false">(IF(M316&gt;1,M316,1/M316) - 1)*100</f>
        <v>8.88687058651751</v>
      </c>
      <c r="R316" s="7" t="n">
        <f aca="false">(IF(N316&gt;1,N316,1/N316) - 1)*100</f>
        <v>35.2318304616513</v>
      </c>
      <c r="S316" s="7" t="n">
        <f aca="false">(IF(O316&gt;1,O316,1/O316) - 1)*100</f>
        <v>12.8318648603106</v>
      </c>
      <c r="T316" s="9" t="n">
        <f aca="false">(P316+Q316) &lt; (R316+S316)</f>
        <v>1</v>
      </c>
      <c r="U316" s="10" t="n">
        <f aca="false">IF($T316,P316,R316)</f>
        <v>23.1533885680518</v>
      </c>
      <c r="V316" s="11" t="n">
        <f aca="false">IF($T316,Q316,S316)</f>
        <v>8.88687058651751</v>
      </c>
      <c r="W316" s="12" t="n">
        <f aca="false">P316 &lt; R316</f>
        <v>1</v>
      </c>
      <c r="X316" s="10" t="n">
        <f aca="false">IF($W316,P316,R316)</f>
        <v>23.1533885680518</v>
      </c>
      <c r="Y316" s="1" t="s">
        <v>375</v>
      </c>
      <c r="Z316" s="1" t="s">
        <v>374</v>
      </c>
      <c r="AA316" s="12" t="n">
        <f aca="false">T316=W316</f>
        <v>1</v>
      </c>
    </row>
    <row r="317" customFormat="false" ht="12.8" hidden="false" customHeight="false" outlineLevel="0" collapsed="false">
      <c r="A317" s="1" t="s">
        <v>376</v>
      </c>
      <c r="B317" s="1" t="s">
        <v>377</v>
      </c>
      <c r="C317" s="1" t="n">
        <v>476183</v>
      </c>
      <c r="D317" s="1" t="n">
        <v>263547</v>
      </c>
      <c r="E317" s="1" t="n">
        <v>120621</v>
      </c>
      <c r="F317" s="1" t="n">
        <v>462217</v>
      </c>
      <c r="G317" s="1" t="n">
        <v>326524</v>
      </c>
      <c r="H317" s="1" t="n">
        <v>112456</v>
      </c>
      <c r="I317" s="1" t="n">
        <v>657055</v>
      </c>
      <c r="J317" s="1" t="n">
        <v>438187</v>
      </c>
      <c r="K317" s="1" t="n">
        <v>165916</v>
      </c>
      <c r="L317" s="7" t="n">
        <f aca="false">(J317/G317*F317/I317)</f>
        <v>0.944036032015564</v>
      </c>
      <c r="M317" s="7" t="n">
        <f aca="false">(D317/G317*F317/C317)</f>
        <v>0.783456695683323</v>
      </c>
      <c r="N317" s="7" t="n">
        <f aca="false">(K317/H317*F317/I317)</f>
        <v>1.03788641409716</v>
      </c>
      <c r="O317" s="7" t="n">
        <f aca="false">(E317/H317*F317/C317)</f>
        <v>1.04114764350057</v>
      </c>
      <c r="P317" s="7" t="n">
        <f aca="false">(IF(L317&gt;1,L317,1/L317) - 1)*100</f>
        <v>5.92816016407232</v>
      </c>
      <c r="Q317" s="7" t="n">
        <f aca="false">(IF(M317&gt;1,M317,1/M317) - 1)*100</f>
        <v>27.6394733122818</v>
      </c>
      <c r="R317" s="7" t="n">
        <f aca="false">(IF(N317&gt;1,N317,1/N317) - 1)*100</f>
        <v>3.78864140971638</v>
      </c>
      <c r="S317" s="7" t="n">
        <f aca="false">(IF(O317&gt;1,O317,1/O317) - 1)*100</f>
        <v>4.1147643500574</v>
      </c>
      <c r="T317" s="9" t="n">
        <f aca="false">(P317+Q317) &lt; (R317+S317)</f>
        <v>0</v>
      </c>
      <c r="U317" s="10" t="n">
        <f aca="false">IF($T317,P317,R317)</f>
        <v>3.78864140971638</v>
      </c>
      <c r="V317" s="11" t="n">
        <f aca="false">IF($T317,Q317,S317)</f>
        <v>4.1147643500574</v>
      </c>
      <c r="W317" s="12" t="n">
        <f aca="false">P317 &lt; R317</f>
        <v>0</v>
      </c>
      <c r="X317" s="10" t="n">
        <f aca="false">IF($W317,P317,R317)</f>
        <v>3.78864140971638</v>
      </c>
      <c r="Y317" s="1" t="s">
        <v>377</v>
      </c>
      <c r="Z317" s="1" t="s">
        <v>376</v>
      </c>
      <c r="AA317" s="12" t="n">
        <f aca="false">T317=W317</f>
        <v>1</v>
      </c>
    </row>
    <row r="318" customFormat="false" ht="12.8" hidden="false" customHeight="false" outlineLevel="0" collapsed="false">
      <c r="A318" s="1" t="s">
        <v>378</v>
      </c>
      <c r="B318" s="1" t="n">
        <v>523900</v>
      </c>
      <c r="C318" s="1" t="n">
        <v>239315</v>
      </c>
      <c r="D318" s="1" t="n">
        <v>90081</v>
      </c>
      <c r="E318" s="1" t="n">
        <v>99629</v>
      </c>
      <c r="F318" s="1" t="n">
        <v>277552</v>
      </c>
      <c r="G318" s="1" t="n">
        <v>127452</v>
      </c>
      <c r="H318" s="1" t="n">
        <v>107747</v>
      </c>
      <c r="I318" s="1" t="n">
        <v>349050</v>
      </c>
      <c r="J318" s="1" t="n">
        <v>176955</v>
      </c>
      <c r="K318" s="1" t="n">
        <v>153414</v>
      </c>
      <c r="L318" s="7" t="n">
        <f aca="false">(J318/G318*F318/I318)</f>
        <v>1.10400973354971</v>
      </c>
      <c r="M318" s="7" t="n">
        <f aca="false">(D318/G318*F318/C318)</f>
        <v>0.819711417691602</v>
      </c>
      <c r="N318" s="7" t="n">
        <f aca="false">(K318/H318*F318/I318)</f>
        <v>1.13218272847697</v>
      </c>
      <c r="O318" s="7" t="n">
        <f aca="false">(E318/H318*F318/C318)</f>
        <v>1.07239560356017</v>
      </c>
      <c r="P318" s="7" t="n">
        <f aca="false">(IF(L318&gt;1,L318,1/L318) - 1)*100</f>
        <v>10.4009733549714</v>
      </c>
      <c r="Q318" s="7" t="n">
        <f aca="false">(IF(M318&gt;1,M318,1/M318) - 1)*100</f>
        <v>21.9941528710324</v>
      </c>
      <c r="R318" s="7" t="n">
        <f aca="false">(IF(N318&gt;1,N318,1/N318) - 1)*100</f>
        <v>13.2182728476973</v>
      </c>
      <c r="S318" s="7" t="n">
        <f aca="false">(IF(O318&gt;1,O318,1/O318) - 1)*100</f>
        <v>7.23956035601652</v>
      </c>
      <c r="T318" s="9" t="n">
        <f aca="false">(P318+Q318) &lt; (R318+S318)</f>
        <v>0</v>
      </c>
      <c r="U318" s="10" t="n">
        <f aca="false">IF($T318,P318,R318)</f>
        <v>13.2182728476973</v>
      </c>
      <c r="V318" s="11" t="n">
        <f aca="false">IF($T318,Q318,S318)</f>
        <v>7.23956035601652</v>
      </c>
      <c r="W318" s="12" t="n">
        <f aca="false">P318 &lt; R318</f>
        <v>1</v>
      </c>
      <c r="X318" s="10" t="n">
        <f aca="false">IF($W318,P318,R318)</f>
        <v>10.4009733549714</v>
      </c>
      <c r="Y318" s="1" t="n">
        <v>523900</v>
      </c>
      <c r="Z318" s="1" t="s">
        <v>378</v>
      </c>
      <c r="AA318" s="12" t="n">
        <f aca="false">T318=W318</f>
        <v>0</v>
      </c>
    </row>
    <row r="319" customFormat="false" ht="12.8" hidden="false" customHeight="false" outlineLevel="0" collapsed="false">
      <c r="A319" s="1" t="s">
        <v>379</v>
      </c>
      <c r="B319" s="1" t="s">
        <v>380</v>
      </c>
      <c r="C319" s="1" t="n">
        <v>261171</v>
      </c>
      <c r="D319" s="1" t="n">
        <v>115092</v>
      </c>
      <c r="E319" s="1" t="n">
        <v>116896</v>
      </c>
      <c r="F319" s="1" t="n">
        <v>199937</v>
      </c>
      <c r="G319" s="1" t="n">
        <v>104384</v>
      </c>
      <c r="H319" s="1" t="n">
        <v>95581</v>
      </c>
      <c r="I319" s="1" t="n">
        <v>198987</v>
      </c>
      <c r="J319" s="1" t="n">
        <v>105192</v>
      </c>
      <c r="K319" s="1" t="n">
        <v>97818</v>
      </c>
      <c r="L319" s="7" t="n">
        <f aca="false">(J319/G319*F319/I319)</f>
        <v>1.01255178640143</v>
      </c>
      <c r="M319" s="7" t="n">
        <f aca="false">(D319/G319*F319/C319)</f>
        <v>0.844071859228617</v>
      </c>
      <c r="N319" s="7" t="n">
        <f aca="false">(K319/H319*F319/I319)</f>
        <v>1.02829015033691</v>
      </c>
      <c r="O319" s="7" t="n">
        <f aca="false">(E319/H319*F319/C319)</f>
        <v>0.936259634950422</v>
      </c>
      <c r="P319" s="7" t="n">
        <f aca="false">(IF(L319&gt;1,L319,1/L319) - 1)*100</f>
        <v>1.25517864014342</v>
      </c>
      <c r="Q319" s="7" t="n">
        <f aca="false">(IF(M319&gt;1,M319,1/M319) - 1)*100</f>
        <v>18.4733253533512</v>
      </c>
      <c r="R319" s="7" t="n">
        <f aca="false">(IF(N319&gt;1,N319,1/N319) - 1)*100</f>
        <v>2.82901503369144</v>
      </c>
      <c r="S319" s="7" t="n">
        <f aca="false">(IF(O319&gt;1,O319,1/O319) - 1)*100</f>
        <v>6.80797961058666</v>
      </c>
      <c r="T319" s="9" t="n">
        <f aca="false">(P319+Q319) &lt; (R319+S319)</f>
        <v>0</v>
      </c>
      <c r="U319" s="10" t="n">
        <f aca="false">IF($T319,P319,R319)</f>
        <v>2.82901503369144</v>
      </c>
      <c r="V319" s="11" t="n">
        <f aca="false">IF($T319,Q319,S319)</f>
        <v>6.80797961058666</v>
      </c>
      <c r="W319" s="12" t="n">
        <f aca="false">P319 &lt; R319</f>
        <v>1</v>
      </c>
      <c r="X319" s="10" t="n">
        <f aca="false">IF($W319,P319,R319)</f>
        <v>1.25517864014342</v>
      </c>
      <c r="Y319" s="1" t="s">
        <v>380</v>
      </c>
      <c r="Z319" s="1" t="s">
        <v>379</v>
      </c>
      <c r="AA319" s="12" t="n">
        <f aca="false">T319=W319</f>
        <v>0</v>
      </c>
    </row>
    <row r="320" customFormat="false" ht="12.8" hidden="false" customHeight="false" outlineLevel="0" collapsed="false">
      <c r="A320" s="1" t="s">
        <v>381</v>
      </c>
      <c r="B320" s="1" t="n">
        <v>524113</v>
      </c>
      <c r="C320" s="1" t="n">
        <v>84424</v>
      </c>
      <c r="D320" s="1" t="n">
        <v>82179</v>
      </c>
      <c r="E320" s="1" t="n">
        <v>47651</v>
      </c>
      <c r="F320" s="1" t="n">
        <v>78967</v>
      </c>
      <c r="G320" s="1" t="n">
        <v>56702</v>
      </c>
      <c r="H320" s="1" t="n">
        <v>31183</v>
      </c>
      <c r="I320" s="1" t="n">
        <v>88447</v>
      </c>
      <c r="J320" s="1" t="n">
        <v>51392</v>
      </c>
      <c r="K320" s="1" t="n">
        <v>34310</v>
      </c>
      <c r="L320" s="7" t="n">
        <f aca="false">(J320/G320*F320/I320)</f>
        <v>0.809207080245836</v>
      </c>
      <c r="M320" s="7" t="n">
        <f aca="false">(D320/G320*F320/C320)</f>
        <v>1.35563317607084</v>
      </c>
      <c r="N320" s="7" t="n">
        <f aca="false">(K320/H320*F320/I320)</f>
        <v>0.982347978435161</v>
      </c>
      <c r="O320" s="7" t="n">
        <f aca="false">(E320/H320*F320/C320)</f>
        <v>1.4293343752088</v>
      </c>
      <c r="P320" s="7" t="n">
        <f aca="false">(IF(L320&gt;1,L320,1/L320) - 1)*100</f>
        <v>23.5777620354238</v>
      </c>
      <c r="Q320" s="7" t="n">
        <f aca="false">(IF(M320&gt;1,M320,1/M320) - 1)*100</f>
        <v>35.5633176070841</v>
      </c>
      <c r="R320" s="7" t="n">
        <f aca="false">(IF(N320&gt;1,N320,1/N320) - 1)*100</f>
        <v>1.79692145271757</v>
      </c>
      <c r="S320" s="7" t="n">
        <f aca="false">(IF(O320&gt;1,O320,1/O320) - 1)*100</f>
        <v>42.9334375208796</v>
      </c>
      <c r="T320" s="9" t="n">
        <f aca="false">(P320+Q320) &lt; (R320+S320)</f>
        <v>0</v>
      </c>
      <c r="U320" s="10" t="n">
        <f aca="false">IF($T320,P320,R320)</f>
        <v>1.79692145271757</v>
      </c>
      <c r="V320" s="11" t="n">
        <f aca="false">IF($T320,Q320,S320)</f>
        <v>42.9334375208796</v>
      </c>
      <c r="W320" s="12" t="n">
        <f aca="false">P320 &lt; R320</f>
        <v>0</v>
      </c>
      <c r="X320" s="10" t="n">
        <f aca="false">IF($W320,P320,R320)</f>
        <v>1.79692145271757</v>
      </c>
      <c r="Y320" s="1" t="n">
        <v>524113</v>
      </c>
      <c r="Z320" s="1" t="s">
        <v>381</v>
      </c>
      <c r="AA320" s="12" t="n">
        <f aca="false">T320=W320</f>
        <v>1</v>
      </c>
    </row>
    <row r="321" customFormat="false" ht="12.8" hidden="false" customHeight="false" outlineLevel="0" collapsed="false">
      <c r="A321" s="1" t="s">
        <v>382</v>
      </c>
      <c r="B321" s="1" t="s">
        <v>383</v>
      </c>
      <c r="C321" s="1" t="n">
        <v>421540</v>
      </c>
      <c r="D321" s="1" t="n">
        <v>217072</v>
      </c>
      <c r="E321" s="1" t="n">
        <v>84796</v>
      </c>
      <c r="F321" s="1" t="n">
        <v>415212</v>
      </c>
      <c r="G321" s="1" t="n">
        <v>204494</v>
      </c>
      <c r="H321" s="1" t="n">
        <v>116349</v>
      </c>
      <c r="I321" s="1" t="n">
        <v>567910</v>
      </c>
      <c r="J321" s="1" t="n">
        <v>294069</v>
      </c>
      <c r="K321" s="1" t="n">
        <v>116031</v>
      </c>
      <c r="L321" s="7" t="n">
        <f aca="false">(J321/G321*F321/I321)</f>
        <v>1.05137841159775</v>
      </c>
      <c r="M321" s="7" t="n">
        <f aca="false">(D321/G321*F321/C321)</f>
        <v>1.04557295933019</v>
      </c>
      <c r="N321" s="7" t="n">
        <f aca="false">(K321/H321*F321/I321)</f>
        <v>0.729124616074283</v>
      </c>
      <c r="O321" s="7" t="n">
        <f aca="false">(E321/H321*F321/C321)</f>
        <v>0.717866714174303</v>
      </c>
      <c r="P321" s="7" t="n">
        <f aca="false">(IF(L321&gt;1,L321,1/L321) - 1)*100</f>
        <v>5.13784115977465</v>
      </c>
      <c r="Q321" s="7" t="n">
        <f aca="false">(IF(M321&gt;1,M321,1/M321) - 1)*100</f>
        <v>4.55729593301872</v>
      </c>
      <c r="R321" s="7" t="n">
        <f aca="false">(IF(N321&gt;1,N321,1/N321) - 1)*100</f>
        <v>37.1507665430569</v>
      </c>
      <c r="S321" s="7" t="n">
        <f aca="false">(IF(O321&gt;1,O321,1/O321) - 1)*100</f>
        <v>39.3016252536809</v>
      </c>
      <c r="T321" s="9" t="n">
        <f aca="false">(P321+Q321) &lt; (R321+S321)</f>
        <v>1</v>
      </c>
      <c r="U321" s="10" t="n">
        <f aca="false">IF($T321,P321,R321)</f>
        <v>5.13784115977465</v>
      </c>
      <c r="V321" s="11" t="n">
        <f aca="false">IF($T321,Q321,S321)</f>
        <v>4.55729593301872</v>
      </c>
      <c r="W321" s="12" t="n">
        <f aca="false">P321 &lt; R321</f>
        <v>1</v>
      </c>
      <c r="X321" s="10" t="n">
        <f aca="false">IF($W321,P321,R321)</f>
        <v>5.13784115977465</v>
      </c>
      <c r="Y321" s="1" t="s">
        <v>383</v>
      </c>
      <c r="Z321" s="1" t="s">
        <v>382</v>
      </c>
      <c r="AA321" s="12" t="n">
        <f aca="false">T321=W321</f>
        <v>1</v>
      </c>
    </row>
    <row r="322" customFormat="false" ht="12.8" hidden="false" customHeight="false" outlineLevel="0" collapsed="false">
      <c r="A322" s="1" t="s">
        <v>384</v>
      </c>
      <c r="B322" s="1" t="n">
        <v>524200</v>
      </c>
      <c r="C322" s="1" t="n">
        <v>169412</v>
      </c>
      <c r="D322" s="1" t="n">
        <v>90293</v>
      </c>
      <c r="E322" s="1" t="n">
        <v>57754</v>
      </c>
      <c r="F322" s="1" t="n">
        <v>286129</v>
      </c>
      <c r="G322" s="1" t="n">
        <v>127426</v>
      </c>
      <c r="H322" s="1" t="n">
        <v>67593</v>
      </c>
      <c r="I322" s="1" t="n">
        <v>362909</v>
      </c>
      <c r="J322" s="1" t="n">
        <v>199554</v>
      </c>
      <c r="K322" s="1" t="n">
        <v>120664</v>
      </c>
      <c r="L322" s="7" t="n">
        <f aca="false">(J322/G322*F322/I322)</f>
        <v>1.23471443471738</v>
      </c>
      <c r="M322" s="7" t="n">
        <f aca="false">(D322/G322*F322/C322)</f>
        <v>1.1967783931302</v>
      </c>
      <c r="N322" s="7" t="n">
        <f aca="false">(K322/H322*F322/I322)</f>
        <v>1.40747320003334</v>
      </c>
      <c r="O322" s="7" t="n">
        <f aca="false">(E322/H322*F322/C322)</f>
        <v>1.44310540635117</v>
      </c>
      <c r="P322" s="7" t="n">
        <f aca="false">(IF(L322&gt;1,L322,1/L322) - 1)*100</f>
        <v>23.4714434717381</v>
      </c>
      <c r="Q322" s="7" t="n">
        <f aca="false">(IF(M322&gt;1,M322,1/M322) - 1)*100</f>
        <v>19.6778393130201</v>
      </c>
      <c r="R322" s="7" t="n">
        <f aca="false">(IF(N322&gt;1,N322,1/N322) - 1)*100</f>
        <v>40.7473200033342</v>
      </c>
      <c r="S322" s="7" t="n">
        <f aca="false">(IF(O322&gt;1,O322,1/O322) - 1)*100</f>
        <v>44.3105406351173</v>
      </c>
      <c r="T322" s="9" t="n">
        <f aca="false">(P322+Q322) &lt; (R322+S322)</f>
        <v>1</v>
      </c>
      <c r="U322" s="10" t="n">
        <f aca="false">IF($T322,P322,R322)</f>
        <v>23.4714434717381</v>
      </c>
      <c r="V322" s="11" t="n">
        <f aca="false">IF($T322,Q322,S322)</f>
        <v>19.6778393130201</v>
      </c>
      <c r="W322" s="12" t="n">
        <f aca="false">P322 &lt; R322</f>
        <v>1</v>
      </c>
      <c r="X322" s="10" t="n">
        <f aca="false">IF($W322,P322,R322)</f>
        <v>23.4714434717381</v>
      </c>
      <c r="Y322" s="1" t="n">
        <v>524200</v>
      </c>
      <c r="Z322" s="1" t="s">
        <v>384</v>
      </c>
      <c r="AA322" s="12" t="n">
        <f aca="false">T322=W322</f>
        <v>1</v>
      </c>
    </row>
    <row r="323" customFormat="false" ht="12.8" hidden="false" customHeight="false" outlineLevel="0" collapsed="false">
      <c r="A323" s="1" t="s">
        <v>385</v>
      </c>
      <c r="B323" s="1" t="n">
        <v>525000</v>
      </c>
      <c r="C323" s="1" t="n">
        <v>114334</v>
      </c>
      <c r="D323" s="1" t="n">
        <v>10450</v>
      </c>
      <c r="E323" s="1" t="n">
        <v>667</v>
      </c>
      <c r="F323" s="1" t="n">
        <v>117259</v>
      </c>
      <c r="G323" s="1" t="n">
        <v>10032</v>
      </c>
      <c r="H323" s="1" t="n">
        <v>518</v>
      </c>
      <c r="I323" s="1" t="n">
        <v>157323</v>
      </c>
      <c r="J323" s="1" t="n">
        <v>6796</v>
      </c>
      <c r="K323" s="1" t="n">
        <v>2059</v>
      </c>
      <c r="L323" s="7" t="n">
        <f aca="false">(J323/G323*F323/I323)</f>
        <v>0.504916791074217</v>
      </c>
      <c r="M323" s="7" t="n">
        <f aca="false">(D323/G323*F323/C323)</f>
        <v>1.06831556375765</v>
      </c>
      <c r="N323" s="7" t="n">
        <f aca="false">(K323/H323*F323/I323)</f>
        <v>2.96265140229786</v>
      </c>
      <c r="O323" s="7" t="n">
        <f aca="false">(E323/H323*F323/C323)</f>
        <v>1.32058652854304</v>
      </c>
      <c r="P323" s="7" t="n">
        <f aca="false">(IF(L323&gt;1,L323,1/L323) - 1)*100</f>
        <v>98.0524351096518</v>
      </c>
      <c r="Q323" s="7" t="n">
        <f aca="false">(IF(M323&gt;1,M323,1/M323) - 1)*100</f>
        <v>6.83155637576458</v>
      </c>
      <c r="R323" s="7" t="n">
        <f aca="false">(IF(N323&gt;1,N323,1/N323) - 1)*100</f>
        <v>196.265140229786</v>
      </c>
      <c r="S323" s="7" t="n">
        <f aca="false">(IF(O323&gt;1,O323,1/O323) - 1)*100</f>
        <v>32.0586528543042</v>
      </c>
      <c r="T323" s="9" t="n">
        <f aca="false">(P323+Q323) &lt; (R323+S323)</f>
        <v>1</v>
      </c>
      <c r="U323" s="10" t="n">
        <f aca="false">IF($T323,P323,R323)</f>
        <v>98.0524351096518</v>
      </c>
      <c r="V323" s="11" t="n">
        <f aca="false">IF($T323,Q323,S323)</f>
        <v>6.83155637576458</v>
      </c>
      <c r="W323" s="12" t="n">
        <f aca="false">P323 &lt; R323</f>
        <v>1</v>
      </c>
      <c r="X323" s="10" t="n">
        <f aca="false">IF($W323,P323,R323)</f>
        <v>98.0524351096518</v>
      </c>
      <c r="Y323" s="1" t="n">
        <v>525000</v>
      </c>
      <c r="Z323" s="1" t="s">
        <v>385</v>
      </c>
      <c r="AA323" s="12" t="n">
        <f aca="false">T323=W323</f>
        <v>1</v>
      </c>
    </row>
    <row r="324" customFormat="false" ht="12.8" hidden="false" customHeight="false" outlineLevel="0" collapsed="false">
      <c r="A324" s="1" t="s">
        <v>386</v>
      </c>
      <c r="B324" s="1" t="s">
        <v>387</v>
      </c>
      <c r="C324" s="1" t="n">
        <v>1179202</v>
      </c>
      <c r="D324" s="1" t="n">
        <v>1025806</v>
      </c>
      <c r="F324" s="1" t="n">
        <v>1321718</v>
      </c>
      <c r="G324" s="1" t="n">
        <v>1152367</v>
      </c>
      <c r="I324" s="1" t="n">
        <v>1555683</v>
      </c>
      <c r="J324" s="1" t="n">
        <v>1343122</v>
      </c>
      <c r="L324" s="7" t="n">
        <f aca="false">(J324/G324*F324/I324)</f>
        <v>0.990244293587881</v>
      </c>
      <c r="M324" s="7" t="n">
        <f aca="false">(D324/G324*F324/C324)</f>
        <v>0.997757542191579</v>
      </c>
      <c r="N324" s="7" t="n">
        <v>1</v>
      </c>
      <c r="O324" s="7" t="n">
        <v>1</v>
      </c>
      <c r="P324" s="7" t="n">
        <f aca="false">(IF(L324&gt;1,L324,1/L324) - 1)*100</f>
        <v>0.985181785473599</v>
      </c>
      <c r="Q324" s="7" t="n">
        <f aca="false">(IF(M324&gt;1,M324,1/M324) - 1)*100</f>
        <v>0.224749772724842</v>
      </c>
      <c r="R324" s="7" t="n">
        <v>0</v>
      </c>
      <c r="S324" s="7" t="n">
        <v>0</v>
      </c>
      <c r="T324" s="9" t="n">
        <f aca="false">(P324+Q324) &lt; (R324+S324)</f>
        <v>0</v>
      </c>
      <c r="U324" s="10" t="n">
        <f aca="false">IF($T324,P324,R324)</f>
        <v>0</v>
      </c>
      <c r="V324" s="11" t="n">
        <f aca="false">IF($T324,Q324,S324)</f>
        <v>0</v>
      </c>
      <c r="W324" s="12" t="n">
        <f aca="false">P324 &lt; R324</f>
        <v>0</v>
      </c>
      <c r="X324" s="10" t="n">
        <f aca="false">IF($W324,P324,R324)</f>
        <v>0</v>
      </c>
      <c r="Y324" s="1" t="s">
        <v>387</v>
      </c>
      <c r="Z324" s="1" t="s">
        <v>386</v>
      </c>
      <c r="AA324" s="12" t="n">
        <f aca="false">T324=W324</f>
        <v>1</v>
      </c>
    </row>
    <row r="325" customFormat="false" ht="12.8" hidden="false" customHeight="false" outlineLevel="0" collapsed="false">
      <c r="A325" s="1" t="s">
        <v>388</v>
      </c>
      <c r="B325" s="1" t="s">
        <v>389</v>
      </c>
      <c r="C325" s="1" t="n">
        <v>348107</v>
      </c>
      <c r="D325" s="1" t="n">
        <v>342470</v>
      </c>
      <c r="E325" s="1" t="n">
        <v>13985</v>
      </c>
      <c r="F325" s="1" t="n">
        <v>421226</v>
      </c>
      <c r="G325" s="1" t="n">
        <v>410103</v>
      </c>
      <c r="H325" s="1" t="n">
        <v>15469</v>
      </c>
      <c r="I325" s="1" t="n">
        <v>496703</v>
      </c>
      <c r="J325" s="1" t="n">
        <v>470939</v>
      </c>
      <c r="K325" s="1" t="n">
        <v>18920</v>
      </c>
      <c r="L325" s="7" t="n">
        <f aca="false">(J325/G325*F325/I325)</f>
        <v>0.973845581057936</v>
      </c>
      <c r="M325" s="7" t="n">
        <f aca="false">(D325/G325*F325/C325)</f>
        <v>1.01048995575454</v>
      </c>
      <c r="N325" s="7" t="n">
        <f aca="false">(K325/H325*F325/I325)</f>
        <v>1.03723527834258</v>
      </c>
      <c r="O325" s="7" t="n">
        <f aca="false">(E325/H325*F325/C325)</f>
        <v>1.09396302820567</v>
      </c>
      <c r="P325" s="7" t="n">
        <f aca="false">(IF(L325&gt;1,L325,1/L325) - 1)*100</f>
        <v>2.68568440939589</v>
      </c>
      <c r="Q325" s="7" t="n">
        <f aca="false">(IF(M325&gt;1,M325,1/M325) - 1)*100</f>
        <v>1.04899557545357</v>
      </c>
      <c r="R325" s="7" t="n">
        <f aca="false">(IF(N325&gt;1,N325,1/N325) - 1)*100</f>
        <v>3.72352783425802</v>
      </c>
      <c r="S325" s="7" t="n">
        <f aca="false">(IF(O325&gt;1,O325,1/O325) - 1)*100</f>
        <v>9.39630282056672</v>
      </c>
      <c r="T325" s="9" t="n">
        <f aca="false">(P325+Q325) &lt; (R325+S325)</f>
        <v>1</v>
      </c>
      <c r="U325" s="10" t="n">
        <f aca="false">IF($T325,P325,R325)</f>
        <v>2.68568440939589</v>
      </c>
      <c r="V325" s="11" t="n">
        <f aca="false">IF($T325,Q325,S325)</f>
        <v>1.04899557545357</v>
      </c>
      <c r="W325" s="12" t="n">
        <f aca="false">P325 &lt; R325</f>
        <v>1</v>
      </c>
      <c r="X325" s="10" t="n">
        <f aca="false">IF($W325,P325,R325)</f>
        <v>2.68568440939589</v>
      </c>
      <c r="Y325" s="1" t="s">
        <v>389</v>
      </c>
      <c r="Z325" s="1" t="s">
        <v>388</v>
      </c>
      <c r="AA325" s="12" t="n">
        <f aca="false">T325=W325</f>
        <v>1</v>
      </c>
    </row>
    <row r="326" customFormat="false" ht="12.8" hidden="false" customHeight="false" outlineLevel="0" collapsed="false">
      <c r="A326" s="1" t="s">
        <v>390</v>
      </c>
      <c r="B326" s="1" t="s">
        <v>391</v>
      </c>
      <c r="C326" s="1" t="n">
        <v>885655</v>
      </c>
      <c r="D326" s="1" t="n">
        <v>325301</v>
      </c>
      <c r="E326" s="1" t="n">
        <v>67683</v>
      </c>
      <c r="F326" s="1" t="n">
        <v>890029</v>
      </c>
      <c r="G326" s="1" t="n">
        <v>400732</v>
      </c>
      <c r="H326" s="1" t="n">
        <v>68251</v>
      </c>
      <c r="I326" s="1" t="n">
        <v>1265134</v>
      </c>
      <c r="J326" s="1" t="n">
        <v>517552</v>
      </c>
      <c r="K326" s="1" t="n">
        <v>93508</v>
      </c>
      <c r="L326" s="7" t="n">
        <f aca="false">(J326/G326*F326/I326)</f>
        <v>0.908589256960403</v>
      </c>
      <c r="M326" s="7" t="n">
        <f aca="false">(D326/G326*F326/C326)</f>
        <v>0.815776054314341</v>
      </c>
      <c r="N326" s="7" t="n">
        <f aca="false">(K326/H326*F326/I326)</f>
        <v>0.963845400863473</v>
      </c>
      <c r="O326" s="7" t="n">
        <f aca="false">(E326/H326*F326/C326)</f>
        <v>0.996575394180446</v>
      </c>
      <c r="P326" s="7" t="n">
        <f aca="false">(IF(L326&gt;1,L326,1/L326) - 1)*100</f>
        <v>10.0607334215466</v>
      </c>
      <c r="Q326" s="7" t="n">
        <f aca="false">(IF(M326&gt;1,M326,1/M326) - 1)*100</f>
        <v>22.5826615909312</v>
      </c>
      <c r="R326" s="7" t="n">
        <f aca="false">(IF(N326&gt;1,N326,1/N326) - 1)*100</f>
        <v>3.75107865889459</v>
      </c>
      <c r="S326" s="7" t="n">
        <f aca="false">(IF(O326&gt;1,O326,1/O326) - 1)*100</f>
        <v>0.343637404611052</v>
      </c>
      <c r="T326" s="9" t="n">
        <f aca="false">(P326+Q326) &lt; (R326+S326)</f>
        <v>0</v>
      </c>
      <c r="U326" s="10" t="n">
        <f aca="false">IF($T326,P326,R326)</f>
        <v>3.75107865889459</v>
      </c>
      <c r="V326" s="11" t="n">
        <f aca="false">IF($T326,Q326,S326)</f>
        <v>0.343637404611052</v>
      </c>
      <c r="W326" s="12" t="n">
        <f aca="false">P326 &lt; R326</f>
        <v>0</v>
      </c>
      <c r="X326" s="10" t="n">
        <f aca="false">IF($W326,P326,R326)</f>
        <v>3.75107865889459</v>
      </c>
      <c r="Y326" s="1" t="s">
        <v>391</v>
      </c>
      <c r="Z326" s="1" t="s">
        <v>390</v>
      </c>
      <c r="AA326" s="12" t="n">
        <f aca="false">T326=W326</f>
        <v>1</v>
      </c>
    </row>
    <row r="327" customFormat="false" ht="12.8" hidden="false" customHeight="false" outlineLevel="0" collapsed="false">
      <c r="A327" s="1" t="s">
        <v>392</v>
      </c>
      <c r="B327" s="1" t="n">
        <v>532100</v>
      </c>
      <c r="C327" s="1" t="n">
        <v>46120</v>
      </c>
      <c r="D327" s="1" t="n">
        <v>25522</v>
      </c>
      <c r="E327" s="1" t="n">
        <v>8422</v>
      </c>
      <c r="F327" s="1" t="n">
        <v>49469</v>
      </c>
      <c r="G327" s="1" t="n">
        <v>24335</v>
      </c>
      <c r="H327" s="1" t="n">
        <v>8800</v>
      </c>
      <c r="I327" s="1" t="n">
        <v>64106</v>
      </c>
      <c r="J327" s="1" t="n">
        <v>33503</v>
      </c>
      <c r="K327" s="1" t="n">
        <v>11024</v>
      </c>
      <c r="L327" s="7" t="n">
        <f aca="false">(J327/G327*F327/I327)</f>
        <v>1.06239691002326</v>
      </c>
      <c r="M327" s="7" t="n">
        <f aca="false">(D327/G327*F327/C327)</f>
        <v>1.12493437136415</v>
      </c>
      <c r="N327" s="7" t="n">
        <f aca="false">(K327/H327*F327/I327)</f>
        <v>0.966698366058488</v>
      </c>
      <c r="O327" s="7" t="n">
        <f aca="false">(E327/H327*F327/C327)</f>
        <v>1.0265412313727</v>
      </c>
      <c r="P327" s="7" t="n">
        <f aca="false">(IF(L327&gt;1,L327,1/L327) - 1)*100</f>
        <v>6.239691002326</v>
      </c>
      <c r="Q327" s="7" t="n">
        <f aca="false">(IF(M327&gt;1,M327,1/M327) - 1)*100</f>
        <v>12.4934371364149</v>
      </c>
      <c r="R327" s="7" t="n">
        <f aca="false">(IF(N327&gt;1,N327,1/N327) - 1)*100</f>
        <v>3.44488364838063</v>
      </c>
      <c r="S327" s="7" t="n">
        <f aca="false">(IF(O327&gt;1,O327,1/O327) - 1)*100</f>
        <v>2.65412313727036</v>
      </c>
      <c r="T327" s="9" t="n">
        <f aca="false">(P327+Q327) &lt; (R327+S327)</f>
        <v>0</v>
      </c>
      <c r="U327" s="10" t="n">
        <f aca="false">IF($T327,P327,R327)</f>
        <v>3.44488364838063</v>
      </c>
      <c r="V327" s="11" t="n">
        <f aca="false">IF($T327,Q327,S327)</f>
        <v>2.65412313727036</v>
      </c>
      <c r="W327" s="12" t="n">
        <f aca="false">P327 &lt; R327</f>
        <v>0</v>
      </c>
      <c r="X327" s="10" t="n">
        <f aca="false">IF($W327,P327,R327)</f>
        <v>3.44488364838063</v>
      </c>
      <c r="Y327" s="1" t="n">
        <v>532100</v>
      </c>
      <c r="Z327" s="1" t="s">
        <v>392</v>
      </c>
      <c r="AA327" s="12" t="n">
        <f aca="false">T327=W327</f>
        <v>1</v>
      </c>
    </row>
    <row r="328" customFormat="false" ht="12.8" hidden="false" customHeight="false" outlineLevel="0" collapsed="false">
      <c r="A328" s="1" t="s">
        <v>393</v>
      </c>
      <c r="B328" s="1" t="n">
        <v>532400</v>
      </c>
      <c r="C328" s="1" t="n">
        <v>53638</v>
      </c>
      <c r="D328" s="1" t="n">
        <v>32693</v>
      </c>
      <c r="E328" s="1" t="n">
        <v>10084</v>
      </c>
      <c r="F328" s="1" t="n">
        <v>58881</v>
      </c>
      <c r="G328" s="1" t="n">
        <v>30009</v>
      </c>
      <c r="H328" s="1" t="n">
        <v>9729</v>
      </c>
      <c r="I328" s="1" t="n">
        <v>87786</v>
      </c>
      <c r="J328" s="1" t="n">
        <v>48538</v>
      </c>
      <c r="K328" s="1" t="n">
        <v>13103</v>
      </c>
      <c r="L328" s="7" t="n">
        <f aca="false">(J328/G328*F328/I328)</f>
        <v>1.08487642120095</v>
      </c>
      <c r="M328" s="7" t="n">
        <f aca="false">(D328/G328*F328/C328)</f>
        <v>1.19593025295365</v>
      </c>
      <c r="N328" s="7" t="n">
        <f aca="false">(K328/H328*F328/I328)</f>
        <v>0.903342522767519</v>
      </c>
      <c r="O328" s="7" t="n">
        <f aca="false">(E328/H328*F328/C328)</f>
        <v>1.137803420072</v>
      </c>
      <c r="P328" s="7" t="n">
        <f aca="false">(IF(L328&gt;1,L328,1/L328) - 1)*100</f>
        <v>8.48764212009492</v>
      </c>
      <c r="Q328" s="7" t="n">
        <f aca="false">(IF(M328&gt;1,M328,1/M328) - 1)*100</f>
        <v>19.5930252953645</v>
      </c>
      <c r="R328" s="7" t="n">
        <f aca="false">(IF(N328&gt;1,N328,1/N328) - 1)*100</f>
        <v>10.6999808817099</v>
      </c>
      <c r="S328" s="7" t="n">
        <f aca="false">(IF(O328&gt;1,O328,1/O328) - 1)*100</f>
        <v>13.7803420071997</v>
      </c>
      <c r="T328" s="9" t="n">
        <f aca="false">(P328+Q328) &lt; (R328+S328)</f>
        <v>0</v>
      </c>
      <c r="U328" s="10" t="n">
        <f aca="false">IF($T328,P328,R328)</f>
        <v>10.6999808817099</v>
      </c>
      <c r="V328" s="11" t="n">
        <f aca="false">IF($T328,Q328,S328)</f>
        <v>13.7803420071997</v>
      </c>
      <c r="W328" s="12" t="n">
        <f aca="false">P328 &lt; R328</f>
        <v>1</v>
      </c>
      <c r="X328" s="10" t="n">
        <f aca="false">IF($W328,P328,R328)</f>
        <v>8.48764212009492</v>
      </c>
      <c r="Y328" s="1" t="n">
        <v>532400</v>
      </c>
      <c r="Z328" s="1" t="s">
        <v>393</v>
      </c>
      <c r="AA328" s="12" t="n">
        <f aca="false">T328=W328</f>
        <v>0</v>
      </c>
    </row>
    <row r="329" customFormat="false" ht="12.8" hidden="false" customHeight="false" outlineLevel="0" collapsed="false">
      <c r="A329" s="1" t="s">
        <v>394</v>
      </c>
      <c r="B329" s="1" t="s">
        <v>395</v>
      </c>
      <c r="C329" s="1" t="n">
        <v>29088</v>
      </c>
      <c r="D329" s="1" t="n">
        <v>15291</v>
      </c>
      <c r="E329" s="1" t="n">
        <v>7378</v>
      </c>
      <c r="F329" s="1" t="n">
        <v>24628</v>
      </c>
      <c r="G329" s="1" t="n">
        <v>12648</v>
      </c>
      <c r="H329" s="1" t="n">
        <v>6554</v>
      </c>
      <c r="I329" s="1" t="n">
        <v>27375</v>
      </c>
      <c r="J329" s="1" t="n">
        <v>15647</v>
      </c>
      <c r="K329" s="1" t="n">
        <v>9111</v>
      </c>
      <c r="L329" s="7" t="n">
        <f aca="false">(J329/G329*F329/I329)</f>
        <v>1.11297201066315</v>
      </c>
      <c r="M329" s="7" t="n">
        <f aca="false">(D329/G329*F329/C329)</f>
        <v>1.02359773157107</v>
      </c>
      <c r="N329" s="7" t="n">
        <f aca="false">(K329/H329*F329/I329)</f>
        <v>1.25064665727507</v>
      </c>
      <c r="O329" s="7" t="n">
        <f aca="false">(E329/H329*F329/C329)</f>
        <v>0.953119812286386</v>
      </c>
      <c r="P329" s="7" t="n">
        <f aca="false">(IF(L329&gt;1,L329,1/L329) - 1)*100</f>
        <v>11.2972010663155</v>
      </c>
      <c r="Q329" s="7" t="n">
        <f aca="false">(IF(M329&gt;1,M329,1/M329) - 1)*100</f>
        <v>2.35977315710698</v>
      </c>
      <c r="R329" s="7" t="n">
        <f aca="false">(IF(N329&gt;1,N329,1/N329) - 1)*100</f>
        <v>25.0646657275072</v>
      </c>
      <c r="S329" s="7" t="n">
        <f aca="false">(IF(O329&gt;1,O329,1/O329) - 1)*100</f>
        <v>4.91860384280083</v>
      </c>
      <c r="T329" s="9" t="n">
        <f aca="false">(P329+Q329) &lt; (R329+S329)</f>
        <v>1</v>
      </c>
      <c r="U329" s="10" t="n">
        <f aca="false">IF($T329,P329,R329)</f>
        <v>11.2972010663155</v>
      </c>
      <c r="V329" s="11" t="n">
        <f aca="false">IF($T329,Q329,S329)</f>
        <v>2.35977315710698</v>
      </c>
      <c r="W329" s="12" t="n">
        <f aca="false">P329 &lt; R329</f>
        <v>1</v>
      </c>
      <c r="X329" s="10" t="n">
        <f aca="false">IF($W329,P329,R329)</f>
        <v>11.2972010663155</v>
      </c>
      <c r="Y329" s="1" t="s">
        <v>395</v>
      </c>
      <c r="Z329" s="1" t="s">
        <v>394</v>
      </c>
      <c r="AA329" s="12" t="n">
        <f aca="false">T329=W329</f>
        <v>1</v>
      </c>
    </row>
    <row r="330" customFormat="false" ht="12.8" hidden="false" customHeight="false" outlineLevel="0" collapsed="false">
      <c r="A330" s="1" t="s">
        <v>396</v>
      </c>
      <c r="B330" s="1" t="n">
        <v>533000</v>
      </c>
      <c r="C330" s="1" t="n">
        <v>132997</v>
      </c>
      <c r="D330" s="1" t="n">
        <v>82425</v>
      </c>
      <c r="E330" s="1" t="n">
        <v>4631</v>
      </c>
      <c r="F330" s="1" t="n">
        <v>155979</v>
      </c>
      <c r="G330" s="1" t="n">
        <v>97112</v>
      </c>
      <c r="H330" s="1" t="n">
        <v>5448</v>
      </c>
      <c r="I330" s="1" t="n">
        <v>157204</v>
      </c>
      <c r="J330" s="1" t="n">
        <v>102319</v>
      </c>
      <c r="K330" s="1" t="n">
        <v>2990</v>
      </c>
      <c r="L330" s="7" t="n">
        <f aca="false">(J330/G330*F330/I330)</f>
        <v>1.04540826173449</v>
      </c>
      <c r="M330" s="7" t="n">
        <f aca="false">(D330/G330*F330/C330)</f>
        <v>0.995429126971922</v>
      </c>
      <c r="N330" s="7" t="n">
        <f aca="false">(K330/H330*F330/I330)</f>
        <v>0.544548578647549</v>
      </c>
      <c r="O330" s="7" t="n">
        <f aca="false">(E330/H330*F330/C330)</f>
        <v>0.996923811073345</v>
      </c>
      <c r="P330" s="7" t="n">
        <f aca="false">(IF(L330&gt;1,L330,1/L330) - 1)*100</f>
        <v>4.54082617344864</v>
      </c>
      <c r="Q330" s="7" t="n">
        <f aca="false">(IF(M330&gt;1,M330,1/M330) - 1)*100</f>
        <v>0.459186184553673</v>
      </c>
      <c r="R330" s="7" t="n">
        <f aca="false">(IF(N330&gt;1,N330,1/N330) - 1)*100</f>
        <v>83.6383454500274</v>
      </c>
      <c r="S330" s="7" t="n">
        <f aca="false">(IF(O330&gt;1,O330,1/O330) - 1)*100</f>
        <v>0.308568106457763</v>
      </c>
      <c r="T330" s="9" t="n">
        <f aca="false">(P330+Q330) &lt; (R330+S330)</f>
        <v>1</v>
      </c>
      <c r="U330" s="10" t="n">
        <f aca="false">IF($T330,P330,R330)</f>
        <v>4.54082617344864</v>
      </c>
      <c r="V330" s="11" t="n">
        <f aca="false">IF($T330,Q330,S330)</f>
        <v>0.459186184553673</v>
      </c>
      <c r="W330" s="12" t="n">
        <f aca="false">P330 &lt; R330</f>
        <v>1</v>
      </c>
      <c r="X330" s="10" t="n">
        <f aca="false">IF($W330,P330,R330)</f>
        <v>4.54082617344864</v>
      </c>
      <c r="Y330" s="1" t="n">
        <v>533000</v>
      </c>
      <c r="Z330" s="1" t="s">
        <v>396</v>
      </c>
      <c r="AA330" s="12" t="n">
        <f aca="false">T330=W330</f>
        <v>1</v>
      </c>
    </row>
    <row r="331" customFormat="false" ht="12.8" hidden="false" customHeight="false" outlineLevel="0" collapsed="false">
      <c r="A331" s="1" t="s">
        <v>397</v>
      </c>
      <c r="B331" s="1" t="n">
        <v>541100</v>
      </c>
      <c r="C331" s="1" t="n">
        <v>270089</v>
      </c>
      <c r="D331" s="1" t="n">
        <v>197229</v>
      </c>
      <c r="E331" s="1" t="n">
        <v>110025</v>
      </c>
      <c r="F331" s="1" t="n">
        <v>297144</v>
      </c>
      <c r="G331" s="1" t="n">
        <v>207686</v>
      </c>
      <c r="H331" s="1" t="n">
        <v>115473</v>
      </c>
      <c r="I331" s="1" t="n">
        <v>339319</v>
      </c>
      <c r="J331" s="1" t="n">
        <v>251036</v>
      </c>
      <c r="K331" s="1" t="n">
        <v>131525</v>
      </c>
      <c r="L331" s="7" t="n">
        <f aca="false">(J331/G331*F331/I331)</f>
        <v>1.0584919784759</v>
      </c>
      <c r="M331" s="7" t="n">
        <f aca="false">(D331/G331*F331/C331)</f>
        <v>1.04477703807155</v>
      </c>
      <c r="N331" s="7" t="n">
        <f aca="false">(K331/H331*F331/I331)</f>
        <v>0.997439696320919</v>
      </c>
      <c r="O331" s="7" t="n">
        <f aca="false">(E331/H331*F331/C331)</f>
        <v>1.04826478535849</v>
      </c>
      <c r="P331" s="7" t="n">
        <f aca="false">(IF(L331&gt;1,L331,1/L331) - 1)*100</f>
        <v>5.84919784758982</v>
      </c>
      <c r="Q331" s="7" t="n">
        <f aca="false">(IF(M331&gt;1,M331,1/M331) - 1)*100</f>
        <v>4.47770380715462</v>
      </c>
      <c r="R331" s="7" t="n">
        <f aca="false">(IF(N331&gt;1,N331,1/N331) - 1)*100</f>
        <v>0.256687566027747</v>
      </c>
      <c r="S331" s="7" t="n">
        <f aca="false">(IF(O331&gt;1,O331,1/O331) - 1)*100</f>
        <v>4.82647853584881</v>
      </c>
      <c r="T331" s="9" t="n">
        <f aca="false">(P331+Q331) &lt; (R331+S331)</f>
        <v>0</v>
      </c>
      <c r="U331" s="10" t="n">
        <f aca="false">IF($T331,P331,R331)</f>
        <v>0.256687566027747</v>
      </c>
      <c r="V331" s="11" t="n">
        <f aca="false">IF($T331,Q331,S331)</f>
        <v>4.82647853584881</v>
      </c>
      <c r="W331" s="12" t="n">
        <f aca="false">P331 &lt; R331</f>
        <v>0</v>
      </c>
      <c r="X331" s="10" t="n">
        <f aca="false">IF($W331,P331,R331)</f>
        <v>0.256687566027747</v>
      </c>
      <c r="Y331" s="1" t="n">
        <v>541100</v>
      </c>
      <c r="Z331" s="1" t="s">
        <v>397</v>
      </c>
      <c r="AA331" s="12" t="n">
        <f aca="false">T331=W331</f>
        <v>1</v>
      </c>
    </row>
    <row r="332" customFormat="false" ht="12.8" hidden="false" customHeight="false" outlineLevel="0" collapsed="false">
      <c r="A332" s="1" t="s">
        <v>398</v>
      </c>
      <c r="B332" s="1" t="n">
        <v>541511</v>
      </c>
      <c r="C332" s="1" t="n">
        <v>95552</v>
      </c>
      <c r="D332" s="1" t="n">
        <v>61303</v>
      </c>
      <c r="E332" s="1" t="n">
        <v>54943</v>
      </c>
      <c r="F332" s="1" t="n">
        <v>134791</v>
      </c>
      <c r="G332" s="1" t="n">
        <v>97292</v>
      </c>
      <c r="H332" s="1" t="n">
        <v>76467</v>
      </c>
      <c r="I332" s="1" t="n">
        <v>152686</v>
      </c>
      <c r="J332" s="1" t="n">
        <v>114436</v>
      </c>
      <c r="K332" s="1" t="n">
        <v>99401</v>
      </c>
      <c r="L332" s="7" t="n">
        <f aca="false">(J332/G332*F332/I332)</f>
        <v>1.03835824428768</v>
      </c>
      <c r="M332" s="7" t="n">
        <f aca="false">(D332/G332*F332/C332)</f>
        <v>0.888844338825502</v>
      </c>
      <c r="N332" s="7" t="n">
        <f aca="false">(K332/H332*F332/I332)</f>
        <v>1.14756786687101</v>
      </c>
      <c r="O332" s="7" t="n">
        <f aca="false">(E332/H332*F332/C332)</f>
        <v>1.01358326328464</v>
      </c>
      <c r="P332" s="7" t="n">
        <f aca="false">(IF(L332&gt;1,L332,1/L332) - 1)*100</f>
        <v>3.83582442876775</v>
      </c>
      <c r="Q332" s="7" t="n">
        <f aca="false">(IF(M332&gt;1,M332,1/M332) - 1)*100</f>
        <v>12.5056386499999</v>
      </c>
      <c r="R332" s="7" t="n">
        <f aca="false">(IF(N332&gt;1,N332,1/N332) - 1)*100</f>
        <v>14.7567866871007</v>
      </c>
      <c r="S332" s="7" t="n">
        <f aca="false">(IF(O332&gt;1,O332,1/O332) - 1)*100</f>
        <v>1.35832632846422</v>
      </c>
      <c r="T332" s="9" t="n">
        <f aca="false">(P332+Q332) &lt; (R332+S332)</f>
        <v>0</v>
      </c>
      <c r="U332" s="10" t="n">
        <f aca="false">IF($T332,P332,R332)</f>
        <v>14.7567866871007</v>
      </c>
      <c r="V332" s="11" t="n">
        <f aca="false">IF($T332,Q332,S332)</f>
        <v>1.35832632846422</v>
      </c>
      <c r="W332" s="12" t="n">
        <f aca="false">P332 &lt; R332</f>
        <v>1</v>
      </c>
      <c r="X332" s="10" t="n">
        <f aca="false">IF($W332,P332,R332)</f>
        <v>3.83582442876775</v>
      </c>
      <c r="Y332" s="1" t="n">
        <v>541511</v>
      </c>
      <c r="Z332" s="1" t="s">
        <v>398</v>
      </c>
      <c r="AA332" s="12" t="n">
        <f aca="false">T332=W332</f>
        <v>0</v>
      </c>
    </row>
    <row r="333" customFormat="false" ht="12.8" hidden="false" customHeight="false" outlineLevel="0" collapsed="false">
      <c r="A333" s="1" t="s">
        <v>399</v>
      </c>
      <c r="B333" s="1" t="n">
        <v>541512</v>
      </c>
      <c r="C333" s="1" t="n">
        <v>104700</v>
      </c>
      <c r="D333" s="1" t="n">
        <v>71484</v>
      </c>
      <c r="E333" s="1" t="n">
        <v>60924</v>
      </c>
      <c r="F333" s="1" t="n">
        <v>156454</v>
      </c>
      <c r="G333" s="1" t="n">
        <v>117819</v>
      </c>
      <c r="H333" s="1" t="n">
        <v>91404</v>
      </c>
      <c r="I333" s="1" t="n">
        <v>269552</v>
      </c>
      <c r="J333" s="1" t="n">
        <v>175730</v>
      </c>
      <c r="K333" s="1" t="n">
        <v>140481</v>
      </c>
      <c r="L333" s="7" t="n">
        <f aca="false">(J333/G333*F333/I333)</f>
        <v>0.865714495273231</v>
      </c>
      <c r="M333" s="7" t="n">
        <f aca="false">(D333/G333*F333/C333)</f>
        <v>0.906637134698698</v>
      </c>
      <c r="N333" s="7" t="n">
        <f aca="false">(K333/H333*F333/I333)</f>
        <v>0.892065001475294</v>
      </c>
      <c r="O333" s="7" t="n">
        <f aca="false">(E333/H333*F333/C333)</f>
        <v>0.996008849656282</v>
      </c>
      <c r="P333" s="7" t="n">
        <f aca="false">(IF(L333&gt;1,L333,1/L333) - 1)*100</f>
        <v>15.5115231938431</v>
      </c>
      <c r="Q333" s="7" t="n">
        <f aca="false">(IF(M333&gt;1,M333,1/M333) - 1)*100</f>
        <v>10.2977102666691</v>
      </c>
      <c r="R333" s="7" t="n">
        <f aca="false">(IF(N333&gt;1,N333,1/N333) - 1)*100</f>
        <v>12.0994544507635</v>
      </c>
      <c r="S333" s="7" t="n">
        <f aca="false">(IF(O333&gt;1,O333,1/O333) - 1)*100</f>
        <v>0.40071434556983</v>
      </c>
      <c r="T333" s="9" t="n">
        <f aca="false">(P333+Q333) &lt; (R333+S333)</f>
        <v>0</v>
      </c>
      <c r="U333" s="10" t="n">
        <f aca="false">IF($T333,P333,R333)</f>
        <v>12.0994544507635</v>
      </c>
      <c r="V333" s="11" t="n">
        <f aca="false">IF($T333,Q333,S333)</f>
        <v>0.40071434556983</v>
      </c>
      <c r="W333" s="12" t="n">
        <f aca="false">P333 &lt; R333</f>
        <v>0</v>
      </c>
      <c r="X333" s="10" t="n">
        <f aca="false">IF($W333,P333,R333)</f>
        <v>12.0994544507635</v>
      </c>
      <c r="Y333" s="1" t="n">
        <v>541512</v>
      </c>
      <c r="Z333" s="1" t="s">
        <v>399</v>
      </c>
      <c r="AA333" s="12" t="n">
        <f aca="false">T333=W333</f>
        <v>1</v>
      </c>
    </row>
    <row r="334" customFormat="false" ht="12.8" hidden="false" customHeight="false" outlineLevel="0" collapsed="false">
      <c r="A334" s="1" t="s">
        <v>400</v>
      </c>
      <c r="B334" s="1" t="s">
        <v>401</v>
      </c>
      <c r="C334" s="1" t="n">
        <v>54554</v>
      </c>
      <c r="D334" s="1" t="n">
        <v>32177</v>
      </c>
      <c r="E334" s="1" t="n">
        <v>24692</v>
      </c>
      <c r="F334" s="1" t="n">
        <v>59728</v>
      </c>
      <c r="G334" s="1" t="n">
        <v>34381</v>
      </c>
      <c r="H334" s="1" t="n">
        <v>24688</v>
      </c>
      <c r="I334" s="1" t="n">
        <v>49081</v>
      </c>
      <c r="J334" s="1" t="n">
        <v>31495</v>
      </c>
      <c r="K334" s="1" t="n">
        <v>24875</v>
      </c>
      <c r="L334" s="7" t="n">
        <f aca="false">(J334/G334*F334/I334)</f>
        <v>1.1147761746121</v>
      </c>
      <c r="M334" s="7" t="n">
        <f aca="false">(D334/G334*F334/C334)</f>
        <v>1.02465678310032</v>
      </c>
      <c r="N334" s="7" t="n">
        <f aca="false">(K334/H334*F334/I334)</f>
        <v>1.22614477162179</v>
      </c>
      <c r="O334" s="7" t="n">
        <f aca="false">(E334/H334*F334/C334)</f>
        <v>1.09501919661448</v>
      </c>
      <c r="P334" s="7" t="n">
        <f aca="false">(IF(L334&gt;1,L334,1/L334) - 1)*100</f>
        <v>11.4776174612101</v>
      </c>
      <c r="Q334" s="7" t="n">
        <f aca="false">(IF(M334&gt;1,M334,1/M334) - 1)*100</f>
        <v>2.46567831003162</v>
      </c>
      <c r="R334" s="7" t="n">
        <f aca="false">(IF(N334&gt;1,N334,1/N334) - 1)*100</f>
        <v>22.6144771621786</v>
      </c>
      <c r="S334" s="7" t="n">
        <f aca="false">(IF(O334&gt;1,O334,1/O334) - 1)*100</f>
        <v>9.50191966144789</v>
      </c>
      <c r="T334" s="9" t="n">
        <f aca="false">(P334+Q334) &lt; (R334+S334)</f>
        <v>1</v>
      </c>
      <c r="U334" s="10" t="n">
        <f aca="false">IF($T334,P334,R334)</f>
        <v>11.4776174612101</v>
      </c>
      <c r="V334" s="11" t="n">
        <f aca="false">IF($T334,Q334,S334)</f>
        <v>2.46567831003162</v>
      </c>
      <c r="W334" s="12" t="n">
        <f aca="false">P334 &lt; R334</f>
        <v>1</v>
      </c>
      <c r="X334" s="10" t="n">
        <f aca="false">IF($W334,P334,R334)</f>
        <v>11.4776174612101</v>
      </c>
      <c r="Y334" s="1" t="s">
        <v>401</v>
      </c>
      <c r="Z334" s="1" t="s">
        <v>400</v>
      </c>
      <c r="AA334" s="12" t="n">
        <f aca="false">T334=W334</f>
        <v>1</v>
      </c>
    </row>
    <row r="335" customFormat="false" ht="12.8" hidden="false" customHeight="false" outlineLevel="0" collapsed="false">
      <c r="A335" s="1" t="s">
        <v>402</v>
      </c>
      <c r="B335" s="1" t="n">
        <v>541200</v>
      </c>
      <c r="C335" s="1" t="n">
        <v>131907</v>
      </c>
      <c r="D335" s="1" t="n">
        <v>107246</v>
      </c>
      <c r="E335" s="1" t="n">
        <v>71535</v>
      </c>
      <c r="F335" s="1" t="n">
        <v>161834</v>
      </c>
      <c r="G335" s="1" t="n">
        <v>112647</v>
      </c>
      <c r="H335" s="1" t="n">
        <v>77153</v>
      </c>
      <c r="I335" s="1" t="n">
        <v>171070</v>
      </c>
      <c r="J335" s="1" t="n">
        <v>124732</v>
      </c>
      <c r="K335" s="1" t="n">
        <v>88558</v>
      </c>
      <c r="L335" s="7" t="n">
        <f aca="false">(J335/G335*F335/I335)</f>
        <v>1.04750033155432</v>
      </c>
      <c r="M335" s="7" t="n">
        <f aca="false">(D335/G335*F335/C335)</f>
        <v>1.16805528391668</v>
      </c>
      <c r="N335" s="7" t="n">
        <f aca="false">(K335/H335*F335/I335)</f>
        <v>1.08585264934104</v>
      </c>
      <c r="O335" s="7" t="n">
        <f aca="false">(E335/H335*F335/C335)</f>
        <v>1.13754265128246</v>
      </c>
      <c r="P335" s="7" t="n">
        <f aca="false">(IF(L335&gt;1,L335,1/L335) - 1)*100</f>
        <v>4.75003315543245</v>
      </c>
      <c r="Q335" s="7" t="n">
        <f aca="false">(IF(M335&gt;1,M335,1/M335) - 1)*100</f>
        <v>16.8055283916677</v>
      </c>
      <c r="R335" s="7" t="n">
        <f aca="false">(IF(N335&gt;1,N335,1/N335) - 1)*100</f>
        <v>8.58526493410394</v>
      </c>
      <c r="S335" s="7" t="n">
        <f aca="false">(IF(O335&gt;1,O335,1/O335) - 1)*100</f>
        <v>13.754265128246</v>
      </c>
      <c r="T335" s="9" t="n">
        <f aca="false">(P335+Q335) &lt; (R335+S335)</f>
        <v>1</v>
      </c>
      <c r="U335" s="10" t="n">
        <f aca="false">IF($T335,P335,R335)</f>
        <v>4.75003315543245</v>
      </c>
      <c r="V335" s="11" t="n">
        <f aca="false">IF($T335,Q335,S335)</f>
        <v>16.8055283916677</v>
      </c>
      <c r="W335" s="12" t="n">
        <f aca="false">P335 &lt; R335</f>
        <v>1</v>
      </c>
      <c r="X335" s="10" t="n">
        <f aca="false">IF($W335,P335,R335)</f>
        <v>4.75003315543245</v>
      </c>
      <c r="Y335" s="1" t="n">
        <v>541200</v>
      </c>
      <c r="Z335" s="1" t="s">
        <v>402</v>
      </c>
      <c r="AA335" s="12" t="n">
        <f aca="false">T335=W335</f>
        <v>1</v>
      </c>
    </row>
    <row r="336" customFormat="false" ht="12.8" hidden="false" customHeight="false" outlineLevel="0" collapsed="false">
      <c r="A336" s="1" t="s">
        <v>403</v>
      </c>
      <c r="B336" s="1" t="n">
        <v>541300</v>
      </c>
      <c r="C336" s="1" t="n">
        <v>271678</v>
      </c>
      <c r="D336" s="1" t="n">
        <v>143982</v>
      </c>
      <c r="E336" s="1" t="n">
        <v>118855</v>
      </c>
      <c r="F336" s="1" t="n">
        <v>280678</v>
      </c>
      <c r="G336" s="1" t="n">
        <v>164901</v>
      </c>
      <c r="H336" s="1" t="n">
        <v>127119</v>
      </c>
      <c r="I336" s="1" t="n">
        <v>329208</v>
      </c>
      <c r="J336" s="1" t="n">
        <v>208525</v>
      </c>
      <c r="K336" s="1" t="n">
        <v>149700</v>
      </c>
      <c r="L336" s="7" t="n">
        <f aca="false">(J336/G336*F336/I336)</f>
        <v>1.07813422665889</v>
      </c>
      <c r="M336" s="7" t="n">
        <f aca="false">(D336/G336*F336/C336)</f>
        <v>0.902067039281143</v>
      </c>
      <c r="N336" s="7" t="n">
        <f aca="false">(K336/H336*F336/I336)</f>
        <v>1.00403609395033</v>
      </c>
      <c r="O336" s="7" t="n">
        <f aca="false">(E336/H336*F336/C336)</f>
        <v>0.965963886981954</v>
      </c>
      <c r="P336" s="7" t="n">
        <f aca="false">(IF(L336&gt;1,L336,1/L336) - 1)*100</f>
        <v>7.81342266588849</v>
      </c>
      <c r="Q336" s="7" t="n">
        <f aca="false">(IF(M336&gt;1,M336,1/M336) - 1)*100</f>
        <v>10.8565058309746</v>
      </c>
      <c r="R336" s="7" t="n">
        <f aca="false">(IF(N336&gt;1,N336,1/N336) - 1)*100</f>
        <v>0.403609395032833</v>
      </c>
      <c r="S336" s="7" t="n">
        <f aca="false">(IF(O336&gt;1,O336,1/O336) - 1)*100</f>
        <v>3.52353886897241</v>
      </c>
      <c r="T336" s="9" t="n">
        <f aca="false">(P336+Q336) &lt; (R336+S336)</f>
        <v>0</v>
      </c>
      <c r="U336" s="10" t="n">
        <f aca="false">IF($T336,P336,R336)</f>
        <v>0.403609395032833</v>
      </c>
      <c r="V336" s="11" t="n">
        <f aca="false">IF($T336,Q336,S336)</f>
        <v>3.52353886897241</v>
      </c>
      <c r="W336" s="12" t="n">
        <f aca="false">P336 &lt; R336</f>
        <v>0</v>
      </c>
      <c r="X336" s="10" t="n">
        <f aca="false">IF($W336,P336,R336)</f>
        <v>0.403609395032833</v>
      </c>
      <c r="Y336" s="1" t="n">
        <v>541300</v>
      </c>
      <c r="Z336" s="1" t="s">
        <v>403</v>
      </c>
      <c r="AA336" s="12" t="n">
        <f aca="false">T336=W336</f>
        <v>1</v>
      </c>
    </row>
    <row r="337" customFormat="false" ht="12.8" hidden="false" customHeight="false" outlineLevel="0" collapsed="false">
      <c r="A337" s="1" t="s">
        <v>404</v>
      </c>
      <c r="B337" s="1" t="n">
        <v>541610</v>
      </c>
      <c r="C337" s="1" t="n">
        <v>145038</v>
      </c>
      <c r="D337" s="1" t="n">
        <v>89529</v>
      </c>
      <c r="E337" s="1" t="n">
        <v>65761</v>
      </c>
      <c r="F337" s="1" t="n">
        <v>198652</v>
      </c>
      <c r="G337" s="1" t="n">
        <v>126296</v>
      </c>
      <c r="H337" s="1" t="n">
        <v>88923</v>
      </c>
      <c r="I337" s="1" t="n">
        <v>251691</v>
      </c>
      <c r="J337" s="1" t="n">
        <v>171994</v>
      </c>
      <c r="K337" s="1" t="n">
        <v>125104</v>
      </c>
      <c r="L337" s="7" t="n">
        <f aca="false">(J337/G337*F337/I337)</f>
        <v>1.07485271165081</v>
      </c>
      <c r="M337" s="7" t="n">
        <f aca="false">(D337/G337*F337/C337)</f>
        <v>0.970924090887672</v>
      </c>
      <c r="N337" s="7" t="n">
        <f aca="false">(K337/H337*F337/I337)</f>
        <v>1.11040739463716</v>
      </c>
      <c r="O337" s="7" t="n">
        <f aca="false">(E337/H337*F337/C337)</f>
        <v>1.01289736659759</v>
      </c>
      <c r="P337" s="7" t="n">
        <f aca="false">(IF(L337&gt;1,L337,1/L337) - 1)*100</f>
        <v>7.48527116508055</v>
      </c>
      <c r="Q337" s="7" t="n">
        <f aca="false">(IF(M337&gt;1,M337,1/M337) - 1)*100</f>
        <v>2.99466347423161</v>
      </c>
      <c r="R337" s="7" t="n">
        <f aca="false">(IF(N337&gt;1,N337,1/N337) - 1)*100</f>
        <v>11.0407394637164</v>
      </c>
      <c r="S337" s="7" t="n">
        <f aca="false">(IF(O337&gt;1,O337,1/O337) - 1)*100</f>
        <v>1.28973665975918</v>
      </c>
      <c r="T337" s="9" t="n">
        <f aca="false">(P337+Q337) &lt; (R337+S337)</f>
        <v>1</v>
      </c>
      <c r="U337" s="10" t="n">
        <f aca="false">IF($T337,P337,R337)</f>
        <v>7.48527116508055</v>
      </c>
      <c r="V337" s="11" t="n">
        <f aca="false">IF($T337,Q337,S337)</f>
        <v>2.99466347423161</v>
      </c>
      <c r="W337" s="12" t="n">
        <f aca="false">P337 &lt; R337</f>
        <v>1</v>
      </c>
      <c r="X337" s="10" t="n">
        <f aca="false">IF($W337,P337,R337)</f>
        <v>7.48527116508055</v>
      </c>
      <c r="Y337" s="1" t="n">
        <v>541610</v>
      </c>
      <c r="Z337" s="1" t="s">
        <v>404</v>
      </c>
      <c r="AA337" s="12" t="n">
        <f aca="false">T337=W337</f>
        <v>1</v>
      </c>
    </row>
    <row r="338" customFormat="false" ht="12.8" hidden="false" customHeight="false" outlineLevel="0" collapsed="false">
      <c r="A338" s="1" t="s">
        <v>405</v>
      </c>
      <c r="B338" s="1" t="s">
        <v>406</v>
      </c>
      <c r="C338" s="1" t="n">
        <v>31409</v>
      </c>
      <c r="D338" s="1" t="n">
        <v>20921</v>
      </c>
      <c r="E338" s="1" t="n">
        <v>17469</v>
      </c>
      <c r="F338" s="1" t="n">
        <v>43976</v>
      </c>
      <c r="G338" s="1" t="n">
        <v>29812</v>
      </c>
      <c r="H338" s="1" t="n">
        <v>23994</v>
      </c>
      <c r="I338" s="1" t="n">
        <v>53324</v>
      </c>
      <c r="J338" s="1" t="n">
        <v>31312</v>
      </c>
      <c r="K338" s="1" t="n">
        <v>27523</v>
      </c>
      <c r="L338" s="7" t="n">
        <f aca="false">(J338/G338*F338/I338)</f>
        <v>0.866189071347247</v>
      </c>
      <c r="M338" s="7" t="n">
        <f aca="false">(D338/G338*F338/C338)</f>
        <v>0.982546111703257</v>
      </c>
      <c r="N338" s="7" t="n">
        <f aca="false">(K338/H338*F338/I338)</f>
        <v>0.945989072718884</v>
      </c>
      <c r="O338" s="7" t="n">
        <f aca="false">(E338/H338*F338/C338)</f>
        <v>1.01935863156467</v>
      </c>
      <c r="P338" s="7" t="n">
        <f aca="false">(IF(L338&gt;1,L338,1/L338) - 1)*100</f>
        <v>15.4482356195775</v>
      </c>
      <c r="Q338" s="7" t="n">
        <f aca="false">(IF(M338&gt;1,M338,1/M338) - 1)*100</f>
        <v>1.77639380878389</v>
      </c>
      <c r="R338" s="7" t="n">
        <f aca="false">(IF(N338&gt;1,N338,1/N338) - 1)*100</f>
        <v>5.70946629709821</v>
      </c>
      <c r="S338" s="7" t="n">
        <f aca="false">(IF(O338&gt;1,O338,1/O338) - 1)*100</f>
        <v>1.93586315646694</v>
      </c>
      <c r="T338" s="9" t="n">
        <f aca="false">(P338+Q338) &lt; (R338+S338)</f>
        <v>0</v>
      </c>
      <c r="U338" s="10" t="n">
        <f aca="false">IF($T338,P338,R338)</f>
        <v>5.70946629709821</v>
      </c>
      <c r="V338" s="11" t="n">
        <f aca="false">IF($T338,Q338,S338)</f>
        <v>1.93586315646694</v>
      </c>
      <c r="W338" s="12" t="n">
        <f aca="false">P338 &lt; R338</f>
        <v>0</v>
      </c>
      <c r="X338" s="10" t="n">
        <f aca="false">IF($W338,P338,R338)</f>
        <v>5.70946629709821</v>
      </c>
      <c r="Y338" s="1" t="s">
        <v>406</v>
      </c>
      <c r="Z338" s="1" t="s">
        <v>405</v>
      </c>
      <c r="AA338" s="12" t="n">
        <f aca="false">T338=W338</f>
        <v>1</v>
      </c>
    </row>
    <row r="339" customFormat="false" ht="12.8" hidden="false" customHeight="false" outlineLevel="0" collapsed="false">
      <c r="A339" s="1" t="s">
        <v>407</v>
      </c>
      <c r="B339" s="1" t="n">
        <v>541700</v>
      </c>
      <c r="C339" s="1" t="n">
        <v>156889</v>
      </c>
      <c r="D339" s="1" t="n">
        <v>74345</v>
      </c>
      <c r="E339" s="1" t="n">
        <v>64972</v>
      </c>
      <c r="F339" s="1" t="n">
        <v>177331</v>
      </c>
      <c r="G339" s="1" t="n">
        <v>95475</v>
      </c>
      <c r="H339" s="1" t="n">
        <v>76685</v>
      </c>
      <c r="I339" s="1" t="n">
        <v>255320</v>
      </c>
      <c r="J339" s="1" t="n">
        <v>120857</v>
      </c>
      <c r="K339" s="1" t="n">
        <v>97150</v>
      </c>
      <c r="L339" s="7" t="n">
        <f aca="false">(J339/G339*F339/I339)</f>
        <v>0.879188441763412</v>
      </c>
      <c r="M339" s="7" t="n">
        <f aca="false">(D339/G339*F339/C339)</f>
        <v>0.880145082869151</v>
      </c>
      <c r="N339" s="7" t="n">
        <f aca="false">(K339/H339*F339/I339)</f>
        <v>0.879897756570843</v>
      </c>
      <c r="O339" s="7" t="n">
        <f aca="false">(E339/H339*F339/C339)</f>
        <v>0.957652577756028</v>
      </c>
      <c r="P339" s="7" t="n">
        <f aca="false">(IF(L339&gt;1,L339,1/L339) - 1)*100</f>
        <v>13.7412586992469</v>
      </c>
      <c r="Q339" s="7" t="n">
        <f aca="false">(IF(M339&gt;1,M339,1/M339) - 1)*100</f>
        <v>13.6176318499831</v>
      </c>
      <c r="R339" s="7" t="n">
        <f aca="false">(IF(N339&gt;1,N339,1/N339) - 1)*100</f>
        <v>13.6495680926863</v>
      </c>
      <c r="S339" s="7" t="n">
        <f aca="false">(IF(O339&gt;1,O339,1/O339) - 1)*100</f>
        <v>4.42200263724035</v>
      </c>
      <c r="T339" s="9" t="n">
        <f aca="false">(P339+Q339) &lt; (R339+S339)</f>
        <v>0</v>
      </c>
      <c r="U339" s="10" t="n">
        <f aca="false">IF($T339,P339,R339)</f>
        <v>13.6495680926863</v>
      </c>
      <c r="V339" s="11" t="n">
        <f aca="false">IF($T339,Q339,S339)</f>
        <v>4.42200263724035</v>
      </c>
      <c r="W339" s="12" t="n">
        <f aca="false">P339 &lt; R339</f>
        <v>0</v>
      </c>
      <c r="X339" s="10" t="n">
        <f aca="false">IF($W339,P339,R339)</f>
        <v>13.6495680926863</v>
      </c>
      <c r="Y339" s="1" t="n">
        <v>541700</v>
      </c>
      <c r="Z339" s="1" t="s">
        <v>407</v>
      </c>
      <c r="AA339" s="12" t="n">
        <f aca="false">T339=W339</f>
        <v>1</v>
      </c>
    </row>
    <row r="340" customFormat="false" ht="12.8" hidden="false" customHeight="false" outlineLevel="0" collapsed="false">
      <c r="A340" s="1" t="s">
        <v>408</v>
      </c>
      <c r="B340" s="1" t="n">
        <v>541800</v>
      </c>
      <c r="C340" s="1" t="n">
        <v>128356</v>
      </c>
      <c r="D340" s="1" t="n">
        <v>79558</v>
      </c>
      <c r="E340" s="1" t="n">
        <v>35087</v>
      </c>
      <c r="F340" s="1" t="n">
        <v>111987</v>
      </c>
      <c r="G340" s="1" t="n">
        <v>79980</v>
      </c>
      <c r="H340" s="1" t="n">
        <v>36286</v>
      </c>
      <c r="I340" s="1" t="n">
        <v>128849</v>
      </c>
      <c r="J340" s="1" t="n">
        <v>88436</v>
      </c>
      <c r="K340" s="1" t="n">
        <v>45888</v>
      </c>
      <c r="L340" s="7" t="n">
        <f aca="false">(J340/G340*F340/I340)</f>
        <v>0.961024035083502</v>
      </c>
      <c r="M340" s="7" t="n">
        <f aca="false">(D340/G340*F340/C340)</f>
        <v>0.867868435096246</v>
      </c>
      <c r="N340" s="7" t="n">
        <f aca="false">(K340/H340*F340/I340)</f>
        <v>1.09912374846661</v>
      </c>
      <c r="O340" s="7" t="n">
        <f aca="false">(E340/H340*F340/C340)</f>
        <v>0.843642746005125</v>
      </c>
      <c r="P340" s="7" t="n">
        <f aca="false">(IF(L340&gt;1,L340,1/L340) - 1)*100</f>
        <v>4.05567014909378</v>
      </c>
      <c r="Q340" s="7" t="n">
        <f aca="false">(IF(M340&gt;1,M340,1/M340) - 1)*100</f>
        <v>15.2248381851911</v>
      </c>
      <c r="R340" s="7" t="n">
        <f aca="false">(IF(N340&gt;1,N340,1/N340) - 1)*100</f>
        <v>9.91237484666103</v>
      </c>
      <c r="S340" s="7" t="n">
        <f aca="false">(IF(O340&gt;1,O340,1/O340) - 1)*100</f>
        <v>18.533586015558</v>
      </c>
      <c r="T340" s="9" t="n">
        <f aca="false">(P340+Q340) &lt; (R340+S340)</f>
        <v>1</v>
      </c>
      <c r="U340" s="10" t="n">
        <f aca="false">IF($T340,P340,R340)</f>
        <v>4.05567014909378</v>
      </c>
      <c r="V340" s="11" t="n">
        <f aca="false">IF($T340,Q340,S340)</f>
        <v>15.2248381851911</v>
      </c>
      <c r="W340" s="12" t="n">
        <f aca="false">P340 &lt; R340</f>
        <v>1</v>
      </c>
      <c r="X340" s="10" t="n">
        <f aca="false">IF($W340,P340,R340)</f>
        <v>4.05567014909378</v>
      </c>
      <c r="Y340" s="1" t="n">
        <v>541800</v>
      </c>
      <c r="Z340" s="1" t="s">
        <v>408</v>
      </c>
      <c r="AA340" s="12" t="n">
        <f aca="false">T340=W340</f>
        <v>1</v>
      </c>
    </row>
    <row r="341" customFormat="false" ht="12.8" hidden="false" customHeight="false" outlineLevel="0" collapsed="false">
      <c r="A341" s="1" t="s">
        <v>409</v>
      </c>
      <c r="B341" s="1" t="n">
        <v>541400</v>
      </c>
      <c r="C341" s="1" t="n">
        <v>29008</v>
      </c>
      <c r="D341" s="1" t="n">
        <v>17327</v>
      </c>
      <c r="E341" s="1" t="n">
        <v>7006</v>
      </c>
      <c r="F341" s="1" t="n">
        <v>26072</v>
      </c>
      <c r="G341" s="1" t="n">
        <v>22058</v>
      </c>
      <c r="H341" s="1" t="n">
        <v>9825</v>
      </c>
      <c r="I341" s="1" t="n">
        <v>35233</v>
      </c>
      <c r="J341" s="1" t="n">
        <v>24087</v>
      </c>
      <c r="K341" s="1" t="n">
        <v>11468</v>
      </c>
      <c r="L341" s="7" t="n">
        <f aca="false">(J341/G341*F341/I341)</f>
        <v>0.80805571073906</v>
      </c>
      <c r="M341" s="7" t="n">
        <f aca="false">(D341/G341*F341/C341)</f>
        <v>0.706014797672505</v>
      </c>
      <c r="N341" s="7" t="n">
        <f aca="false">(K341/H341*F341/I341)</f>
        <v>0.863733668607725</v>
      </c>
      <c r="O341" s="7" t="n">
        <f aca="false">(E341/H341*F341/C341)</f>
        <v>0.64090570084027</v>
      </c>
      <c r="P341" s="7" t="n">
        <f aca="false">(IF(L341&gt;1,L341,1/L341) - 1)*100</f>
        <v>23.7538435419737</v>
      </c>
      <c r="Q341" s="7" t="n">
        <f aca="false">(IF(M341&gt;1,M341,1/M341) - 1)*100</f>
        <v>41.6400907313368</v>
      </c>
      <c r="R341" s="7" t="n">
        <f aca="false">(IF(N341&gt;1,N341,1/N341) - 1)*100</f>
        <v>15.7764292796327</v>
      </c>
      <c r="S341" s="7" t="n">
        <f aca="false">(IF(O341&gt;1,O341,1/O341) - 1)*100</f>
        <v>56.0291941059244</v>
      </c>
      <c r="T341" s="9" t="n">
        <f aca="false">(P341+Q341) &lt; (R341+S341)</f>
        <v>1</v>
      </c>
      <c r="U341" s="10" t="n">
        <f aca="false">IF($T341,P341,R341)</f>
        <v>23.7538435419737</v>
      </c>
      <c r="V341" s="11" t="n">
        <f aca="false">IF($T341,Q341,S341)</f>
        <v>41.6400907313368</v>
      </c>
      <c r="W341" s="12" t="n">
        <f aca="false">P341 &lt; R341</f>
        <v>0</v>
      </c>
      <c r="X341" s="10" t="n">
        <f aca="false">IF($W341,P341,R341)</f>
        <v>15.7764292796327</v>
      </c>
      <c r="Y341" s="1" t="n">
        <v>541400</v>
      </c>
      <c r="Z341" s="1" t="s">
        <v>409</v>
      </c>
      <c r="AA341" s="12" t="n">
        <f aca="false">T341=W341</f>
        <v>0</v>
      </c>
    </row>
    <row r="342" customFormat="false" ht="12.8" hidden="false" customHeight="false" outlineLevel="0" collapsed="false">
      <c r="A342" s="1" t="s">
        <v>410</v>
      </c>
      <c r="B342" s="1" t="n">
        <v>541920</v>
      </c>
      <c r="C342" s="1" t="n">
        <v>11418</v>
      </c>
      <c r="D342" s="1" t="n">
        <v>5766</v>
      </c>
      <c r="E342" s="1" t="n">
        <v>1784</v>
      </c>
      <c r="F342" s="1" t="n">
        <v>10245</v>
      </c>
      <c r="G342" s="1" t="n">
        <v>7050</v>
      </c>
      <c r="H342" s="1" t="n">
        <v>2425</v>
      </c>
      <c r="I342" s="1" t="n">
        <v>12489</v>
      </c>
      <c r="J342" s="1" t="n">
        <v>7301</v>
      </c>
      <c r="K342" s="1" t="n">
        <v>2172</v>
      </c>
      <c r="L342" s="7" t="n">
        <f aca="false">(J342/G342*F342/I342)</f>
        <v>0.849527669455504</v>
      </c>
      <c r="M342" s="7" t="n">
        <f aca="false">(D342/G342*F342/C342)</f>
        <v>0.733850247649288</v>
      </c>
      <c r="N342" s="7" t="n">
        <f aca="false">(K342/H342*F342/I342)</f>
        <v>0.734737785746302</v>
      </c>
      <c r="O342" s="7" t="n">
        <f aca="false">(E342/H342*F342/C342)</f>
        <v>0.660092853931123</v>
      </c>
      <c r="P342" s="7" t="n">
        <f aca="false">(IF(L342&gt;1,L342,1/L342) - 1)*100</f>
        <v>17.7124696410348</v>
      </c>
      <c r="Q342" s="7" t="n">
        <f aca="false">(IF(M342&gt;1,M342,1/M342) - 1)*100</f>
        <v>36.2675836389315</v>
      </c>
      <c r="R342" s="7" t="n">
        <f aca="false">(IF(N342&gt;1,N342,1/N342) - 1)*100</f>
        <v>36.1029770619815</v>
      </c>
      <c r="S342" s="7" t="n">
        <f aca="false">(IF(O342&gt;1,O342,1/O342) - 1)*100</f>
        <v>51.4938381842176</v>
      </c>
      <c r="T342" s="9" t="n">
        <f aca="false">(P342+Q342) &lt; (R342+S342)</f>
        <v>1</v>
      </c>
      <c r="U342" s="10" t="n">
        <f aca="false">IF($T342,P342,R342)</f>
        <v>17.7124696410348</v>
      </c>
      <c r="V342" s="11" t="n">
        <f aca="false">IF($T342,Q342,S342)</f>
        <v>36.2675836389315</v>
      </c>
      <c r="W342" s="12" t="n">
        <f aca="false">P342 &lt; R342</f>
        <v>1</v>
      </c>
      <c r="X342" s="10" t="n">
        <f aca="false">IF($W342,P342,R342)</f>
        <v>17.7124696410348</v>
      </c>
      <c r="Y342" s="1" t="n">
        <v>541920</v>
      </c>
      <c r="Z342" s="1" t="s">
        <v>410</v>
      </c>
      <c r="AA342" s="12" t="n">
        <f aca="false">T342=W342</f>
        <v>1</v>
      </c>
    </row>
    <row r="343" customFormat="false" ht="12.8" hidden="false" customHeight="false" outlineLevel="0" collapsed="false">
      <c r="A343" s="1" t="s">
        <v>411</v>
      </c>
      <c r="B343" s="1" t="n">
        <v>541940</v>
      </c>
      <c r="C343" s="1" t="n">
        <v>24435</v>
      </c>
      <c r="D343" s="1" t="n">
        <v>17887</v>
      </c>
      <c r="E343" s="1" t="n">
        <v>10158</v>
      </c>
      <c r="F343" s="1" t="n">
        <v>29207</v>
      </c>
      <c r="G343" s="1" t="n">
        <v>19286</v>
      </c>
      <c r="H343" s="1" t="n">
        <v>10350</v>
      </c>
      <c r="I343" s="1" t="n">
        <v>42489</v>
      </c>
      <c r="J343" s="1" t="n">
        <v>29581</v>
      </c>
      <c r="K343" s="1" t="n">
        <v>19253</v>
      </c>
      <c r="L343" s="7" t="n">
        <f aca="false">(J343/G343*F343/I343)</f>
        <v>1.05434108404587</v>
      </c>
      <c r="M343" s="7" t="n">
        <f aca="false">(D343/G343*F343/C343)</f>
        <v>1.10858743494291</v>
      </c>
      <c r="N343" s="7" t="n">
        <f aca="false">(K343/H343*F343/I343)</f>
        <v>1.27869951904574</v>
      </c>
      <c r="O343" s="7" t="n">
        <f aca="false">(E343/H343*F343/C343)</f>
        <v>1.17312007307171</v>
      </c>
      <c r="P343" s="7" t="n">
        <f aca="false">(IF(L343&gt;1,L343,1/L343) - 1)*100</f>
        <v>5.4341084045868</v>
      </c>
      <c r="Q343" s="7" t="n">
        <f aca="false">(IF(M343&gt;1,M343,1/M343) - 1)*100</f>
        <v>10.8587434942911</v>
      </c>
      <c r="R343" s="7" t="n">
        <f aca="false">(IF(N343&gt;1,N343,1/N343) - 1)*100</f>
        <v>27.8699519045736</v>
      </c>
      <c r="S343" s="7" t="n">
        <f aca="false">(IF(O343&gt;1,O343,1/O343) - 1)*100</f>
        <v>17.3120073071711</v>
      </c>
      <c r="T343" s="9" t="n">
        <f aca="false">(P343+Q343) &lt; (R343+S343)</f>
        <v>1</v>
      </c>
      <c r="U343" s="10" t="n">
        <f aca="false">IF($T343,P343,R343)</f>
        <v>5.4341084045868</v>
      </c>
      <c r="V343" s="11" t="n">
        <f aca="false">IF($T343,Q343,S343)</f>
        <v>10.8587434942911</v>
      </c>
      <c r="W343" s="12" t="n">
        <f aca="false">P343 &lt; R343</f>
        <v>1</v>
      </c>
      <c r="X343" s="10" t="n">
        <f aca="false">IF($W343,P343,R343)</f>
        <v>5.4341084045868</v>
      </c>
      <c r="Y343" s="1" t="n">
        <v>541940</v>
      </c>
      <c r="Z343" s="1" t="s">
        <v>411</v>
      </c>
      <c r="AA343" s="12" t="n">
        <f aca="false">T343=W343</f>
        <v>1</v>
      </c>
    </row>
    <row r="344" customFormat="false" ht="12.8" hidden="false" customHeight="false" outlineLevel="0" collapsed="false">
      <c r="A344" s="1" t="s">
        <v>412</v>
      </c>
      <c r="B344" s="1" t="s">
        <v>413</v>
      </c>
      <c r="C344" s="1" t="n">
        <v>63705</v>
      </c>
      <c r="D344" s="1" t="n">
        <v>40759</v>
      </c>
      <c r="E344" s="1" t="n">
        <v>11794</v>
      </c>
      <c r="F344" s="1" t="n">
        <v>79698</v>
      </c>
      <c r="G344" s="1" t="n">
        <v>59882</v>
      </c>
      <c r="H344" s="1" t="n">
        <v>15862</v>
      </c>
      <c r="I344" s="1" t="n">
        <v>88232</v>
      </c>
      <c r="J344" s="1" t="n">
        <v>55620</v>
      </c>
      <c r="K344" s="1" t="n">
        <v>27448</v>
      </c>
      <c r="L344" s="7" t="n">
        <f aca="false">(J344/G344*F344/I344)</f>
        <v>0.838988459271984</v>
      </c>
      <c r="M344" s="7" t="n">
        <f aca="false">(D344/G344*F344/C344)</f>
        <v>0.851532300471911</v>
      </c>
      <c r="N344" s="7" t="n">
        <f aca="false">(K344/H344*F344/I344)</f>
        <v>1.56305427585205</v>
      </c>
      <c r="O344" s="7" t="n">
        <f aca="false">(E344/H344*F344/C344)</f>
        <v>0.930201597205376</v>
      </c>
      <c r="P344" s="7" t="n">
        <f aca="false">(IF(L344&gt;1,L344,1/L344) - 1)*100</f>
        <v>19.1911508374895</v>
      </c>
      <c r="Q344" s="7" t="n">
        <f aca="false">(IF(M344&gt;1,M344,1/M344) - 1)*100</f>
        <v>17.4353573488416</v>
      </c>
      <c r="R344" s="7" t="n">
        <f aca="false">(IF(N344&gt;1,N344,1/N344) - 1)*100</f>
        <v>56.3054275852046</v>
      </c>
      <c r="S344" s="7" t="n">
        <f aca="false">(IF(O344&gt;1,O344,1/O344) - 1)*100</f>
        <v>7.50357804204174</v>
      </c>
      <c r="T344" s="9" t="n">
        <f aca="false">(P344+Q344) &lt; (R344+S344)</f>
        <v>1</v>
      </c>
      <c r="U344" s="10" t="n">
        <f aca="false">IF($T344,P344,R344)</f>
        <v>19.1911508374895</v>
      </c>
      <c r="V344" s="11" t="n">
        <f aca="false">IF($T344,Q344,S344)</f>
        <v>17.4353573488416</v>
      </c>
      <c r="W344" s="12" t="n">
        <f aca="false">P344 &lt; R344</f>
        <v>1</v>
      </c>
      <c r="X344" s="10" t="n">
        <f aca="false">IF($W344,P344,R344)</f>
        <v>19.1911508374895</v>
      </c>
      <c r="Y344" s="1" t="s">
        <v>413</v>
      </c>
      <c r="Z344" s="1" t="s">
        <v>412</v>
      </c>
      <c r="AA344" s="12" t="n">
        <f aca="false">T344=W344</f>
        <v>1</v>
      </c>
    </row>
    <row r="345" customFormat="false" ht="12.8" hidden="false" customHeight="false" outlineLevel="0" collapsed="false">
      <c r="A345" s="1" t="s">
        <v>414</v>
      </c>
      <c r="B345" s="1" t="n">
        <v>550000</v>
      </c>
      <c r="C345" s="1" t="n">
        <v>432622</v>
      </c>
      <c r="D345" s="1" t="n">
        <v>250241</v>
      </c>
      <c r="E345" s="1" t="n">
        <v>219915</v>
      </c>
      <c r="F345" s="1" t="n">
        <v>477631</v>
      </c>
      <c r="G345" s="1" t="n">
        <v>300920</v>
      </c>
      <c r="H345" s="1" t="n">
        <v>259415</v>
      </c>
      <c r="I345" s="1" t="n">
        <v>567114</v>
      </c>
      <c r="J345" s="1" t="n">
        <v>368625</v>
      </c>
      <c r="K345" s="1" t="n">
        <v>324518</v>
      </c>
      <c r="L345" s="7" t="n">
        <f aca="false">(J345/G345*F345/I345)</f>
        <v>1.03170579553384</v>
      </c>
      <c r="M345" s="7" t="n">
        <f aca="false">(D345/G345*F345/C345)</f>
        <v>0.918102815797118</v>
      </c>
      <c r="N345" s="7" t="n">
        <f aca="false">(K345/H345*F345/I345)</f>
        <v>1.05357593950201</v>
      </c>
      <c r="O345" s="7" t="n">
        <f aca="false">(E345/H345*F345/C345)</f>
        <v>0.935930658939212</v>
      </c>
      <c r="P345" s="7" t="n">
        <f aca="false">(IF(L345&gt;1,L345,1/L345) - 1)*100</f>
        <v>3.17057955338427</v>
      </c>
      <c r="Q345" s="7" t="n">
        <f aca="false">(IF(M345&gt;1,M345,1/M345) - 1)*100</f>
        <v>8.92026282827338</v>
      </c>
      <c r="R345" s="7" t="n">
        <f aca="false">(IF(N345&gt;1,N345,1/N345) - 1)*100</f>
        <v>5.35759395020057</v>
      </c>
      <c r="S345" s="7" t="n">
        <f aca="false">(IF(O345&gt;1,O345,1/O345) - 1)*100</f>
        <v>6.84552220283115</v>
      </c>
      <c r="T345" s="9" t="n">
        <f aca="false">(P345+Q345) &lt; (R345+S345)</f>
        <v>1</v>
      </c>
      <c r="U345" s="10" t="n">
        <f aca="false">IF($T345,P345,R345)</f>
        <v>3.17057955338427</v>
      </c>
      <c r="V345" s="11" t="n">
        <f aca="false">IF($T345,Q345,S345)</f>
        <v>8.92026282827338</v>
      </c>
      <c r="W345" s="12" t="n">
        <f aca="false">P345 &lt; R345</f>
        <v>1</v>
      </c>
      <c r="X345" s="10" t="n">
        <f aca="false">IF($W345,P345,R345)</f>
        <v>3.17057955338427</v>
      </c>
      <c r="Y345" s="1" t="n">
        <v>550000</v>
      </c>
      <c r="Z345" s="1" t="s">
        <v>414</v>
      </c>
      <c r="AA345" s="12" t="n">
        <f aca="false">T345=W345</f>
        <v>1</v>
      </c>
    </row>
    <row r="346" customFormat="false" ht="12.8" hidden="false" customHeight="false" outlineLevel="0" collapsed="false">
      <c r="A346" s="1" t="s">
        <v>415</v>
      </c>
      <c r="B346" s="1" t="n">
        <v>561300</v>
      </c>
      <c r="C346" s="1" t="n">
        <v>178837</v>
      </c>
      <c r="D346" s="1" t="n">
        <v>141185</v>
      </c>
      <c r="E346" s="1" t="n">
        <v>107754</v>
      </c>
      <c r="F346" s="1" t="n">
        <v>247030</v>
      </c>
      <c r="G346" s="1" t="n">
        <v>190755</v>
      </c>
      <c r="H346" s="1" t="n">
        <v>144323</v>
      </c>
      <c r="I346" s="1" t="n">
        <v>385839</v>
      </c>
      <c r="J346" s="1" t="n">
        <v>248410</v>
      </c>
      <c r="K346" s="1" t="n">
        <v>176327</v>
      </c>
      <c r="L346" s="7" t="n">
        <f aca="false">(J346/G346*F346/I346)</f>
        <v>0.833751675207578</v>
      </c>
      <c r="M346" s="7" t="n">
        <f aca="false">(D346/G346*F346/C346)</f>
        <v>1.02236259171011</v>
      </c>
      <c r="N346" s="7" t="n">
        <f aca="false">(K346/H346*F346/I346)</f>
        <v>0.782216271397229</v>
      </c>
      <c r="O346" s="7" t="n">
        <f aca="false">(E346/H346*F346/C346)</f>
        <v>1.03131224776571</v>
      </c>
      <c r="P346" s="7" t="n">
        <f aca="false">(IF(L346&gt;1,L346,1/L346) - 1)*100</f>
        <v>19.9397889966496</v>
      </c>
      <c r="Q346" s="7" t="n">
        <f aca="false">(IF(M346&gt;1,M346,1/M346) - 1)*100</f>
        <v>2.23625917101131</v>
      </c>
      <c r="R346" s="7" t="n">
        <f aca="false">(IF(N346&gt;1,N346,1/N346) - 1)*100</f>
        <v>27.8418816593723</v>
      </c>
      <c r="S346" s="7" t="n">
        <f aca="false">(IF(O346&gt;1,O346,1/O346) - 1)*100</f>
        <v>3.13122477657131</v>
      </c>
      <c r="T346" s="9" t="n">
        <f aca="false">(P346+Q346) &lt; (R346+S346)</f>
        <v>1</v>
      </c>
      <c r="U346" s="10" t="n">
        <f aca="false">IF($T346,P346,R346)</f>
        <v>19.9397889966496</v>
      </c>
      <c r="V346" s="11" t="n">
        <f aca="false">IF($T346,Q346,S346)</f>
        <v>2.23625917101131</v>
      </c>
      <c r="W346" s="12" t="n">
        <f aca="false">P346 &lt; R346</f>
        <v>1</v>
      </c>
      <c r="X346" s="10" t="n">
        <f aca="false">IF($W346,P346,R346)</f>
        <v>19.9397889966496</v>
      </c>
      <c r="Y346" s="1" t="n">
        <v>561300</v>
      </c>
      <c r="Z346" s="1" t="s">
        <v>415</v>
      </c>
      <c r="AA346" s="12" t="n">
        <f aca="false">T346=W346</f>
        <v>1</v>
      </c>
    </row>
    <row r="347" customFormat="false" ht="12.8" hidden="false" customHeight="false" outlineLevel="0" collapsed="false">
      <c r="A347" s="1" t="s">
        <v>416</v>
      </c>
      <c r="B347" s="1" t="n">
        <v>561700</v>
      </c>
      <c r="C347" s="1" t="n">
        <v>139571</v>
      </c>
      <c r="D347" s="1" t="n">
        <v>86462</v>
      </c>
      <c r="E347" s="1" t="n">
        <v>50346</v>
      </c>
      <c r="F347" s="1" t="n">
        <v>139154</v>
      </c>
      <c r="G347" s="1" t="n">
        <v>82497</v>
      </c>
      <c r="H347" s="1" t="n">
        <v>53239</v>
      </c>
      <c r="I347" s="1" t="n">
        <v>193478</v>
      </c>
      <c r="J347" s="1" t="n">
        <v>99841</v>
      </c>
      <c r="K347" s="1" t="n">
        <v>75161</v>
      </c>
      <c r="L347" s="7" t="n">
        <f aca="false">(J347/G347*F347/I347)</f>
        <v>0.870432046136904</v>
      </c>
      <c r="M347" s="7" t="n">
        <f aca="false">(D347/G347*F347/C347)</f>
        <v>1.04493102992927</v>
      </c>
      <c r="N347" s="7" t="n">
        <f aca="false">(K347/H347*F347/I347)</f>
        <v>1.01537569973318</v>
      </c>
      <c r="O347" s="7" t="n">
        <f aca="false">(E347/H347*F347/C347)</f>
        <v>0.942834762349642</v>
      </c>
      <c r="P347" s="7" t="n">
        <f aca="false">(IF(L347&gt;1,L347,1/L347) - 1)*100</f>
        <v>14.8854760619322</v>
      </c>
      <c r="Q347" s="7" t="n">
        <f aca="false">(IF(M347&gt;1,M347,1/M347) - 1)*100</f>
        <v>4.49310299292733</v>
      </c>
      <c r="R347" s="7" t="n">
        <f aca="false">(IF(N347&gt;1,N347,1/N347) - 1)*100</f>
        <v>1.5375699733178</v>
      </c>
      <c r="S347" s="7" t="n">
        <f aca="false">(IF(O347&gt;1,O347,1/O347) - 1)*100</f>
        <v>6.06312367056729</v>
      </c>
      <c r="T347" s="9" t="n">
        <f aca="false">(P347+Q347) &lt; (R347+S347)</f>
        <v>0</v>
      </c>
      <c r="U347" s="10" t="n">
        <f aca="false">IF($T347,P347,R347)</f>
        <v>1.5375699733178</v>
      </c>
      <c r="V347" s="11" t="n">
        <f aca="false">IF($T347,Q347,S347)</f>
        <v>6.06312367056729</v>
      </c>
      <c r="W347" s="12" t="n">
        <f aca="false">P347 &lt; R347</f>
        <v>0</v>
      </c>
      <c r="X347" s="10" t="n">
        <f aca="false">IF($W347,P347,R347)</f>
        <v>1.5375699733178</v>
      </c>
      <c r="Y347" s="1" t="n">
        <v>561700</v>
      </c>
      <c r="Z347" s="1" t="s">
        <v>416</v>
      </c>
      <c r="AA347" s="12" t="n">
        <f aca="false">T347=W347</f>
        <v>1</v>
      </c>
    </row>
    <row r="348" customFormat="false" ht="12.8" hidden="false" customHeight="false" outlineLevel="0" collapsed="false">
      <c r="A348" s="1" t="s">
        <v>417</v>
      </c>
      <c r="B348" s="1" t="n">
        <v>561100</v>
      </c>
      <c r="C348" s="1" t="n">
        <v>45365</v>
      </c>
      <c r="D348" s="1" t="n">
        <v>30945</v>
      </c>
      <c r="E348" s="1" t="n">
        <v>30024</v>
      </c>
      <c r="F348" s="1" t="n">
        <v>48193</v>
      </c>
      <c r="G348" s="1" t="n">
        <v>27571</v>
      </c>
      <c r="H348" s="1" t="n">
        <v>26367</v>
      </c>
      <c r="I348" s="1" t="n">
        <v>64882</v>
      </c>
      <c r="J348" s="1" t="n">
        <v>41275</v>
      </c>
      <c r="K348" s="1" t="n">
        <v>38562</v>
      </c>
      <c r="L348" s="7" t="n">
        <f aca="false">(J348/G348*F348/I348)</f>
        <v>1.11197314008898</v>
      </c>
      <c r="M348" s="7" t="n">
        <f aca="false">(D348/G348*F348/C348)</f>
        <v>1.19234247566505</v>
      </c>
      <c r="N348" s="7" t="n">
        <f aca="false">(K348/H348*F348/I348)</f>
        <v>1.08632197360594</v>
      </c>
      <c r="O348" s="7" t="n">
        <f aca="false">(E348/H348*F348/C348)</f>
        <v>1.20968105415478</v>
      </c>
      <c r="P348" s="7" t="n">
        <f aca="false">(IF(L348&gt;1,L348,1/L348) - 1)*100</f>
        <v>11.1973140088977</v>
      </c>
      <c r="Q348" s="7" t="n">
        <f aca="false">(IF(M348&gt;1,M348,1/M348) - 1)*100</f>
        <v>19.2342475665055</v>
      </c>
      <c r="R348" s="7" t="n">
        <f aca="false">(IF(N348&gt;1,N348,1/N348) - 1)*100</f>
        <v>8.63219736059424</v>
      </c>
      <c r="S348" s="7" t="n">
        <f aca="false">(IF(O348&gt;1,O348,1/O348) - 1)*100</f>
        <v>20.9681054154783</v>
      </c>
      <c r="T348" s="9" t="n">
        <f aca="false">(P348+Q348) &lt; (R348+S348)</f>
        <v>0</v>
      </c>
      <c r="U348" s="10" t="n">
        <f aca="false">IF($T348,P348,R348)</f>
        <v>8.63219736059424</v>
      </c>
      <c r="V348" s="11" t="n">
        <f aca="false">IF($T348,Q348,S348)</f>
        <v>20.9681054154783</v>
      </c>
      <c r="W348" s="12" t="n">
        <f aca="false">P348 &lt; R348</f>
        <v>0</v>
      </c>
      <c r="X348" s="10" t="n">
        <f aca="false">IF($W348,P348,R348)</f>
        <v>8.63219736059424</v>
      </c>
      <c r="Y348" s="1" t="n">
        <v>561100</v>
      </c>
      <c r="Z348" s="1" t="s">
        <v>417</v>
      </c>
      <c r="AA348" s="12" t="n">
        <f aca="false">T348=W348</f>
        <v>1</v>
      </c>
    </row>
    <row r="349" customFormat="false" ht="12.8" hidden="false" customHeight="false" outlineLevel="0" collapsed="false">
      <c r="A349" s="1" t="s">
        <v>418</v>
      </c>
      <c r="B349" s="1" t="n">
        <v>561200</v>
      </c>
      <c r="C349" s="1" t="n">
        <v>27202</v>
      </c>
      <c r="D349" s="1" t="n">
        <v>15453</v>
      </c>
      <c r="E349" s="1" t="n">
        <v>9582</v>
      </c>
      <c r="F349" s="1" t="n">
        <v>26400</v>
      </c>
      <c r="G349" s="1" t="n">
        <v>13796</v>
      </c>
      <c r="H349" s="1" t="n">
        <v>8246</v>
      </c>
      <c r="I349" s="1" t="n">
        <v>29554</v>
      </c>
      <c r="J349" s="1" t="n">
        <v>13244</v>
      </c>
      <c r="K349" s="1" t="n">
        <v>8062</v>
      </c>
      <c r="L349" s="7" t="n">
        <f aca="false">(J349/G349*F349/I349)</f>
        <v>0.857538533677231</v>
      </c>
      <c r="M349" s="7" t="n">
        <f aca="false">(D349/G349*F349/C349)</f>
        <v>1.08708301320689</v>
      </c>
      <c r="N349" s="7" t="n">
        <f aca="false">(K349/H349*F349/I349)</f>
        <v>0.873347580115417</v>
      </c>
      <c r="O349" s="7" t="n">
        <f aca="false">(E349/H349*F349/C349)</f>
        <v>1.12775802623835</v>
      </c>
      <c r="P349" s="7" t="n">
        <f aca="false">(IF(L349&gt;1,L349,1/L349) - 1)*100</f>
        <v>16.6128355435967</v>
      </c>
      <c r="Q349" s="7" t="n">
        <f aca="false">(IF(M349&gt;1,M349,1/M349) - 1)*100</f>
        <v>8.70830132068854</v>
      </c>
      <c r="R349" s="7" t="n">
        <f aca="false">(IF(N349&gt;1,N349,1/N349) - 1)*100</f>
        <v>14.5019489110906</v>
      </c>
      <c r="S349" s="7" t="n">
        <f aca="false">(IF(O349&gt;1,O349,1/O349) - 1)*100</f>
        <v>12.7758026238351</v>
      </c>
      <c r="T349" s="9" t="n">
        <f aca="false">(P349+Q349) &lt; (R349+S349)</f>
        <v>1</v>
      </c>
      <c r="U349" s="10" t="n">
        <f aca="false">IF($T349,P349,R349)</f>
        <v>16.6128355435967</v>
      </c>
      <c r="V349" s="11" t="n">
        <f aca="false">IF($T349,Q349,S349)</f>
        <v>8.70830132068854</v>
      </c>
      <c r="W349" s="12" t="n">
        <f aca="false">P349 &lt; R349</f>
        <v>0</v>
      </c>
      <c r="X349" s="10" t="n">
        <f aca="false">IF($W349,P349,R349)</f>
        <v>14.5019489110906</v>
      </c>
      <c r="Y349" s="1" t="n">
        <v>561200</v>
      </c>
      <c r="Z349" s="1" t="s">
        <v>418</v>
      </c>
      <c r="AA349" s="12" t="n">
        <f aca="false">T349=W349</f>
        <v>0</v>
      </c>
    </row>
    <row r="350" customFormat="false" ht="12.8" hidden="false" customHeight="false" outlineLevel="0" collapsed="false">
      <c r="A350" s="1" t="s">
        <v>419</v>
      </c>
      <c r="B350" s="1" t="n">
        <v>561400</v>
      </c>
      <c r="C350" s="1" t="n">
        <v>69799</v>
      </c>
      <c r="D350" s="1" t="n">
        <v>44358</v>
      </c>
      <c r="E350" s="1" t="n">
        <v>36143</v>
      </c>
      <c r="F350" s="1" t="n">
        <v>67320</v>
      </c>
      <c r="G350" s="1" t="n">
        <v>38557</v>
      </c>
      <c r="H350" s="1" t="n">
        <v>30258</v>
      </c>
      <c r="I350" s="1" t="n">
        <v>79528</v>
      </c>
      <c r="J350" s="1" t="n">
        <v>42138</v>
      </c>
      <c r="K350" s="1" t="n">
        <v>33176</v>
      </c>
      <c r="L350" s="7" t="n">
        <f aca="false">(J350/G350*F350/I350)</f>
        <v>0.925112885009026</v>
      </c>
      <c r="M350" s="7" t="n">
        <f aca="false">(D350/G350*F350/C350)</f>
        <v>1.10959279450644</v>
      </c>
      <c r="N350" s="7" t="n">
        <f aca="false">(K350/H350*F350/I350)</f>
        <v>0.928127947753136</v>
      </c>
      <c r="O350" s="7" t="n">
        <f aca="false">(E350/H350*F350/C350)</f>
        <v>1.15207004827041</v>
      </c>
      <c r="P350" s="7" t="n">
        <f aca="false">(IF(L350&gt;1,L350,1/L350) - 1)*100</f>
        <v>8.09491643717004</v>
      </c>
      <c r="Q350" s="7" t="n">
        <f aca="false">(IF(M350&gt;1,M350,1/M350) - 1)*100</f>
        <v>10.9592794506439</v>
      </c>
      <c r="R350" s="7" t="n">
        <f aca="false">(IF(N350&gt;1,N350,1/N350) - 1)*100</f>
        <v>7.7437655466422</v>
      </c>
      <c r="S350" s="7" t="n">
        <f aca="false">(IF(O350&gt;1,O350,1/O350) - 1)*100</f>
        <v>15.2070048270414</v>
      </c>
      <c r="T350" s="9" t="n">
        <f aca="false">(P350+Q350) &lt; (R350+S350)</f>
        <v>1</v>
      </c>
      <c r="U350" s="10" t="n">
        <f aca="false">IF($T350,P350,R350)</f>
        <v>8.09491643717004</v>
      </c>
      <c r="V350" s="11" t="n">
        <f aca="false">IF($T350,Q350,S350)</f>
        <v>10.9592794506439</v>
      </c>
      <c r="W350" s="12" t="n">
        <f aca="false">P350 &lt; R350</f>
        <v>0</v>
      </c>
      <c r="X350" s="10" t="n">
        <f aca="false">IF($W350,P350,R350)</f>
        <v>7.7437655466422</v>
      </c>
      <c r="Y350" s="1" t="n">
        <v>561400</v>
      </c>
      <c r="Z350" s="1" t="s">
        <v>419</v>
      </c>
      <c r="AA350" s="12" t="n">
        <f aca="false">T350=W350</f>
        <v>0</v>
      </c>
    </row>
    <row r="351" customFormat="false" ht="12.8" hidden="false" customHeight="false" outlineLevel="0" collapsed="false">
      <c r="A351" s="1" t="s">
        <v>420</v>
      </c>
      <c r="B351" s="1" t="n">
        <v>561500</v>
      </c>
      <c r="C351" s="1" t="n">
        <v>39801</v>
      </c>
      <c r="D351" s="1" t="n">
        <v>19264</v>
      </c>
      <c r="E351" s="1" t="n">
        <v>12752</v>
      </c>
      <c r="F351" s="1" t="n">
        <v>37573</v>
      </c>
      <c r="G351" s="1" t="n">
        <v>18435</v>
      </c>
      <c r="H351" s="1" t="n">
        <v>11505</v>
      </c>
      <c r="I351" s="1" t="n">
        <v>58762</v>
      </c>
      <c r="J351" s="1" t="n">
        <v>25800</v>
      </c>
      <c r="K351" s="1" t="n">
        <v>17878</v>
      </c>
      <c r="L351" s="7" t="n">
        <f aca="false">(J351/G351*F351/I351)</f>
        <v>0.894861590724305</v>
      </c>
      <c r="M351" s="7" t="n">
        <f aca="false">(D351/G351*F351/C351)</f>
        <v>0.986473030148967</v>
      </c>
      <c r="N351" s="7" t="n">
        <f aca="false">(K351/H351*F351/I351)</f>
        <v>0.993600070384618</v>
      </c>
      <c r="O351" s="7" t="n">
        <f aca="false">(E351/H351*F351/C351)</f>
        <v>1.04634178680832</v>
      </c>
      <c r="P351" s="7" t="n">
        <f aca="false">(IF(L351&gt;1,L351,1/L351) - 1)*100</f>
        <v>11.7491252687017</v>
      </c>
      <c r="Q351" s="7" t="n">
        <f aca="false">(IF(M351&gt;1,M351,1/M351) - 1)*100</f>
        <v>1.37124578550212</v>
      </c>
      <c r="R351" s="7" t="n">
        <f aca="false">(IF(N351&gt;1,N351,1/N351) - 1)*100</f>
        <v>0.644115253826927</v>
      </c>
      <c r="S351" s="7" t="n">
        <f aca="false">(IF(O351&gt;1,O351,1/O351) - 1)*100</f>
        <v>4.63417868083196</v>
      </c>
      <c r="T351" s="9" t="n">
        <f aca="false">(P351+Q351) &lt; (R351+S351)</f>
        <v>0</v>
      </c>
      <c r="U351" s="10" t="n">
        <f aca="false">IF($T351,P351,R351)</f>
        <v>0.644115253826927</v>
      </c>
      <c r="V351" s="11" t="n">
        <f aca="false">IF($T351,Q351,S351)</f>
        <v>4.63417868083196</v>
      </c>
      <c r="W351" s="12" t="n">
        <f aca="false">P351 &lt; R351</f>
        <v>0</v>
      </c>
      <c r="X351" s="10" t="n">
        <f aca="false">IF($W351,P351,R351)</f>
        <v>0.644115253826927</v>
      </c>
      <c r="Y351" s="1" t="n">
        <v>561500</v>
      </c>
      <c r="Z351" s="1" t="s">
        <v>420</v>
      </c>
      <c r="AA351" s="12" t="n">
        <f aca="false">T351=W351</f>
        <v>1</v>
      </c>
    </row>
    <row r="352" customFormat="false" ht="12.8" hidden="false" customHeight="false" outlineLevel="0" collapsed="false">
      <c r="A352" s="1" t="s">
        <v>421</v>
      </c>
      <c r="B352" s="1" t="n">
        <v>561600</v>
      </c>
      <c r="C352" s="1" t="n">
        <v>44084</v>
      </c>
      <c r="D352" s="1" t="n">
        <v>30740</v>
      </c>
      <c r="E352" s="1" t="n">
        <v>26153</v>
      </c>
      <c r="F352" s="1" t="n">
        <v>50041</v>
      </c>
      <c r="G352" s="1" t="n">
        <v>33177</v>
      </c>
      <c r="H352" s="1" t="n">
        <v>27827</v>
      </c>
      <c r="I352" s="1" t="n">
        <v>66053</v>
      </c>
      <c r="J352" s="1" t="n">
        <v>42882</v>
      </c>
      <c r="K352" s="1" t="n">
        <v>37273</v>
      </c>
      <c r="L352" s="7" t="n">
        <f aca="false">(J352/G352*F352/I352)</f>
        <v>0.979199881778577</v>
      </c>
      <c r="M352" s="7" t="n">
        <f aca="false">(D352/G352*F352/C352)</f>
        <v>1.0517481010073</v>
      </c>
      <c r="N352" s="7" t="n">
        <f aca="false">(K352/H352*F352/I352)</f>
        <v>1.0147554534455</v>
      </c>
      <c r="O352" s="7" t="n">
        <f aca="false">(E352/H352*F352/C352)</f>
        <v>1.06684201733717</v>
      </c>
      <c r="P352" s="7" t="n">
        <f aca="false">(IF(L352&gt;1,L352,1/L352) - 1)*100</f>
        <v>2.12419533626194</v>
      </c>
      <c r="Q352" s="7" t="n">
        <f aca="false">(IF(M352&gt;1,M352,1/M352) - 1)*100</f>
        <v>5.17481010072984</v>
      </c>
      <c r="R352" s="7" t="n">
        <f aca="false">(IF(N352&gt;1,N352,1/N352) - 1)*100</f>
        <v>1.47554534454979</v>
      </c>
      <c r="S352" s="7" t="n">
        <f aca="false">(IF(O352&gt;1,O352,1/O352) - 1)*100</f>
        <v>6.68420173371667</v>
      </c>
      <c r="T352" s="9" t="n">
        <f aca="false">(P352+Q352) &lt; (R352+S352)</f>
        <v>1</v>
      </c>
      <c r="U352" s="10" t="n">
        <f aca="false">IF($T352,P352,R352)</f>
        <v>2.12419533626194</v>
      </c>
      <c r="V352" s="11" t="n">
        <f aca="false">IF($T352,Q352,S352)</f>
        <v>5.17481010072984</v>
      </c>
      <c r="W352" s="12" t="n">
        <f aca="false">P352 &lt; R352</f>
        <v>0</v>
      </c>
      <c r="X352" s="10" t="n">
        <f aca="false">IF($W352,P352,R352)</f>
        <v>1.47554534454979</v>
      </c>
      <c r="Y352" s="1" t="n">
        <v>561600</v>
      </c>
      <c r="Z352" s="1" t="s">
        <v>421</v>
      </c>
      <c r="AA352" s="12" t="n">
        <f aca="false">T352=W352</f>
        <v>0</v>
      </c>
    </row>
    <row r="353" customFormat="false" ht="12.8" hidden="false" customHeight="false" outlineLevel="0" collapsed="false">
      <c r="A353" s="1" t="s">
        <v>422</v>
      </c>
      <c r="B353" s="1" t="n">
        <v>561900</v>
      </c>
      <c r="C353" s="1" t="n">
        <v>40258</v>
      </c>
      <c r="D353" s="1" t="n">
        <v>22909</v>
      </c>
      <c r="E353" s="1" t="n">
        <v>16737</v>
      </c>
      <c r="F353" s="1" t="n">
        <v>41108</v>
      </c>
      <c r="G353" s="1" t="n">
        <v>22597</v>
      </c>
      <c r="H353" s="1" t="n">
        <v>15375</v>
      </c>
      <c r="I353" s="1" t="n">
        <v>55186</v>
      </c>
      <c r="J353" s="1" t="n">
        <v>29818</v>
      </c>
      <c r="K353" s="1" t="n">
        <v>22892</v>
      </c>
      <c r="L353" s="7" t="n">
        <f aca="false">(J353/G353*F353/I353)</f>
        <v>0.982935806861295</v>
      </c>
      <c r="M353" s="7" t="n">
        <f aca="false">(D353/G353*F353/C353)</f>
        <v>1.03521247989412</v>
      </c>
      <c r="N353" s="7" t="n">
        <f aca="false">(K353/H353*F353/I353)</f>
        <v>1.10908809616201</v>
      </c>
      <c r="O353" s="7" t="n">
        <f aca="false">(E353/H353*F353/C353)</f>
        <v>1.11156955684615</v>
      </c>
      <c r="P353" s="7" t="n">
        <f aca="false">(IF(L353&gt;1,L353,1/L353) - 1)*100</f>
        <v>1.73604349537271</v>
      </c>
      <c r="Q353" s="7" t="n">
        <f aca="false">(IF(M353&gt;1,M353,1/M353) - 1)*100</f>
        <v>3.52124798941151</v>
      </c>
      <c r="R353" s="7" t="n">
        <f aca="false">(IF(N353&gt;1,N353,1/N353) - 1)*100</f>
        <v>10.9088096162011</v>
      </c>
      <c r="S353" s="7" t="n">
        <f aca="false">(IF(O353&gt;1,O353,1/O353) - 1)*100</f>
        <v>11.1569556846147</v>
      </c>
      <c r="T353" s="9" t="n">
        <f aca="false">(P353+Q353) &lt; (R353+S353)</f>
        <v>1</v>
      </c>
      <c r="U353" s="10" t="n">
        <f aca="false">IF($T353,P353,R353)</f>
        <v>1.73604349537271</v>
      </c>
      <c r="V353" s="11" t="n">
        <f aca="false">IF($T353,Q353,S353)</f>
        <v>3.52124798941151</v>
      </c>
      <c r="W353" s="12" t="n">
        <f aca="false">P353 &lt; R353</f>
        <v>1</v>
      </c>
      <c r="X353" s="10" t="n">
        <f aca="false">IF($W353,P353,R353)</f>
        <v>1.73604349537271</v>
      </c>
      <c r="Y353" s="1" t="n">
        <v>561900</v>
      </c>
      <c r="Z353" s="1" t="s">
        <v>422</v>
      </c>
      <c r="AA353" s="12" t="n">
        <f aca="false">T353=W353</f>
        <v>1</v>
      </c>
    </row>
    <row r="354" customFormat="false" ht="12.8" hidden="false" customHeight="false" outlineLevel="0" collapsed="false">
      <c r="A354" s="1" t="s">
        <v>423</v>
      </c>
      <c r="B354" s="1" t="n">
        <v>562000</v>
      </c>
      <c r="C354" s="1" t="n">
        <v>75527</v>
      </c>
      <c r="D354" s="1" t="n">
        <v>34483</v>
      </c>
      <c r="E354" s="1" t="n">
        <v>20628</v>
      </c>
      <c r="F354" s="1" t="n">
        <v>82141</v>
      </c>
      <c r="G354" s="1" t="n">
        <v>41396</v>
      </c>
      <c r="H354" s="1" t="n">
        <v>24137</v>
      </c>
      <c r="I354" s="1" t="n">
        <v>113865</v>
      </c>
      <c r="J354" s="1" t="n">
        <v>51408</v>
      </c>
      <c r="K354" s="1" t="n">
        <v>30195</v>
      </c>
      <c r="L354" s="7" t="n">
        <f aca="false">(J354/G354*F354/I354)</f>
        <v>0.895863959205623</v>
      </c>
      <c r="M354" s="7" t="n">
        <f aca="false">(D354/G354*F354/C354)</f>
        <v>0.905950387598438</v>
      </c>
      <c r="N354" s="7" t="n">
        <f aca="false">(K354/H354*F354/I354)</f>
        <v>0.902446528733875</v>
      </c>
      <c r="O354" s="7" t="n">
        <f aca="false">(E354/H354*F354/C354)</f>
        <v>0.929461881704056</v>
      </c>
      <c r="P354" s="7" t="n">
        <f aca="false">(IF(L354&gt;1,L354,1/L354) - 1)*100</f>
        <v>11.624090881691</v>
      </c>
      <c r="Q354" s="7" t="n">
        <f aca="false">(IF(M354&gt;1,M354,1/M354) - 1)*100</f>
        <v>10.3813203999918</v>
      </c>
      <c r="R354" s="7" t="n">
        <f aca="false">(IF(N354&gt;1,N354,1/N354) - 1)*100</f>
        <v>10.8098893574329</v>
      </c>
      <c r="S354" s="7" t="n">
        <f aca="false">(IF(O354&gt;1,O354,1/O354) - 1)*100</f>
        <v>7.58913514200506</v>
      </c>
      <c r="T354" s="9" t="n">
        <f aca="false">(P354+Q354) &lt; (R354+S354)</f>
        <v>0</v>
      </c>
      <c r="U354" s="10" t="n">
        <f aca="false">IF($T354,P354,R354)</f>
        <v>10.8098893574329</v>
      </c>
      <c r="V354" s="11" t="n">
        <f aca="false">IF($T354,Q354,S354)</f>
        <v>7.58913514200506</v>
      </c>
      <c r="W354" s="12" t="n">
        <f aca="false">P354 &lt; R354</f>
        <v>0</v>
      </c>
      <c r="X354" s="10" t="n">
        <f aca="false">IF($W354,P354,R354)</f>
        <v>10.8098893574329</v>
      </c>
      <c r="Y354" s="1" t="n">
        <v>562000</v>
      </c>
      <c r="Z354" s="1" t="s">
        <v>423</v>
      </c>
      <c r="AA354" s="12" t="n">
        <f aca="false">T354=W354</f>
        <v>1</v>
      </c>
    </row>
    <row r="355" customFormat="false" ht="12.8" hidden="false" customHeight="false" outlineLevel="0" collapsed="false">
      <c r="A355" s="1" t="s">
        <v>424</v>
      </c>
      <c r="B355" s="1" t="n">
        <v>611100</v>
      </c>
      <c r="C355" s="1" t="n">
        <v>33783</v>
      </c>
      <c r="D355" s="1" t="n">
        <v>21653</v>
      </c>
      <c r="E355" s="1" t="n">
        <v>20115</v>
      </c>
      <c r="F355" s="1" t="n">
        <v>36040</v>
      </c>
      <c r="G355" s="1" t="n">
        <v>28526</v>
      </c>
      <c r="H355" s="1" t="n">
        <v>26446</v>
      </c>
      <c r="I355" s="1" t="n">
        <v>48099</v>
      </c>
      <c r="J355" s="1" t="n">
        <v>37035</v>
      </c>
      <c r="K355" s="1" t="n">
        <v>34563</v>
      </c>
      <c r="L355" s="7" t="n">
        <f aca="false">(J355/G355*F355/I355)</f>
        <v>0.972792483203036</v>
      </c>
      <c r="M355" s="7" t="n">
        <f aca="false">(D355/G355*F355/C355)</f>
        <v>0.809773885681442</v>
      </c>
      <c r="N355" s="7" t="n">
        <f aca="false">(K355/H355*F355/I355)</f>
        <v>0.979264865021007</v>
      </c>
      <c r="O355" s="7" t="n">
        <f aca="false">(E355/H355*F355/C355)</f>
        <v>0.811421689688638</v>
      </c>
      <c r="P355" s="7" t="n">
        <f aca="false">(IF(L355&gt;1,L355,1/L355) - 1)*100</f>
        <v>2.79684693978923</v>
      </c>
      <c r="Q355" s="7" t="n">
        <f aca="false">(IF(M355&gt;1,M355,1/M355) - 1)*100</f>
        <v>23.4912631392748</v>
      </c>
      <c r="R355" s="7" t="n">
        <f aca="false">(IF(N355&gt;1,N355,1/N355) - 1)*100</f>
        <v>2.11741845537863</v>
      </c>
      <c r="S355" s="7" t="n">
        <f aca="false">(IF(O355&gt;1,O355,1/O355) - 1)*100</f>
        <v>23.2404818244042</v>
      </c>
      <c r="T355" s="9" t="n">
        <f aca="false">(P355+Q355) &lt; (R355+S355)</f>
        <v>0</v>
      </c>
      <c r="U355" s="10" t="n">
        <f aca="false">IF($T355,P355,R355)</f>
        <v>2.11741845537863</v>
      </c>
      <c r="V355" s="11" t="n">
        <f aca="false">IF($T355,Q355,S355)</f>
        <v>23.2404818244042</v>
      </c>
      <c r="W355" s="12" t="n">
        <f aca="false">P355 &lt; R355</f>
        <v>0</v>
      </c>
      <c r="X355" s="10" t="n">
        <f aca="false">IF($W355,P355,R355)</f>
        <v>2.11741845537863</v>
      </c>
      <c r="Y355" s="1" t="n">
        <v>611100</v>
      </c>
      <c r="Z355" s="1" t="s">
        <v>424</v>
      </c>
      <c r="AA355" s="12" t="n">
        <f aca="false">T355=W355</f>
        <v>1</v>
      </c>
    </row>
    <row r="356" customFormat="false" ht="12.8" hidden="false" customHeight="false" outlineLevel="0" collapsed="false">
      <c r="A356" s="1" t="s">
        <v>425</v>
      </c>
      <c r="B356" s="1" t="s">
        <v>426</v>
      </c>
      <c r="C356" s="1" t="n">
        <v>148227</v>
      </c>
      <c r="D356" s="1" t="n">
        <v>104251</v>
      </c>
      <c r="E356" s="1" t="n">
        <v>77876</v>
      </c>
      <c r="F356" s="1" t="n">
        <v>209404</v>
      </c>
      <c r="G356" s="1" t="n">
        <v>152972</v>
      </c>
      <c r="H356" s="1" t="n">
        <v>106050</v>
      </c>
      <c r="I356" s="1" t="n">
        <v>233920</v>
      </c>
      <c r="J356" s="1" t="n">
        <v>168584</v>
      </c>
      <c r="K356" s="1" t="n">
        <v>121810</v>
      </c>
      <c r="L356" s="7" t="n">
        <f aca="false">(J356/G356*F356/I356)</f>
        <v>0.986556647635201</v>
      </c>
      <c r="M356" s="7" t="n">
        <f aca="false">(D356/G356*F356/C356)</f>
        <v>0.962777514907499</v>
      </c>
      <c r="N356" s="7" t="n">
        <f aca="false">(K356/H356*F356/I356)</f>
        <v>1.02822909430869</v>
      </c>
      <c r="O356" s="7" t="n">
        <f aca="false">(E356/H356*F356/C356)</f>
        <v>1.03741044886851</v>
      </c>
      <c r="P356" s="7" t="n">
        <f aca="false">(IF(L356&gt;1,L356,1/L356) - 1)*100</f>
        <v>1.36265387264107</v>
      </c>
      <c r="Q356" s="7" t="n">
        <f aca="false">(IF(M356&gt;1,M356,1/M356) - 1)*100</f>
        <v>3.86615646046504</v>
      </c>
      <c r="R356" s="7" t="n">
        <f aca="false">(IF(N356&gt;1,N356,1/N356) - 1)*100</f>
        <v>2.82290943086883</v>
      </c>
      <c r="S356" s="7" t="n">
        <f aca="false">(IF(O356&gt;1,O356,1/O356) - 1)*100</f>
        <v>3.7410448868505</v>
      </c>
      <c r="T356" s="9" t="n">
        <f aca="false">(P356+Q356) &lt; (R356+S356)</f>
        <v>1</v>
      </c>
      <c r="U356" s="10" t="n">
        <f aca="false">IF($T356,P356,R356)</f>
        <v>1.36265387264107</v>
      </c>
      <c r="V356" s="11" t="n">
        <f aca="false">IF($T356,Q356,S356)</f>
        <v>3.86615646046504</v>
      </c>
      <c r="W356" s="12" t="n">
        <f aca="false">P356 &lt; R356</f>
        <v>1</v>
      </c>
      <c r="X356" s="10" t="n">
        <f aca="false">IF($W356,P356,R356)</f>
        <v>1.36265387264107</v>
      </c>
      <c r="Y356" s="1" t="s">
        <v>426</v>
      </c>
      <c r="Z356" s="1" t="s">
        <v>425</v>
      </c>
      <c r="AA356" s="12" t="n">
        <f aca="false">T356=W356</f>
        <v>1</v>
      </c>
    </row>
    <row r="357" customFormat="false" ht="12.8" hidden="false" customHeight="false" outlineLevel="0" collapsed="false">
      <c r="A357" s="1" t="s">
        <v>427</v>
      </c>
      <c r="B357" s="1" t="s">
        <v>428</v>
      </c>
      <c r="C357" s="1" t="n">
        <v>54061</v>
      </c>
      <c r="D357" s="1" t="n">
        <v>25069</v>
      </c>
      <c r="E357" s="1" t="n">
        <v>22880</v>
      </c>
      <c r="F357" s="1" t="n">
        <v>63430</v>
      </c>
      <c r="G357" s="1" t="n">
        <v>31956</v>
      </c>
      <c r="H357" s="1" t="n">
        <v>28902</v>
      </c>
      <c r="I357" s="1" t="n">
        <v>74574</v>
      </c>
      <c r="J357" s="1" t="n">
        <v>39092</v>
      </c>
      <c r="K357" s="1" t="n">
        <v>36048</v>
      </c>
      <c r="L357" s="7" t="n">
        <f aca="false">(J357/G357*F357/I357)</f>
        <v>1.04050159577406</v>
      </c>
      <c r="M357" s="7" t="n">
        <f aca="false">(D357/G357*F357/C357)</f>
        <v>0.920439471525155</v>
      </c>
      <c r="N357" s="7" t="n">
        <f aca="false">(K357/H357*F357/I357)</f>
        <v>1.0608660485447</v>
      </c>
      <c r="O357" s="7" t="n">
        <f aca="false">(E357/H357*F357/C357)</f>
        <v>0.928835402107061</v>
      </c>
      <c r="P357" s="7" t="n">
        <f aca="false">(IF(L357&gt;1,L357,1/L357) - 1)*100</f>
        <v>4.05015957740562</v>
      </c>
      <c r="Q357" s="7" t="n">
        <f aca="false">(IF(M357&gt;1,M357,1/M357) - 1)*100</f>
        <v>8.64375452554356</v>
      </c>
      <c r="R357" s="7" t="n">
        <f aca="false">(IF(N357&gt;1,N357,1/N357) - 1)*100</f>
        <v>6.08660485447035</v>
      </c>
      <c r="S357" s="7" t="n">
        <f aca="false">(IF(O357&gt;1,O357,1/O357) - 1)*100</f>
        <v>7.66170171071243</v>
      </c>
      <c r="T357" s="9" t="n">
        <f aca="false">(P357+Q357) &lt; (R357+S357)</f>
        <v>1</v>
      </c>
      <c r="U357" s="10" t="n">
        <f aca="false">IF($T357,P357,R357)</f>
        <v>4.05015957740562</v>
      </c>
      <c r="V357" s="11" t="n">
        <f aca="false">IF($T357,Q357,S357)</f>
        <v>8.64375452554356</v>
      </c>
      <c r="W357" s="12" t="n">
        <f aca="false">P357 &lt; R357</f>
        <v>1</v>
      </c>
      <c r="X357" s="10" t="n">
        <f aca="false">IF($W357,P357,R357)</f>
        <v>4.05015957740562</v>
      </c>
      <c r="Y357" s="1" t="s">
        <v>428</v>
      </c>
      <c r="Z357" s="1" t="s">
        <v>427</v>
      </c>
      <c r="AA357" s="12" t="n">
        <f aca="false">T357=W357</f>
        <v>1</v>
      </c>
    </row>
    <row r="358" customFormat="false" ht="12.8" hidden="false" customHeight="false" outlineLevel="0" collapsed="false">
      <c r="A358" s="1" t="s">
        <v>429</v>
      </c>
      <c r="B358" s="1" t="n">
        <v>621100</v>
      </c>
      <c r="C358" s="1" t="n">
        <v>351617</v>
      </c>
      <c r="D358" s="1" t="n">
        <v>220996</v>
      </c>
      <c r="E358" s="1" t="n">
        <v>192740</v>
      </c>
      <c r="F358" s="1" t="n">
        <v>418761</v>
      </c>
      <c r="G358" s="1" t="n">
        <v>282760</v>
      </c>
      <c r="H358" s="1" t="n">
        <v>251407</v>
      </c>
      <c r="I358" s="1" t="n">
        <v>494361</v>
      </c>
      <c r="J358" s="1" t="n">
        <v>307608</v>
      </c>
      <c r="K358" s="1" t="n">
        <v>279251</v>
      </c>
      <c r="L358" s="7" t="n">
        <f aca="false">(J358/G358*F358/I358)</f>
        <v>0.921513451767458</v>
      </c>
      <c r="M358" s="7" t="n">
        <f aca="false">(D358/G358*F358/C358)</f>
        <v>0.930813780101105</v>
      </c>
      <c r="N358" s="7" t="n">
        <f aca="false">(K358/H358*F358/I358)</f>
        <v>0.940891180049742</v>
      </c>
      <c r="O358" s="7" t="n">
        <f aca="false">(E358/H358*F358/C358)</f>
        <v>0.913042204746695</v>
      </c>
      <c r="P358" s="7" t="n">
        <f aca="false">(IF(L358&gt;1,L358,1/L358) - 1)*100</f>
        <v>8.5171353800648</v>
      </c>
      <c r="Q358" s="7" t="n">
        <f aca="false">(IF(M358&gt;1,M358,1/M358) - 1)*100</f>
        <v>7.43287447800571</v>
      </c>
      <c r="R358" s="7" t="n">
        <f aca="false">(IF(N358&gt;1,N358,1/N358) - 1)*100</f>
        <v>6.28221639266866</v>
      </c>
      <c r="S358" s="7" t="n">
        <f aca="false">(IF(O358&gt;1,O358,1/O358) - 1)*100</f>
        <v>9.52396228796781</v>
      </c>
      <c r="T358" s="9" t="n">
        <f aca="false">(P358+Q358) &lt; (R358+S358)</f>
        <v>0</v>
      </c>
      <c r="U358" s="10" t="n">
        <f aca="false">IF($T358,P358,R358)</f>
        <v>6.28221639266866</v>
      </c>
      <c r="V358" s="11" t="n">
        <f aca="false">IF($T358,Q358,S358)</f>
        <v>9.52396228796781</v>
      </c>
      <c r="W358" s="12" t="n">
        <f aca="false">P358 &lt; R358</f>
        <v>0</v>
      </c>
      <c r="X358" s="10" t="n">
        <f aca="false">IF($W358,P358,R358)</f>
        <v>6.28221639266866</v>
      </c>
      <c r="Y358" s="1" t="n">
        <v>621100</v>
      </c>
      <c r="Z358" s="1" t="s">
        <v>429</v>
      </c>
      <c r="AA358" s="12" t="n">
        <f aca="false">T358=W358</f>
        <v>1</v>
      </c>
    </row>
    <row r="359" customFormat="false" ht="12.8" hidden="false" customHeight="false" outlineLevel="0" collapsed="false">
      <c r="A359" s="1" t="s">
        <v>430</v>
      </c>
      <c r="B359" s="1" t="n">
        <v>621200</v>
      </c>
      <c r="C359" s="1" t="n">
        <v>97433</v>
      </c>
      <c r="D359" s="1" t="n">
        <v>60941</v>
      </c>
      <c r="E359" s="1" t="n">
        <v>41960</v>
      </c>
      <c r="F359" s="1" t="n">
        <v>107515</v>
      </c>
      <c r="G359" s="1" t="n">
        <v>70842</v>
      </c>
      <c r="H359" s="1" t="n">
        <v>49184</v>
      </c>
      <c r="I359" s="1" t="n">
        <v>129727</v>
      </c>
      <c r="J359" s="1" t="n">
        <v>99222</v>
      </c>
      <c r="K359" s="1" t="n">
        <v>57872</v>
      </c>
      <c r="L359" s="7" t="n">
        <f aca="false">(J359/G359*F359/I359)</f>
        <v>1.16079585189893</v>
      </c>
      <c r="M359" s="7" t="n">
        <f aca="false">(D359/G359*F359/C359)</f>
        <v>0.949252494765265</v>
      </c>
      <c r="N359" s="7" t="n">
        <f aca="false">(K359/H359*F359/I359)</f>
        <v>0.97517673105213</v>
      </c>
      <c r="O359" s="7" t="n">
        <f aca="false">(E359/H359*F359/C359)</f>
        <v>0.941400919375249</v>
      </c>
      <c r="P359" s="7" t="n">
        <f aca="false">(IF(L359&gt;1,L359,1/L359) - 1)*100</f>
        <v>16.0795851898926</v>
      </c>
      <c r="Q359" s="7" t="n">
        <f aca="false">(IF(M359&gt;1,M359,1/M359) - 1)*100</f>
        <v>5.34604918233941</v>
      </c>
      <c r="R359" s="7" t="n">
        <f aca="false">(IF(N359&gt;1,N359,1/N359) - 1)*100</f>
        <v>2.54551489565256</v>
      </c>
      <c r="S359" s="7" t="n">
        <f aca="false">(IF(O359&gt;1,O359,1/O359) - 1)*100</f>
        <v>6.22466787727802</v>
      </c>
      <c r="T359" s="9" t="n">
        <f aca="false">(P359+Q359) &lt; (R359+S359)</f>
        <v>0</v>
      </c>
      <c r="U359" s="10" t="n">
        <f aca="false">IF($T359,P359,R359)</f>
        <v>2.54551489565256</v>
      </c>
      <c r="V359" s="11" t="n">
        <f aca="false">IF($T359,Q359,S359)</f>
        <v>6.22466787727802</v>
      </c>
      <c r="W359" s="12" t="n">
        <f aca="false">P359 &lt; R359</f>
        <v>0</v>
      </c>
      <c r="X359" s="10" t="n">
        <f aca="false">IF($W359,P359,R359)</f>
        <v>2.54551489565256</v>
      </c>
      <c r="Y359" s="1" t="n">
        <v>621200</v>
      </c>
      <c r="Z359" s="1" t="s">
        <v>430</v>
      </c>
      <c r="AA359" s="12" t="n">
        <f aca="false">T359=W359</f>
        <v>1</v>
      </c>
    </row>
    <row r="360" customFormat="false" ht="12.8" hidden="false" customHeight="false" outlineLevel="0" collapsed="false">
      <c r="A360" s="1" t="s">
        <v>431</v>
      </c>
      <c r="B360" s="1" t="n">
        <v>621300</v>
      </c>
      <c r="C360" s="1" t="n">
        <v>65349</v>
      </c>
      <c r="D360" s="1" t="n">
        <v>44090</v>
      </c>
      <c r="E360" s="1" t="n">
        <v>28031</v>
      </c>
      <c r="F360" s="1" t="n">
        <v>86691</v>
      </c>
      <c r="G360" s="1" t="n">
        <v>59502</v>
      </c>
      <c r="H360" s="1" t="n">
        <v>35653</v>
      </c>
      <c r="I360" s="1" t="n">
        <v>103796</v>
      </c>
      <c r="J360" s="1" t="n">
        <v>77662</v>
      </c>
      <c r="K360" s="1" t="n">
        <v>43302</v>
      </c>
      <c r="L360" s="7" t="n">
        <f aca="false">(J360/G360*F360/I360)</f>
        <v>1.09011019738522</v>
      </c>
      <c r="M360" s="7" t="n">
        <f aca="false">(D360/G360*F360/C360)</f>
        <v>0.982977555622021</v>
      </c>
      <c r="N360" s="7" t="n">
        <f aca="false">(K360/H360*F360/I360)</f>
        <v>1.01439073010116</v>
      </c>
      <c r="O360" s="7" t="n">
        <f aca="false">(E360/H360*F360/C360)</f>
        <v>1.04298383803313</v>
      </c>
      <c r="P360" s="7" t="n">
        <f aca="false">(IF(L360&gt;1,L360,1/L360) - 1)*100</f>
        <v>9.01101973852239</v>
      </c>
      <c r="Q360" s="7" t="n">
        <f aca="false">(IF(M360&gt;1,M360,1/M360) - 1)*100</f>
        <v>1.73172258925154</v>
      </c>
      <c r="R360" s="7" t="n">
        <f aca="false">(IF(N360&gt;1,N360,1/N360) - 1)*100</f>
        <v>1.43907301011623</v>
      </c>
      <c r="S360" s="7" t="n">
        <f aca="false">(IF(O360&gt;1,O360,1/O360) - 1)*100</f>
        <v>4.29838380331311</v>
      </c>
      <c r="T360" s="9" t="n">
        <f aca="false">(P360+Q360) &lt; (R360+S360)</f>
        <v>0</v>
      </c>
      <c r="U360" s="10" t="n">
        <f aca="false">IF($T360,P360,R360)</f>
        <v>1.43907301011623</v>
      </c>
      <c r="V360" s="11" t="n">
        <f aca="false">IF($T360,Q360,S360)</f>
        <v>4.29838380331311</v>
      </c>
      <c r="W360" s="12" t="n">
        <f aca="false">P360 &lt; R360</f>
        <v>0</v>
      </c>
      <c r="X360" s="10" t="n">
        <f aca="false">IF($W360,P360,R360)</f>
        <v>1.43907301011623</v>
      </c>
      <c r="Y360" s="1" t="n">
        <v>621300</v>
      </c>
      <c r="Z360" s="1" t="s">
        <v>431</v>
      </c>
      <c r="AA360" s="12" t="n">
        <f aca="false">T360=W360</f>
        <v>1</v>
      </c>
    </row>
    <row r="361" customFormat="false" ht="12.8" hidden="false" customHeight="false" outlineLevel="0" collapsed="false">
      <c r="A361" s="1" t="s">
        <v>432</v>
      </c>
      <c r="B361" s="1" t="n">
        <v>621400</v>
      </c>
      <c r="C361" s="1" t="n">
        <v>71708</v>
      </c>
      <c r="D361" s="1" t="n">
        <v>39269</v>
      </c>
      <c r="E361" s="1" t="n">
        <v>24233</v>
      </c>
      <c r="F361" s="1" t="n">
        <v>100251</v>
      </c>
      <c r="G361" s="1" t="n">
        <v>56862</v>
      </c>
      <c r="H361" s="1" t="n">
        <v>21202</v>
      </c>
      <c r="I361" s="1" t="n">
        <v>163091</v>
      </c>
      <c r="J361" s="1" t="n">
        <v>100737</v>
      </c>
      <c r="K361" s="1" t="n">
        <v>73909</v>
      </c>
      <c r="L361" s="7" t="n">
        <f aca="false">(J361/G361*F361/I361)</f>
        <v>1.0889942833551</v>
      </c>
      <c r="M361" s="7" t="n">
        <f aca="false">(D361/G361*F361/C361)</f>
        <v>0.965492299915702</v>
      </c>
      <c r="N361" s="7" t="n">
        <f aca="false">(K361/H361*F361/I361)</f>
        <v>2.14278804069429</v>
      </c>
      <c r="O361" s="7" t="n">
        <f aca="false">(E361/H361*F361/C361)</f>
        <v>1.59790683968361</v>
      </c>
      <c r="P361" s="7" t="n">
        <f aca="false">(IF(L361&gt;1,L361,1/L361) - 1)*100</f>
        <v>8.89942833551005</v>
      </c>
      <c r="Q361" s="7" t="n">
        <f aca="false">(IF(M361&gt;1,M361,1/M361) - 1)*100</f>
        <v>3.57410412152541</v>
      </c>
      <c r="R361" s="7" t="n">
        <f aca="false">(IF(N361&gt;1,N361,1/N361) - 1)*100</f>
        <v>114.278804069429</v>
      </c>
      <c r="S361" s="7" t="n">
        <f aca="false">(IF(O361&gt;1,O361,1/O361) - 1)*100</f>
        <v>59.7906839683607</v>
      </c>
      <c r="T361" s="9" t="n">
        <f aca="false">(P361+Q361) &lt; (R361+S361)</f>
        <v>1</v>
      </c>
      <c r="U361" s="10" t="n">
        <f aca="false">IF($T361,P361,R361)</f>
        <v>8.89942833551005</v>
      </c>
      <c r="V361" s="11" t="n">
        <f aca="false">IF($T361,Q361,S361)</f>
        <v>3.57410412152541</v>
      </c>
      <c r="W361" s="12" t="n">
        <f aca="false">P361 &lt; R361</f>
        <v>1</v>
      </c>
      <c r="X361" s="10" t="n">
        <f aca="false">IF($W361,P361,R361)</f>
        <v>8.89942833551005</v>
      </c>
      <c r="Y361" s="1" t="n">
        <v>621400</v>
      </c>
      <c r="Z361" s="1" t="s">
        <v>432</v>
      </c>
      <c r="AA361" s="12" t="n">
        <f aca="false">T361=W361</f>
        <v>1</v>
      </c>
    </row>
    <row r="362" customFormat="false" ht="12.8" hidden="false" customHeight="false" outlineLevel="0" collapsed="false">
      <c r="A362" s="1" t="s">
        <v>433</v>
      </c>
      <c r="B362" s="1" t="n">
        <v>621500</v>
      </c>
      <c r="C362" s="1" t="n">
        <v>37611</v>
      </c>
      <c r="D362" s="1" t="n">
        <v>25744</v>
      </c>
      <c r="E362" s="1" t="n">
        <v>17570</v>
      </c>
      <c r="F362" s="1" t="n">
        <v>52194</v>
      </c>
      <c r="G362" s="1" t="n">
        <v>33850</v>
      </c>
      <c r="H362" s="1" t="n">
        <v>21135</v>
      </c>
      <c r="I362" s="1" t="n">
        <v>55022</v>
      </c>
      <c r="J362" s="1" t="n">
        <v>39559</v>
      </c>
      <c r="K362" s="1" t="n">
        <v>20867</v>
      </c>
      <c r="L362" s="7" t="n">
        <f aca="false">(J362/G362*F362/I362)</f>
        <v>1.10858970283244</v>
      </c>
      <c r="M362" s="7" t="n">
        <f aca="false">(D362/G362*F362/C362)</f>
        <v>1.05541449480881</v>
      </c>
      <c r="N362" s="7" t="n">
        <f aca="false">(K362/H362*F362/I362)</f>
        <v>0.936573731046971</v>
      </c>
      <c r="O362" s="7" t="n">
        <f aca="false">(E362/H362*F362/C362)</f>
        <v>1.15365302711544</v>
      </c>
      <c r="P362" s="7" t="n">
        <f aca="false">(IF(L362&gt;1,L362,1/L362) - 1)*100</f>
        <v>10.8589702832443</v>
      </c>
      <c r="Q362" s="7" t="n">
        <f aca="false">(IF(M362&gt;1,M362,1/M362) - 1)*100</f>
        <v>5.54144948088078</v>
      </c>
      <c r="R362" s="7" t="n">
        <f aca="false">(IF(N362&gt;1,N362,1/N362) - 1)*100</f>
        <v>6.77215971903533</v>
      </c>
      <c r="S362" s="7" t="n">
        <f aca="false">(IF(O362&gt;1,O362,1/O362) - 1)*100</f>
        <v>15.3653027115442</v>
      </c>
      <c r="T362" s="9" t="n">
        <f aca="false">(P362+Q362) &lt; (R362+S362)</f>
        <v>1</v>
      </c>
      <c r="U362" s="10" t="n">
        <f aca="false">IF($T362,P362,R362)</f>
        <v>10.8589702832443</v>
      </c>
      <c r="V362" s="11" t="n">
        <f aca="false">IF($T362,Q362,S362)</f>
        <v>5.54144948088078</v>
      </c>
      <c r="W362" s="12" t="n">
        <f aca="false">P362 &lt; R362</f>
        <v>0</v>
      </c>
      <c r="X362" s="10" t="n">
        <f aca="false">IF($W362,P362,R362)</f>
        <v>6.77215971903533</v>
      </c>
      <c r="Y362" s="1" t="n">
        <v>621500</v>
      </c>
      <c r="Z362" s="1" t="s">
        <v>433</v>
      </c>
      <c r="AA362" s="12" t="n">
        <f aca="false">T362=W362</f>
        <v>0</v>
      </c>
    </row>
    <row r="363" customFormat="false" ht="12.8" hidden="false" customHeight="false" outlineLevel="0" collapsed="false">
      <c r="A363" s="1" t="s">
        <v>434</v>
      </c>
      <c r="B363" s="1" t="n">
        <v>621600</v>
      </c>
      <c r="C363" s="1" t="n">
        <v>50634</v>
      </c>
      <c r="D363" s="1" t="n">
        <v>33091</v>
      </c>
      <c r="E363" s="1" t="n">
        <v>28694</v>
      </c>
      <c r="F363" s="1" t="n">
        <v>69940</v>
      </c>
      <c r="G363" s="1" t="n">
        <v>50300</v>
      </c>
      <c r="H363" s="1" t="n">
        <v>42439</v>
      </c>
      <c r="I363" s="1" t="n">
        <v>90118</v>
      </c>
      <c r="J363" s="1" t="n">
        <v>65163</v>
      </c>
      <c r="K363" s="1" t="n">
        <v>52907</v>
      </c>
      <c r="L363" s="7" t="n">
        <f aca="false">(J363/G363*F363/I363)</f>
        <v>1.00541918598708</v>
      </c>
      <c r="M363" s="7" t="n">
        <f aca="false">(D363/G363*F363/C363)</f>
        <v>0.908709978938236</v>
      </c>
      <c r="N363" s="7" t="n">
        <f aca="false">(K363/H363*F363/I363)</f>
        <v>0.967524736860932</v>
      </c>
      <c r="O363" s="7" t="n">
        <f aca="false">(E363/H363*F363/C363)</f>
        <v>0.933919283349984</v>
      </c>
      <c r="P363" s="7" t="n">
        <f aca="false">(IF(L363&gt;1,L363,1/L363) - 1)*100</f>
        <v>0.54191859870758</v>
      </c>
      <c r="Q363" s="7" t="n">
        <f aca="false">(IF(M363&gt;1,M363,1/M363) - 1)*100</f>
        <v>10.0461118704154</v>
      </c>
      <c r="R363" s="7" t="n">
        <f aca="false">(IF(N363&gt;1,N363,1/N363) - 1)*100</f>
        <v>3.35653052597205</v>
      </c>
      <c r="S363" s="7" t="n">
        <f aca="false">(IF(O363&gt;1,O363,1/O363) - 1)*100</f>
        <v>7.07563467508487</v>
      </c>
      <c r="T363" s="9" t="n">
        <f aca="false">(P363+Q363) &lt; (R363+S363)</f>
        <v>0</v>
      </c>
      <c r="U363" s="10" t="n">
        <f aca="false">IF($T363,P363,R363)</f>
        <v>3.35653052597205</v>
      </c>
      <c r="V363" s="11" t="n">
        <f aca="false">IF($T363,Q363,S363)</f>
        <v>7.07563467508487</v>
      </c>
      <c r="W363" s="12" t="n">
        <f aca="false">P363 &lt; R363</f>
        <v>1</v>
      </c>
      <c r="X363" s="10" t="n">
        <f aca="false">IF($W363,P363,R363)</f>
        <v>0.54191859870758</v>
      </c>
      <c r="Y363" s="1" t="n">
        <v>621600</v>
      </c>
      <c r="Z363" s="1" t="s">
        <v>434</v>
      </c>
      <c r="AA363" s="12" t="n">
        <f aca="false">T363=W363</f>
        <v>0</v>
      </c>
    </row>
    <row r="364" customFormat="false" ht="12.8" hidden="false" customHeight="false" outlineLevel="0" collapsed="false">
      <c r="A364" s="1" t="s">
        <v>435</v>
      </c>
      <c r="B364" s="1" t="n">
        <v>621900</v>
      </c>
      <c r="C364" s="1" t="n">
        <v>32764</v>
      </c>
      <c r="D364" s="1" t="n">
        <v>17402</v>
      </c>
      <c r="E364" s="1" t="n">
        <v>13186</v>
      </c>
      <c r="F364" s="1" t="n">
        <v>32765</v>
      </c>
      <c r="G364" s="1" t="n">
        <v>19362</v>
      </c>
      <c r="H364" s="1" t="n">
        <v>14719</v>
      </c>
      <c r="I364" s="1" t="n">
        <v>34752</v>
      </c>
      <c r="J364" s="1" t="n">
        <v>18234</v>
      </c>
      <c r="K364" s="1" t="n">
        <v>17101</v>
      </c>
      <c r="L364" s="7" t="n">
        <f aca="false">(J364/G364*F364/I364)</f>
        <v>0.887896008000521</v>
      </c>
      <c r="M364" s="7" t="n">
        <f aca="false">(D364/G364*F364/C364)</f>
        <v>0.898798219798055</v>
      </c>
      <c r="N364" s="7" t="n">
        <f aca="false">(K364/H364*F364/I364)</f>
        <v>1.0954021030966</v>
      </c>
      <c r="O364" s="7" t="n">
        <f aca="false">(E364/H364*F364/C364)</f>
        <v>0.895876245255305</v>
      </c>
      <c r="P364" s="7" t="n">
        <f aca="false">(IF(L364&gt;1,L364,1/L364) - 1)*100</f>
        <v>12.6258020071438</v>
      </c>
      <c r="Q364" s="7" t="n">
        <f aca="false">(IF(M364&gt;1,M364,1/M364) - 1)*100</f>
        <v>11.2596774195529</v>
      </c>
      <c r="R364" s="7" t="n">
        <f aca="false">(IF(N364&gt;1,N364,1/N364) - 1)*100</f>
        <v>9.54021030965977</v>
      </c>
      <c r="S364" s="7" t="n">
        <f aca="false">(IF(O364&gt;1,O364,1/O364) - 1)*100</f>
        <v>11.622560068553</v>
      </c>
      <c r="T364" s="9" t="n">
        <f aca="false">(P364+Q364) &lt; (R364+S364)</f>
        <v>0</v>
      </c>
      <c r="U364" s="10" t="n">
        <f aca="false">IF($T364,P364,R364)</f>
        <v>9.54021030965977</v>
      </c>
      <c r="V364" s="11" t="n">
        <f aca="false">IF($T364,Q364,S364)</f>
        <v>11.622560068553</v>
      </c>
      <c r="W364" s="12" t="n">
        <f aca="false">P364 &lt; R364</f>
        <v>0</v>
      </c>
      <c r="X364" s="10" t="n">
        <f aca="false">IF($W364,P364,R364)</f>
        <v>9.54021030965977</v>
      </c>
      <c r="Y364" s="1" t="n">
        <v>621900</v>
      </c>
      <c r="Z364" s="1" t="s">
        <v>435</v>
      </c>
      <c r="AA364" s="12" t="n">
        <f aca="false">T364=W364</f>
        <v>1</v>
      </c>
    </row>
    <row r="365" customFormat="false" ht="12.8" hidden="false" customHeight="false" outlineLevel="0" collapsed="false">
      <c r="A365" s="1" t="s">
        <v>436</v>
      </c>
      <c r="B365" s="1" t="n">
        <v>622000</v>
      </c>
      <c r="C365" s="1" t="n">
        <v>528604</v>
      </c>
      <c r="D365" s="1" t="n">
        <v>309308</v>
      </c>
      <c r="E365" s="1" t="n">
        <v>267770</v>
      </c>
      <c r="F365" s="1" t="n">
        <v>710123</v>
      </c>
      <c r="G365" s="1" t="n">
        <v>399215</v>
      </c>
      <c r="H365" s="1" t="n">
        <v>329833</v>
      </c>
      <c r="I365" s="1" t="n">
        <v>843933</v>
      </c>
      <c r="J365" s="1" t="n">
        <v>483915</v>
      </c>
      <c r="K365" s="1" t="n">
        <v>396274</v>
      </c>
      <c r="L365" s="7" t="n">
        <f aca="false">(J365/G365*F365/I365)</f>
        <v>1.01997104484501</v>
      </c>
      <c r="M365" s="7" t="n">
        <f aca="false">(D365/G365*F365/C365)</f>
        <v>1.04084829661615</v>
      </c>
      <c r="N365" s="7" t="n">
        <f aca="false">(K365/H365*F365/I365)</f>
        <v>1.01094396413705</v>
      </c>
      <c r="O365" s="7" t="n">
        <f aca="false">(E365/H365*F365/C365)</f>
        <v>1.09061369690825</v>
      </c>
      <c r="P365" s="7" t="n">
        <f aca="false">(IF(L365&gt;1,L365,1/L365) - 1)*100</f>
        <v>1.9971044845013</v>
      </c>
      <c r="Q365" s="7" t="n">
        <f aca="false">(IF(M365&gt;1,M365,1/M365) - 1)*100</f>
        <v>4.08482966161474</v>
      </c>
      <c r="R365" s="7" t="n">
        <f aca="false">(IF(N365&gt;1,N365,1/N365) - 1)*100</f>
        <v>1.09439641370539</v>
      </c>
      <c r="S365" s="7" t="n">
        <f aca="false">(IF(O365&gt;1,O365,1/O365) - 1)*100</f>
        <v>9.06136969082485</v>
      </c>
      <c r="T365" s="9" t="n">
        <f aca="false">(P365+Q365) &lt; (R365+S365)</f>
        <v>1</v>
      </c>
      <c r="U365" s="10" t="n">
        <f aca="false">IF($T365,P365,R365)</f>
        <v>1.9971044845013</v>
      </c>
      <c r="V365" s="11" t="n">
        <f aca="false">IF($T365,Q365,S365)</f>
        <v>4.08482966161474</v>
      </c>
      <c r="W365" s="12" t="n">
        <f aca="false">P365 &lt; R365</f>
        <v>0</v>
      </c>
      <c r="X365" s="10" t="n">
        <f aca="false">IF($W365,P365,R365)</f>
        <v>1.09439641370539</v>
      </c>
      <c r="Y365" s="1" t="n">
        <v>622000</v>
      </c>
      <c r="Z365" s="1" t="s">
        <v>436</v>
      </c>
      <c r="AA365" s="12" t="n">
        <f aca="false">T365=W365</f>
        <v>0</v>
      </c>
    </row>
    <row r="366" customFormat="false" ht="12.8" hidden="false" customHeight="false" outlineLevel="0" collapsed="false">
      <c r="A366" s="1" t="s">
        <v>437</v>
      </c>
      <c r="B366" s="1" t="s">
        <v>438</v>
      </c>
      <c r="C366" s="1" t="n">
        <v>136306</v>
      </c>
      <c r="D366" s="1" t="n">
        <v>78875</v>
      </c>
      <c r="E366" s="1" t="n">
        <v>73893</v>
      </c>
      <c r="F366" s="1" t="n">
        <v>165775</v>
      </c>
      <c r="G366" s="1" t="n">
        <v>97350</v>
      </c>
      <c r="H366" s="1" t="n">
        <v>88771</v>
      </c>
      <c r="I366" s="1" t="n">
        <v>186186</v>
      </c>
      <c r="J366" s="1" t="n">
        <v>108223</v>
      </c>
      <c r="K366" s="1" t="n">
        <v>98255</v>
      </c>
      <c r="L366" s="7" t="n">
        <f aca="false">(J366/G366*F366/I366)</f>
        <v>0.989818639092957</v>
      </c>
      <c r="M366" s="7" t="n">
        <f aca="false">(D366/G366*F366/C366)</f>
        <v>0.985388477680559</v>
      </c>
      <c r="N366" s="7" t="n">
        <f aca="false">(K366/H366*F366/I366)</f>
        <v>0.985497581146371</v>
      </c>
      <c r="O366" s="7" t="n">
        <f aca="false">(E366/H366*F366/C366)</f>
        <v>1.01236296716161</v>
      </c>
      <c r="P366" s="7" t="n">
        <f aca="false">(IF(L366&gt;1,L366,1/L366) - 1)*100</f>
        <v>1.02860872738999</v>
      </c>
      <c r="Q366" s="7" t="n">
        <f aca="false">(IF(M366&gt;1,M366,1/M366) - 1)*100</f>
        <v>1.48281846707143</v>
      </c>
      <c r="R366" s="7" t="n">
        <f aca="false">(IF(N366&gt;1,N366,1/N366) - 1)*100</f>
        <v>1.47158340426969</v>
      </c>
      <c r="S366" s="7" t="n">
        <f aca="false">(IF(O366&gt;1,O366,1/O366) - 1)*100</f>
        <v>1.2362967161613</v>
      </c>
      <c r="T366" s="9" t="n">
        <f aca="false">(P366+Q366) &lt; (R366+S366)</f>
        <v>1</v>
      </c>
      <c r="U366" s="10" t="n">
        <f aca="false">IF($T366,P366,R366)</f>
        <v>1.02860872738999</v>
      </c>
      <c r="V366" s="11" t="n">
        <f aca="false">IF($T366,Q366,S366)</f>
        <v>1.48281846707143</v>
      </c>
      <c r="W366" s="12" t="n">
        <f aca="false">P366 &lt; R366</f>
        <v>1</v>
      </c>
      <c r="X366" s="10" t="n">
        <f aca="false">IF($W366,P366,R366)</f>
        <v>1.02860872738999</v>
      </c>
      <c r="Y366" s="1" t="s">
        <v>438</v>
      </c>
      <c r="Z366" s="1" t="s">
        <v>437</v>
      </c>
      <c r="AA366" s="12" t="n">
        <f aca="false">T366=W366</f>
        <v>1</v>
      </c>
    </row>
    <row r="367" customFormat="false" ht="12.8" hidden="false" customHeight="false" outlineLevel="0" collapsed="false">
      <c r="A367" s="1" t="s">
        <v>439</v>
      </c>
      <c r="B367" s="1" t="s">
        <v>440</v>
      </c>
      <c r="C367" s="1" t="n">
        <v>34904</v>
      </c>
      <c r="D367" s="1" t="n">
        <v>22154</v>
      </c>
      <c r="E367" s="1" t="n">
        <v>20916</v>
      </c>
      <c r="F367" s="1" t="n">
        <v>40961</v>
      </c>
      <c r="G367" s="1" t="n">
        <v>26369</v>
      </c>
      <c r="H367" s="1" t="n">
        <v>24302</v>
      </c>
      <c r="I367" s="1" t="n">
        <v>54735</v>
      </c>
      <c r="J367" s="1" t="n">
        <v>36181</v>
      </c>
      <c r="K367" s="1" t="n">
        <v>33285</v>
      </c>
      <c r="L367" s="7" t="n">
        <f aca="false">(J367/G367*F367/I367)</f>
        <v>1.02681530695459</v>
      </c>
      <c r="M367" s="7" t="n">
        <f aca="false">(D367/G367*F367/C367)</f>
        <v>0.985947617561572</v>
      </c>
      <c r="N367" s="7" t="n">
        <f aca="false">(K367/H367*F367/I367)</f>
        <v>1.02497193272225</v>
      </c>
      <c r="O367" s="7" t="n">
        <f aca="false">(E367/H367*F367/C367)</f>
        <v>1.01002463688781</v>
      </c>
      <c r="P367" s="7" t="n">
        <f aca="false">(IF(L367&gt;1,L367,1/L367) - 1)*100</f>
        <v>2.68153069545904</v>
      </c>
      <c r="Q367" s="7" t="n">
        <f aca="false">(IF(M367&gt;1,M367,1/M367) - 1)*100</f>
        <v>1.42526663568416</v>
      </c>
      <c r="R367" s="7" t="n">
        <f aca="false">(IF(N367&gt;1,N367,1/N367) - 1)*100</f>
        <v>2.4971932722252</v>
      </c>
      <c r="S367" s="7" t="n">
        <f aca="false">(IF(O367&gt;1,O367,1/O367) - 1)*100</f>
        <v>1.00246368878072</v>
      </c>
      <c r="T367" s="9" t="n">
        <f aca="false">(P367+Q367) &lt; (R367+S367)</f>
        <v>0</v>
      </c>
      <c r="U367" s="10" t="n">
        <f aca="false">IF($T367,P367,R367)</f>
        <v>2.4971932722252</v>
      </c>
      <c r="V367" s="11" t="n">
        <f aca="false">IF($T367,Q367,S367)</f>
        <v>1.00246368878072</v>
      </c>
      <c r="W367" s="12" t="n">
        <f aca="false">P367 &lt; R367</f>
        <v>0</v>
      </c>
      <c r="X367" s="10" t="n">
        <f aca="false">IF($W367,P367,R367)</f>
        <v>2.4971932722252</v>
      </c>
      <c r="Y367" s="1" t="s">
        <v>440</v>
      </c>
      <c r="Z367" s="1" t="s">
        <v>439</v>
      </c>
      <c r="AA367" s="12" t="n">
        <f aca="false">T367=W367</f>
        <v>1</v>
      </c>
    </row>
    <row r="368" customFormat="false" ht="12.8" hidden="false" customHeight="false" outlineLevel="0" collapsed="false">
      <c r="A368" s="1" t="s">
        <v>441</v>
      </c>
      <c r="B368" s="1" t="n">
        <v>624100</v>
      </c>
      <c r="C368" s="1" t="n">
        <v>60449</v>
      </c>
      <c r="D368" s="1" t="n">
        <v>36665</v>
      </c>
      <c r="E368" s="1" t="n">
        <v>36199</v>
      </c>
      <c r="F368" s="1" t="n">
        <v>84301</v>
      </c>
      <c r="G368" s="1" t="n">
        <v>49120</v>
      </c>
      <c r="H368" s="1" t="n">
        <v>48445</v>
      </c>
      <c r="I368" s="1" t="n">
        <v>117803</v>
      </c>
      <c r="J368" s="1" t="n">
        <v>75706</v>
      </c>
      <c r="K368" s="1" t="n">
        <v>68790</v>
      </c>
      <c r="L368" s="7" t="n">
        <f aca="false">(J368/G368*F368/I368)</f>
        <v>1.10293093558641</v>
      </c>
      <c r="M368" s="7" t="n">
        <f aca="false">(D368/G368*F368/C368)</f>
        <v>1.04096693949022</v>
      </c>
      <c r="N368" s="7" t="n">
        <f aca="false">(K368/H368*F368/I368)</f>
        <v>1.01613807574703</v>
      </c>
      <c r="O368" s="7" t="n">
        <f aca="false">(E368/H368*F368/C368)</f>
        <v>1.0420563841241</v>
      </c>
      <c r="P368" s="7" t="n">
        <f aca="false">(IF(L368&gt;1,L368,1/L368) - 1)*100</f>
        <v>10.2930935586411</v>
      </c>
      <c r="Q368" s="7" t="n">
        <f aca="false">(IF(M368&gt;1,M368,1/M368) - 1)*100</f>
        <v>4.09669394902199</v>
      </c>
      <c r="R368" s="7" t="n">
        <f aca="false">(IF(N368&gt;1,N368,1/N368) - 1)*100</f>
        <v>1.61380757470333</v>
      </c>
      <c r="S368" s="7" t="n">
        <f aca="false">(IF(O368&gt;1,O368,1/O368) - 1)*100</f>
        <v>4.20563841241022</v>
      </c>
      <c r="T368" s="9" t="n">
        <f aca="false">(P368+Q368) &lt; (R368+S368)</f>
        <v>0</v>
      </c>
      <c r="U368" s="10" t="n">
        <f aca="false">IF($T368,P368,R368)</f>
        <v>1.61380757470333</v>
      </c>
      <c r="V368" s="11" t="n">
        <f aca="false">IF($T368,Q368,S368)</f>
        <v>4.20563841241022</v>
      </c>
      <c r="W368" s="12" t="n">
        <f aca="false">P368 &lt; R368</f>
        <v>0</v>
      </c>
      <c r="X368" s="10" t="n">
        <f aca="false">IF($W368,P368,R368)</f>
        <v>1.61380757470333</v>
      </c>
      <c r="Y368" s="1" t="n">
        <v>624100</v>
      </c>
      <c r="Z368" s="1" t="s">
        <v>441</v>
      </c>
      <c r="AA368" s="12" t="n">
        <f aca="false">T368=W368</f>
        <v>1</v>
      </c>
    </row>
    <row r="369" customFormat="false" ht="12.8" hidden="false" customHeight="false" outlineLevel="0" collapsed="false">
      <c r="A369" s="1" t="s">
        <v>442</v>
      </c>
      <c r="B369" s="1" t="n">
        <v>624400</v>
      </c>
      <c r="C369" s="1" t="n">
        <v>39595</v>
      </c>
      <c r="D369" s="1" t="n">
        <v>27612</v>
      </c>
      <c r="E369" s="1" t="n">
        <v>14542</v>
      </c>
      <c r="F369" s="1" t="n">
        <v>42702</v>
      </c>
      <c r="G369" s="1" t="n">
        <v>28368</v>
      </c>
      <c r="H369" s="1" t="n">
        <v>19193</v>
      </c>
      <c r="I369" s="1" t="n">
        <v>52663</v>
      </c>
      <c r="J369" s="1" t="n">
        <v>28514</v>
      </c>
      <c r="K369" s="1" t="n">
        <v>25402</v>
      </c>
      <c r="L369" s="7" t="n">
        <f aca="false">(J369/G369*F369/I369)</f>
        <v>0.815027096758937</v>
      </c>
      <c r="M369" s="7" t="n">
        <f aca="false">(D369/G369*F369/C369)</f>
        <v>1.04972856517417</v>
      </c>
      <c r="N369" s="7" t="n">
        <f aca="false">(K369/H369*F369/I369)</f>
        <v>1.07316788835331</v>
      </c>
      <c r="O369" s="7" t="n">
        <f aca="false">(E369/H369*F369/C369)</f>
        <v>0.817126219099261</v>
      </c>
      <c r="P369" s="7" t="n">
        <f aca="false">(IF(L369&gt;1,L369,1/L369) - 1)*100</f>
        <v>22.695307183851</v>
      </c>
      <c r="Q369" s="7" t="n">
        <f aca="false">(IF(M369&gt;1,M369,1/M369) - 1)*100</f>
        <v>4.9728565174165</v>
      </c>
      <c r="R369" s="7" t="n">
        <f aca="false">(IF(N369&gt;1,N369,1/N369) - 1)*100</f>
        <v>7.31678883533136</v>
      </c>
      <c r="S369" s="7" t="n">
        <f aca="false">(IF(O369&gt;1,O369,1/O369) - 1)*100</f>
        <v>22.3801141887633</v>
      </c>
      <c r="T369" s="9" t="n">
        <f aca="false">(P369+Q369) &lt; (R369+S369)</f>
        <v>1</v>
      </c>
      <c r="U369" s="10" t="n">
        <f aca="false">IF($T369,P369,R369)</f>
        <v>22.695307183851</v>
      </c>
      <c r="V369" s="11" t="n">
        <f aca="false">IF($T369,Q369,S369)</f>
        <v>4.9728565174165</v>
      </c>
      <c r="W369" s="12" t="n">
        <f aca="false">P369 &lt; R369</f>
        <v>0</v>
      </c>
      <c r="X369" s="10" t="n">
        <f aca="false">IF($W369,P369,R369)</f>
        <v>7.31678883533136</v>
      </c>
      <c r="Y369" s="1" t="n">
        <v>624400</v>
      </c>
      <c r="Z369" s="1" t="s">
        <v>442</v>
      </c>
      <c r="AA369" s="12" t="n">
        <f aca="false">T369=W369</f>
        <v>0</v>
      </c>
    </row>
    <row r="370" customFormat="false" ht="12.8" hidden="false" customHeight="false" outlineLevel="0" collapsed="false">
      <c r="A370" s="1" t="s">
        <v>443</v>
      </c>
      <c r="B370" s="1" t="s">
        <v>444</v>
      </c>
      <c r="C370" s="1" t="n">
        <v>33446</v>
      </c>
      <c r="D370" s="1" t="n">
        <v>15994</v>
      </c>
      <c r="E370" s="1" t="n">
        <v>15339</v>
      </c>
      <c r="F370" s="1" t="n">
        <v>41998</v>
      </c>
      <c r="G370" s="1" t="n">
        <v>17858</v>
      </c>
      <c r="H370" s="1" t="n">
        <v>17300</v>
      </c>
      <c r="I370" s="1" t="n">
        <v>53043</v>
      </c>
      <c r="J370" s="1" t="n">
        <v>22982</v>
      </c>
      <c r="K370" s="1" t="n">
        <v>19894</v>
      </c>
      <c r="L370" s="7" t="n">
        <f aca="false">(J370/G370*F370/I370)</f>
        <v>1.01895623716997</v>
      </c>
      <c r="M370" s="7" t="n">
        <f aca="false">(D370/G370*F370/C370)</f>
        <v>1.12462749464878</v>
      </c>
      <c r="N370" s="7" t="n">
        <f aca="false">(K370/H370*F370/I370)</f>
        <v>0.910492852401678</v>
      </c>
      <c r="O370" s="7" t="n">
        <f aca="false">(E370/H370*F370/C370)</f>
        <v>1.11335936903209</v>
      </c>
      <c r="P370" s="7" t="n">
        <f aca="false">(IF(L370&gt;1,L370,1/L370) - 1)*100</f>
        <v>1.89562371699747</v>
      </c>
      <c r="Q370" s="7" t="n">
        <f aca="false">(IF(M370&gt;1,M370,1/M370) - 1)*100</f>
        <v>12.4627494648779</v>
      </c>
      <c r="R370" s="7" t="n">
        <f aca="false">(IF(N370&gt;1,N370,1/N370) - 1)*100</f>
        <v>9.83062605732952</v>
      </c>
      <c r="S370" s="7" t="n">
        <f aca="false">(IF(O370&gt;1,O370,1/O370) - 1)*100</f>
        <v>11.3359369032093</v>
      </c>
      <c r="T370" s="9" t="n">
        <f aca="false">(P370+Q370) &lt; (R370+S370)</f>
        <v>1</v>
      </c>
      <c r="U370" s="10" t="n">
        <f aca="false">IF($T370,P370,R370)</f>
        <v>1.89562371699747</v>
      </c>
      <c r="V370" s="11" t="n">
        <f aca="false">IF($T370,Q370,S370)</f>
        <v>12.4627494648779</v>
      </c>
      <c r="W370" s="12" t="n">
        <f aca="false">P370 &lt; R370</f>
        <v>1</v>
      </c>
      <c r="X370" s="10" t="n">
        <f aca="false">IF($W370,P370,R370)</f>
        <v>1.89562371699747</v>
      </c>
      <c r="Y370" s="1" t="s">
        <v>444</v>
      </c>
      <c r="Z370" s="1" t="s">
        <v>443</v>
      </c>
      <c r="AA370" s="12" t="n">
        <f aca="false">T370=W370</f>
        <v>1</v>
      </c>
    </row>
    <row r="371" customFormat="false" ht="12.8" hidden="false" customHeight="false" outlineLevel="0" collapsed="false">
      <c r="A371" s="1" t="s">
        <v>445</v>
      </c>
      <c r="B371" s="1" t="n">
        <v>711100</v>
      </c>
      <c r="C371" s="1" t="n">
        <v>18855</v>
      </c>
      <c r="D371" s="1" t="n">
        <v>9616</v>
      </c>
      <c r="E371" s="1" t="n">
        <v>4970</v>
      </c>
      <c r="F371" s="1" t="n">
        <v>20457</v>
      </c>
      <c r="G371" s="1" t="n">
        <v>13170</v>
      </c>
      <c r="H371" s="1" t="n">
        <v>5490</v>
      </c>
      <c r="I371" s="1" t="n">
        <v>26930</v>
      </c>
      <c r="J371" s="1" t="n">
        <v>15631</v>
      </c>
      <c r="K371" s="1" t="n">
        <v>7264</v>
      </c>
      <c r="L371" s="7" t="n">
        <f aca="false">(J371/G371*F371/I371)</f>
        <v>0.901584797166703</v>
      </c>
      <c r="M371" s="7" t="n">
        <f aca="false">(D371/G371*F371/C371)</f>
        <v>0.792180391176156</v>
      </c>
      <c r="N371" s="7" t="n">
        <f aca="false">(K371/H371*F371/I371)</f>
        <v>1.00509955987898</v>
      </c>
      <c r="O371" s="7" t="n">
        <f aca="false">(E371/H371*F371/C371)</f>
        <v>0.982198921014994</v>
      </c>
      <c r="P371" s="7" t="n">
        <f aca="false">(IF(L371&gt;1,L371,1/L371) - 1)*100</f>
        <v>10.9158010585997</v>
      </c>
      <c r="Q371" s="7" t="n">
        <f aca="false">(IF(M371&gt;1,M371,1/M371) - 1)*100</f>
        <v>26.2338743976347</v>
      </c>
      <c r="R371" s="7" t="n">
        <f aca="false">(IF(N371&gt;1,N371,1/N371) - 1)*100</f>
        <v>0.509955987898181</v>
      </c>
      <c r="S371" s="7" t="n">
        <f aca="false">(IF(O371&gt;1,O371,1/O371) - 1)*100</f>
        <v>1.81237004074604</v>
      </c>
      <c r="T371" s="9" t="n">
        <f aca="false">(P371+Q371) &lt; (R371+S371)</f>
        <v>0</v>
      </c>
      <c r="U371" s="10" t="n">
        <f aca="false">IF($T371,P371,R371)</f>
        <v>0.509955987898181</v>
      </c>
      <c r="V371" s="11" t="n">
        <f aca="false">IF($T371,Q371,S371)</f>
        <v>1.81237004074604</v>
      </c>
      <c r="W371" s="12" t="n">
        <f aca="false">P371 &lt; R371</f>
        <v>0</v>
      </c>
      <c r="X371" s="10" t="n">
        <f aca="false">IF($W371,P371,R371)</f>
        <v>0.509955987898181</v>
      </c>
      <c r="Y371" s="1" t="n">
        <v>711100</v>
      </c>
      <c r="Z371" s="1" t="s">
        <v>445</v>
      </c>
      <c r="AA371" s="12" t="n">
        <f aca="false">T371=W371</f>
        <v>1</v>
      </c>
    </row>
    <row r="372" customFormat="false" ht="12.8" hidden="false" customHeight="false" outlineLevel="0" collapsed="false">
      <c r="A372" s="1" t="s">
        <v>446</v>
      </c>
      <c r="B372" s="1" t="n">
        <v>711200</v>
      </c>
      <c r="C372" s="1" t="n">
        <v>33423</v>
      </c>
      <c r="D372" s="1" t="n">
        <v>20562</v>
      </c>
      <c r="E372" s="1" t="n">
        <v>14650</v>
      </c>
      <c r="F372" s="1" t="n">
        <v>36804</v>
      </c>
      <c r="G372" s="1" t="n">
        <v>24134</v>
      </c>
      <c r="H372" s="1" t="n">
        <v>17151</v>
      </c>
      <c r="I372" s="1" t="n">
        <v>48962</v>
      </c>
      <c r="J372" s="1" t="n">
        <v>35737</v>
      </c>
      <c r="K372" s="1" t="n">
        <v>25961</v>
      </c>
      <c r="L372" s="7" t="n">
        <f aca="false">(J372/G372*F372/I372)</f>
        <v>1.11307558369952</v>
      </c>
      <c r="M372" s="7" t="n">
        <f aca="false">(D372/G372*F372/C372)</f>
        <v>0.938178852958633</v>
      </c>
      <c r="N372" s="7" t="n">
        <f aca="false">(K372/H372*F372/I372)</f>
        <v>1.13780501257532</v>
      </c>
      <c r="O372" s="7" t="n">
        <f aca="false">(E372/H372*F372/C372)</f>
        <v>0.940584398546884</v>
      </c>
      <c r="P372" s="7" t="n">
        <f aca="false">(IF(L372&gt;1,L372,1/L372) - 1)*100</f>
        <v>11.307558369952</v>
      </c>
      <c r="Q372" s="7" t="n">
        <f aca="false">(IF(M372&gt;1,M372,1/M372) - 1)*100</f>
        <v>6.58948417419643</v>
      </c>
      <c r="R372" s="7" t="n">
        <f aca="false">(IF(N372&gt;1,N372,1/N372) - 1)*100</f>
        <v>13.7805012575319</v>
      </c>
      <c r="S372" s="7" t="n">
        <f aca="false">(IF(O372&gt;1,O372,1/O372) - 1)*100</f>
        <v>6.31688145634861</v>
      </c>
      <c r="T372" s="9" t="n">
        <f aca="false">(P372+Q372) &lt; (R372+S372)</f>
        <v>1</v>
      </c>
      <c r="U372" s="10" t="n">
        <f aca="false">IF($T372,P372,R372)</f>
        <v>11.307558369952</v>
      </c>
      <c r="V372" s="11" t="n">
        <f aca="false">IF($T372,Q372,S372)</f>
        <v>6.58948417419643</v>
      </c>
      <c r="W372" s="12" t="n">
        <f aca="false">P372 &lt; R372</f>
        <v>1</v>
      </c>
      <c r="X372" s="10" t="n">
        <f aca="false">IF($W372,P372,R372)</f>
        <v>11.307558369952</v>
      </c>
      <c r="Y372" s="1" t="n">
        <v>711200</v>
      </c>
      <c r="Z372" s="1" t="s">
        <v>446</v>
      </c>
      <c r="AA372" s="12" t="n">
        <f aca="false">T372=W372</f>
        <v>1</v>
      </c>
    </row>
    <row r="373" customFormat="false" ht="12.8" hidden="false" customHeight="false" outlineLevel="0" collapsed="false">
      <c r="A373" s="1" t="s">
        <v>447</v>
      </c>
      <c r="B373" s="1" t="n">
        <v>711500</v>
      </c>
      <c r="C373" s="1" t="n">
        <v>30145</v>
      </c>
      <c r="D373" s="1" t="n">
        <v>22947</v>
      </c>
      <c r="E373" s="1" t="n">
        <v>9809</v>
      </c>
      <c r="F373" s="1" t="n">
        <v>34468</v>
      </c>
      <c r="G373" s="1" t="n">
        <v>30133</v>
      </c>
      <c r="H373" s="1" t="n">
        <v>9320</v>
      </c>
      <c r="I373" s="1" t="n">
        <v>45205</v>
      </c>
      <c r="J373" s="1" t="n">
        <v>31515</v>
      </c>
      <c r="K373" s="1" t="n">
        <v>9125</v>
      </c>
      <c r="L373" s="7" t="n">
        <f aca="false">(J373/G373*F373/I373)</f>
        <v>0.797451998128872</v>
      </c>
      <c r="M373" s="7" t="n">
        <f aca="false">(D373/G373*F373/C373)</f>
        <v>0.870731668692086</v>
      </c>
      <c r="N373" s="7" t="n">
        <f aca="false">(K373/H373*F373/I373)</f>
        <v>0.746528807962582</v>
      </c>
      <c r="O373" s="7" t="n">
        <f aca="false">(E373/H373*F373/C373)</f>
        <v>1.2033989223759</v>
      </c>
      <c r="P373" s="7" t="n">
        <f aca="false">(IF(L373&gt;1,L373,1/L373) - 1)*100</f>
        <v>25.3993973739339</v>
      </c>
      <c r="Q373" s="7" t="n">
        <f aca="false">(IF(M373&gt;1,M373,1/M373) - 1)*100</f>
        <v>14.8459434698276</v>
      </c>
      <c r="R373" s="7" t="n">
        <f aca="false">(IF(N373&gt;1,N373,1/N373) - 1)*100</f>
        <v>33.9533035207562</v>
      </c>
      <c r="S373" s="7" t="n">
        <f aca="false">(IF(O373&gt;1,O373,1/O373) - 1)*100</f>
        <v>20.3398922375899</v>
      </c>
      <c r="T373" s="9" t="n">
        <f aca="false">(P373+Q373) &lt; (R373+S373)</f>
        <v>1</v>
      </c>
      <c r="U373" s="10" t="n">
        <f aca="false">IF($T373,P373,R373)</f>
        <v>25.3993973739339</v>
      </c>
      <c r="V373" s="11" t="n">
        <f aca="false">IF($T373,Q373,S373)</f>
        <v>14.8459434698276</v>
      </c>
      <c r="W373" s="12" t="n">
        <f aca="false">P373 &lt; R373</f>
        <v>1</v>
      </c>
      <c r="X373" s="10" t="n">
        <f aca="false">IF($W373,P373,R373)</f>
        <v>25.3993973739339</v>
      </c>
      <c r="Y373" s="1" t="n">
        <v>711500</v>
      </c>
      <c r="Z373" s="1" t="s">
        <v>447</v>
      </c>
      <c r="AA373" s="12" t="n">
        <f aca="false">T373=W373</f>
        <v>1</v>
      </c>
    </row>
    <row r="374" customFormat="false" ht="12.8" hidden="false" customHeight="false" outlineLevel="0" collapsed="false">
      <c r="A374" s="1" t="s">
        <v>448</v>
      </c>
      <c r="B374" s="1" t="s">
        <v>449</v>
      </c>
      <c r="C374" s="1" t="n">
        <v>28073</v>
      </c>
      <c r="D374" s="1" t="n">
        <v>12344</v>
      </c>
      <c r="E374" s="1" t="n">
        <v>5951</v>
      </c>
      <c r="F374" s="1" t="n">
        <v>33779</v>
      </c>
      <c r="G374" s="1" t="n">
        <v>20567</v>
      </c>
      <c r="H374" s="1" t="n">
        <v>7220</v>
      </c>
      <c r="I374" s="1" t="n">
        <v>51321</v>
      </c>
      <c r="J374" s="1" t="n">
        <v>26049</v>
      </c>
      <c r="K374" s="1" t="n">
        <v>10192</v>
      </c>
      <c r="L374" s="7" t="n">
        <f aca="false">(J374/G374*F374/I374)</f>
        <v>0.83362702629191</v>
      </c>
      <c r="M374" s="7" t="n">
        <f aca="false">(D374/G374*F374/C374)</f>
        <v>0.72217579437571</v>
      </c>
      <c r="N374" s="7" t="n">
        <f aca="false">(K374/H374*F374/I374)</f>
        <v>0.929124465148775</v>
      </c>
      <c r="O374" s="7" t="n">
        <f aca="false">(E374/H374*F374/C374)</f>
        <v>0.991769425241059</v>
      </c>
      <c r="P374" s="7" t="n">
        <f aca="false">(IF(L374&gt;1,L374,1/L374) - 1)*100</f>
        <v>19.9577231136735</v>
      </c>
      <c r="Q374" s="7" t="n">
        <f aca="false">(IF(M374&gt;1,M374,1/M374) - 1)*100</f>
        <v>38.4704399936939</v>
      </c>
      <c r="R374" s="7" t="n">
        <f aca="false">(IF(N374&gt;1,N374,1/N374) - 1)*100</f>
        <v>7.6282067160804</v>
      </c>
      <c r="S374" s="7" t="n">
        <f aca="false">(IF(O374&gt;1,O374,1/O374) - 1)*100</f>
        <v>0.829887930548057</v>
      </c>
      <c r="T374" s="9" t="n">
        <f aca="false">(P374+Q374) &lt; (R374+S374)</f>
        <v>0</v>
      </c>
      <c r="U374" s="10" t="n">
        <f aca="false">IF($T374,P374,R374)</f>
        <v>7.6282067160804</v>
      </c>
      <c r="V374" s="11" t="n">
        <f aca="false">IF($T374,Q374,S374)</f>
        <v>0.829887930548057</v>
      </c>
      <c r="W374" s="12" t="n">
        <f aca="false">P374 &lt; R374</f>
        <v>0</v>
      </c>
      <c r="X374" s="10" t="n">
        <f aca="false">IF($W374,P374,R374)</f>
        <v>7.6282067160804</v>
      </c>
      <c r="Y374" s="1" t="s">
        <v>449</v>
      </c>
      <c r="Z374" s="1" t="s">
        <v>448</v>
      </c>
      <c r="AA374" s="12" t="n">
        <f aca="false">T374=W374</f>
        <v>1</v>
      </c>
    </row>
    <row r="375" customFormat="false" ht="12.8" hidden="false" customHeight="false" outlineLevel="0" collapsed="false">
      <c r="A375" s="1" t="s">
        <v>450</v>
      </c>
      <c r="B375" s="1" t="n">
        <v>712000</v>
      </c>
      <c r="C375" s="1" t="n">
        <v>11250</v>
      </c>
      <c r="D375" s="1" t="n">
        <v>5228</v>
      </c>
      <c r="E375" s="1" t="n">
        <v>3443</v>
      </c>
      <c r="F375" s="1" t="n">
        <v>13923</v>
      </c>
      <c r="G375" s="1" t="n">
        <v>8414</v>
      </c>
      <c r="H375" s="1" t="n">
        <v>4986</v>
      </c>
      <c r="I375" s="1" t="n">
        <v>20528</v>
      </c>
      <c r="J375" s="1" t="n">
        <v>11820</v>
      </c>
      <c r="K375" s="1" t="n">
        <v>6975</v>
      </c>
      <c r="L375" s="7" t="n">
        <f aca="false">(J375/G375*F375/I375)</f>
        <v>0.952798693525859</v>
      </c>
      <c r="M375" s="7" t="n">
        <f aca="false">(D375/G375*F375/C375)</f>
        <v>0.768977038269551</v>
      </c>
      <c r="N375" s="7" t="n">
        <f aca="false">(K375/H375*F375/I375)</f>
        <v>0.948807528187264</v>
      </c>
      <c r="O375" s="7" t="n">
        <f aca="false">(E375/H375*F375/C375)</f>
        <v>0.854604251905335</v>
      </c>
      <c r="P375" s="7" t="n">
        <f aca="false">(IF(L375&gt;1,L375,1/L375) - 1)*100</f>
        <v>4.95396423136048</v>
      </c>
      <c r="Q375" s="7" t="n">
        <f aca="false">(IF(M375&gt;1,M375,1/M375) - 1)*100</f>
        <v>30.0428946812672</v>
      </c>
      <c r="R375" s="7" t="n">
        <f aca="false">(IF(N375&gt;1,N375,1/N375) - 1)*100</f>
        <v>5.39545379773083</v>
      </c>
      <c r="S375" s="7" t="n">
        <f aca="false">(IF(O375&gt;1,O375,1/O375) - 1)*100</f>
        <v>17.013225451489</v>
      </c>
      <c r="T375" s="9" t="n">
        <f aca="false">(P375+Q375) &lt; (R375+S375)</f>
        <v>0</v>
      </c>
      <c r="U375" s="10" t="n">
        <f aca="false">IF($T375,P375,R375)</f>
        <v>5.39545379773083</v>
      </c>
      <c r="V375" s="11" t="n">
        <f aca="false">IF($T375,Q375,S375)</f>
        <v>17.013225451489</v>
      </c>
      <c r="W375" s="12" t="n">
        <f aca="false">P375 &lt; R375</f>
        <v>1</v>
      </c>
      <c r="X375" s="10" t="n">
        <f aca="false">IF($W375,P375,R375)</f>
        <v>4.95396423136048</v>
      </c>
      <c r="Y375" s="1" t="n">
        <v>712000</v>
      </c>
      <c r="Z375" s="1" t="s">
        <v>450</v>
      </c>
      <c r="AA375" s="12" t="n">
        <f aca="false">T375=W375</f>
        <v>0</v>
      </c>
    </row>
    <row r="376" customFormat="false" ht="12.8" hidden="false" customHeight="false" outlineLevel="0" collapsed="false">
      <c r="A376" s="1" t="s">
        <v>451</v>
      </c>
      <c r="B376" s="1" t="n">
        <v>713100</v>
      </c>
      <c r="C376" s="1" t="n">
        <v>17337</v>
      </c>
      <c r="D376" s="1" t="n">
        <v>10983</v>
      </c>
      <c r="E376" s="1" t="n">
        <v>6196</v>
      </c>
      <c r="F376" s="1" t="n">
        <v>14389</v>
      </c>
      <c r="G376" s="1" t="n">
        <v>9645</v>
      </c>
      <c r="H376" s="1" t="n">
        <v>6630</v>
      </c>
      <c r="I376" s="1" t="n">
        <v>21158</v>
      </c>
      <c r="J376" s="1" t="n">
        <v>13209</v>
      </c>
      <c r="K376" s="1" t="n">
        <v>8012</v>
      </c>
      <c r="L376" s="7" t="n">
        <f aca="false">(J376/G376*F376/I376)</f>
        <v>0.931373137632773</v>
      </c>
      <c r="M376" s="7" t="n">
        <f aca="false">(D376/G376*F376/C376)</f>
        <v>0.945094890053914</v>
      </c>
      <c r="N376" s="7" t="n">
        <f aca="false">(K376/H376*F376/I376)</f>
        <v>0.821832689680757</v>
      </c>
      <c r="O376" s="7" t="n">
        <f aca="false">(E376/H376*F376/C376)</f>
        <v>0.775629902863395</v>
      </c>
      <c r="P376" s="7" t="n">
        <f aca="false">(IF(L376&gt;1,L376,1/L376) - 1)*100</f>
        <v>7.36835319747922</v>
      </c>
      <c r="Q376" s="7" t="n">
        <f aca="false">(IF(M376&gt;1,M376,1/M376) - 1)*100</f>
        <v>5.80948119854445</v>
      </c>
      <c r="R376" s="7" t="n">
        <f aca="false">(IF(N376&gt;1,N376,1/N376) - 1)*100</f>
        <v>21.6792678797496</v>
      </c>
      <c r="S376" s="7" t="n">
        <f aca="false">(IF(O376&gt;1,O376,1/O376) - 1)*100</f>
        <v>28.9274686687938</v>
      </c>
      <c r="T376" s="9" t="n">
        <f aca="false">(P376+Q376) &lt; (R376+S376)</f>
        <v>1</v>
      </c>
      <c r="U376" s="10" t="n">
        <f aca="false">IF($T376,P376,R376)</f>
        <v>7.36835319747922</v>
      </c>
      <c r="V376" s="11" t="n">
        <f aca="false">IF($T376,Q376,S376)</f>
        <v>5.80948119854445</v>
      </c>
      <c r="W376" s="12" t="n">
        <f aca="false">P376 &lt; R376</f>
        <v>1</v>
      </c>
      <c r="X376" s="10" t="n">
        <f aca="false">IF($W376,P376,R376)</f>
        <v>7.36835319747922</v>
      </c>
      <c r="Y376" s="1" t="n">
        <v>713100</v>
      </c>
      <c r="Z376" s="1" t="s">
        <v>451</v>
      </c>
      <c r="AA376" s="12" t="n">
        <f aca="false">T376=W376</f>
        <v>1</v>
      </c>
    </row>
    <row r="377" customFormat="false" ht="12.8" hidden="false" customHeight="false" outlineLevel="0" collapsed="false">
      <c r="A377" s="1" t="s">
        <v>452</v>
      </c>
      <c r="B377" s="1" t="n">
        <v>713200</v>
      </c>
      <c r="C377" s="1" t="n">
        <v>28823</v>
      </c>
      <c r="D377" s="1" t="n">
        <v>15602</v>
      </c>
      <c r="E377" s="1" t="n">
        <v>8382</v>
      </c>
      <c r="F377" s="1" t="n">
        <v>29754</v>
      </c>
      <c r="G377" s="1" t="n">
        <v>18186</v>
      </c>
      <c r="H377" s="1" t="n">
        <v>7382</v>
      </c>
      <c r="I377" s="1" t="n">
        <v>35404</v>
      </c>
      <c r="J377" s="1" t="n">
        <v>19253</v>
      </c>
      <c r="K377" s="1" t="n">
        <v>9103</v>
      </c>
      <c r="L377" s="7" t="n">
        <f aca="false">(J377/G377*F377/I377)</f>
        <v>0.889721838669231</v>
      </c>
      <c r="M377" s="7" t="n">
        <f aca="false">(D377/G377*F377/C377)</f>
        <v>0.885623768629458</v>
      </c>
      <c r="N377" s="7" t="n">
        <f aca="false">(K377/H377*F377/I377)</f>
        <v>1.03634302427182</v>
      </c>
      <c r="O377" s="7" t="n">
        <f aca="false">(E377/H377*F377/C377)</f>
        <v>1.17214082536455</v>
      </c>
      <c r="P377" s="7" t="n">
        <f aca="false">(IF(L377&gt;1,L377,1/L377) - 1)*100</f>
        <v>12.394678486898</v>
      </c>
      <c r="Q377" s="7" t="n">
        <f aca="false">(IF(M377&gt;1,M377,1/M377) - 1)*100</f>
        <v>12.9147653238287</v>
      </c>
      <c r="R377" s="7" t="n">
        <f aca="false">(IF(N377&gt;1,N377,1/N377) - 1)*100</f>
        <v>3.63430242718175</v>
      </c>
      <c r="S377" s="7" t="n">
        <f aca="false">(IF(O377&gt;1,O377,1/O377) - 1)*100</f>
        <v>17.2140825364553</v>
      </c>
      <c r="T377" s="9" t="n">
        <f aca="false">(P377+Q377) &lt; (R377+S377)</f>
        <v>0</v>
      </c>
      <c r="U377" s="10" t="n">
        <f aca="false">IF($T377,P377,R377)</f>
        <v>3.63430242718175</v>
      </c>
      <c r="V377" s="11" t="n">
        <f aca="false">IF($T377,Q377,S377)</f>
        <v>17.2140825364553</v>
      </c>
      <c r="W377" s="12" t="n">
        <f aca="false">P377 &lt; R377</f>
        <v>0</v>
      </c>
      <c r="X377" s="10" t="n">
        <f aca="false">IF($W377,P377,R377)</f>
        <v>3.63430242718175</v>
      </c>
      <c r="Y377" s="1" t="n">
        <v>713200</v>
      </c>
      <c r="Z377" s="1" t="s">
        <v>452</v>
      </c>
      <c r="AA377" s="12" t="n">
        <f aca="false">T377=W377</f>
        <v>1</v>
      </c>
    </row>
    <row r="378" customFormat="false" ht="12.8" hidden="false" customHeight="false" outlineLevel="0" collapsed="false">
      <c r="A378" s="1" t="s">
        <v>453</v>
      </c>
      <c r="B378" s="1" t="n">
        <v>713900</v>
      </c>
      <c r="C378" s="1" t="n">
        <v>63542</v>
      </c>
      <c r="D378" s="1" t="n">
        <v>30052</v>
      </c>
      <c r="E378" s="1" t="n">
        <v>23608</v>
      </c>
      <c r="F378" s="1" t="n">
        <v>68439</v>
      </c>
      <c r="G378" s="1" t="n">
        <v>34937</v>
      </c>
      <c r="H378" s="1" t="n">
        <v>27919</v>
      </c>
      <c r="I378" s="1" t="n">
        <v>87055</v>
      </c>
      <c r="J378" s="1" t="n">
        <v>44608</v>
      </c>
      <c r="K378" s="1" t="n">
        <v>37082</v>
      </c>
      <c r="L378" s="7" t="n">
        <f aca="false">(J378/G378*F378/I378)</f>
        <v>1.0037766238951</v>
      </c>
      <c r="M378" s="7" t="n">
        <f aca="false">(D378/G378*F378/C378)</f>
        <v>0.926468259782405</v>
      </c>
      <c r="N378" s="7" t="n">
        <f aca="false">(K378/H378*F378/I378)</f>
        <v>1.04417484428012</v>
      </c>
      <c r="O378" s="7" t="n">
        <f aca="false">(E378/H378*F378/C378)</f>
        <v>0.910756150404473</v>
      </c>
      <c r="P378" s="7" t="n">
        <f aca="false">(IF(L378&gt;1,L378,1/L378) - 1)*100</f>
        <v>0.377662389509781</v>
      </c>
      <c r="Q378" s="7" t="n">
        <f aca="false">(IF(M378&gt;1,M378,1/M378) - 1)*100</f>
        <v>7.93677920869791</v>
      </c>
      <c r="R378" s="7" t="n">
        <f aca="false">(IF(N378&gt;1,N378,1/N378) - 1)*100</f>
        <v>4.4174844280124</v>
      </c>
      <c r="S378" s="7" t="n">
        <f aca="false">(IF(O378&gt;1,O378,1/O378) - 1)*100</f>
        <v>9.79887421631938</v>
      </c>
      <c r="T378" s="9" t="n">
        <f aca="false">(P378+Q378) &lt; (R378+S378)</f>
        <v>1</v>
      </c>
      <c r="U378" s="10" t="n">
        <f aca="false">IF($T378,P378,R378)</f>
        <v>0.377662389509781</v>
      </c>
      <c r="V378" s="11" t="n">
        <f aca="false">IF($T378,Q378,S378)</f>
        <v>7.93677920869791</v>
      </c>
      <c r="W378" s="12" t="n">
        <f aca="false">P378 &lt; R378</f>
        <v>1</v>
      </c>
      <c r="X378" s="10" t="n">
        <f aca="false">IF($W378,P378,R378)</f>
        <v>0.377662389509781</v>
      </c>
      <c r="Y378" s="1" t="n">
        <v>713900</v>
      </c>
      <c r="Z378" s="1" t="s">
        <v>453</v>
      </c>
      <c r="AA378" s="12" t="n">
        <f aca="false">T378=W378</f>
        <v>1</v>
      </c>
    </row>
    <row r="379" customFormat="false" ht="12.8" hidden="false" customHeight="false" outlineLevel="0" collapsed="false">
      <c r="A379" s="1" t="s">
        <v>454</v>
      </c>
      <c r="B379" s="1" t="n">
        <v>721000</v>
      </c>
      <c r="C379" s="1" t="n">
        <v>177627</v>
      </c>
      <c r="D379" s="1" t="n">
        <v>109313</v>
      </c>
      <c r="E379" s="1" t="n">
        <v>63212</v>
      </c>
      <c r="F379" s="1" t="n">
        <v>196692</v>
      </c>
      <c r="G379" s="1" t="n">
        <v>110605</v>
      </c>
      <c r="H379" s="1" t="n">
        <v>67344</v>
      </c>
      <c r="I379" s="1" t="n">
        <v>258207</v>
      </c>
      <c r="J379" s="1" t="n">
        <v>151590</v>
      </c>
      <c r="K379" s="1" t="n">
        <v>82723</v>
      </c>
      <c r="L379" s="7" t="n">
        <f aca="false">(J379/G379*F379/I379)</f>
        <v>1.04403360394818</v>
      </c>
      <c r="M379" s="7" t="n">
        <f aca="false">(D379/G379*F379/C379)</f>
        <v>1.09439668437423</v>
      </c>
      <c r="N379" s="7" t="n">
        <f aca="false">(K379/H379*F379/I379)</f>
        <v>0.935720301525277</v>
      </c>
      <c r="O379" s="7" t="n">
        <f aca="false">(E379/H379*F379/C379)</f>
        <v>1.03938953162284</v>
      </c>
      <c r="P379" s="7" t="n">
        <f aca="false">(IF(L379&gt;1,L379,1/L379) - 1)*100</f>
        <v>4.4033603948183</v>
      </c>
      <c r="Q379" s="7" t="n">
        <f aca="false">(IF(M379&gt;1,M379,1/M379) - 1)*100</f>
        <v>9.43966843742286</v>
      </c>
      <c r="R379" s="7" t="n">
        <f aca="false">(IF(N379&gt;1,N379,1/N379) - 1)*100</f>
        <v>6.86954193148777</v>
      </c>
      <c r="S379" s="7" t="n">
        <f aca="false">(IF(O379&gt;1,O379,1/O379) - 1)*100</f>
        <v>3.93895316228441</v>
      </c>
      <c r="T379" s="9" t="n">
        <f aca="false">(P379+Q379) &lt; (R379+S379)</f>
        <v>0</v>
      </c>
      <c r="U379" s="10" t="n">
        <f aca="false">IF($T379,P379,R379)</f>
        <v>6.86954193148777</v>
      </c>
      <c r="V379" s="11" t="n">
        <f aca="false">IF($T379,Q379,S379)</f>
        <v>3.93895316228441</v>
      </c>
      <c r="W379" s="12" t="n">
        <f aca="false">P379 &lt; R379</f>
        <v>1</v>
      </c>
      <c r="X379" s="10" t="n">
        <f aca="false">IF($W379,P379,R379)</f>
        <v>4.4033603948183</v>
      </c>
      <c r="Y379" s="1" t="n">
        <v>721000</v>
      </c>
      <c r="Z379" s="1" t="s">
        <v>454</v>
      </c>
      <c r="AA379" s="12" t="n">
        <f aca="false">T379=W379</f>
        <v>0</v>
      </c>
    </row>
    <row r="380" customFormat="false" ht="12.8" hidden="false" customHeight="false" outlineLevel="0" collapsed="false">
      <c r="A380" s="1" t="s">
        <v>455</v>
      </c>
      <c r="B380" s="1" t="n">
        <v>722110</v>
      </c>
      <c r="C380" s="1" t="n">
        <v>225942</v>
      </c>
      <c r="D380" s="1" t="n">
        <v>122197</v>
      </c>
      <c r="E380" s="1" t="n">
        <v>97773</v>
      </c>
      <c r="F380" s="1" t="n">
        <v>261805</v>
      </c>
      <c r="G380" s="1" t="n">
        <v>143511</v>
      </c>
      <c r="H380" s="1" t="n">
        <v>111390</v>
      </c>
      <c r="I380" s="1" t="n">
        <v>347105</v>
      </c>
      <c r="J380" s="1" t="n">
        <v>194591</v>
      </c>
      <c r="K380" s="1" t="n">
        <v>153383</v>
      </c>
      <c r="L380" s="7" t="n">
        <f aca="false">(J380/G380*F380/I380)</f>
        <v>1.02271500090029</v>
      </c>
      <c r="M380" s="7" t="n">
        <f aca="false">(D380/G380*F380/C380)</f>
        <v>0.986634553370567</v>
      </c>
      <c r="N380" s="7" t="n">
        <f aca="false">(K380/H380*F380/I380)</f>
        <v>1.03859945591103</v>
      </c>
      <c r="O380" s="7" t="n">
        <f aca="false">(E380/H380*F380/C380)</f>
        <v>1.01707669898805</v>
      </c>
      <c r="P380" s="7" t="n">
        <f aca="false">(IF(L380&gt;1,L380,1/L380) - 1)*100</f>
        <v>2.27150009002937</v>
      </c>
      <c r="Q380" s="7" t="n">
        <f aca="false">(IF(M380&gt;1,M380,1/M380) - 1)*100</f>
        <v>1.35465016745799</v>
      </c>
      <c r="R380" s="7" t="n">
        <f aca="false">(IF(N380&gt;1,N380,1/N380) - 1)*100</f>
        <v>3.85994559110314</v>
      </c>
      <c r="S380" s="7" t="n">
        <f aca="false">(IF(O380&gt;1,O380,1/O380) - 1)*100</f>
        <v>1.70766989880495</v>
      </c>
      <c r="T380" s="9" t="n">
        <f aca="false">(P380+Q380) &lt; (R380+S380)</f>
        <v>1</v>
      </c>
      <c r="U380" s="10" t="n">
        <f aca="false">IF($T380,P380,R380)</f>
        <v>2.27150009002937</v>
      </c>
      <c r="V380" s="11" t="n">
        <f aca="false">IF($T380,Q380,S380)</f>
        <v>1.35465016745799</v>
      </c>
      <c r="W380" s="12" t="n">
        <f aca="false">P380 &lt; R380</f>
        <v>1</v>
      </c>
      <c r="X380" s="10" t="n">
        <f aca="false">IF($W380,P380,R380)</f>
        <v>2.27150009002937</v>
      </c>
      <c r="Y380" s="1" t="n">
        <v>722110</v>
      </c>
      <c r="Z380" s="1" t="s">
        <v>455</v>
      </c>
      <c r="AA380" s="12" t="n">
        <f aca="false">T380=W380</f>
        <v>1</v>
      </c>
    </row>
    <row r="381" customFormat="false" ht="12.8" hidden="false" customHeight="false" outlineLevel="0" collapsed="false">
      <c r="A381" s="1" t="s">
        <v>456</v>
      </c>
      <c r="B381" s="1" t="n">
        <v>722211</v>
      </c>
      <c r="C381" s="1" t="n">
        <v>204300</v>
      </c>
      <c r="D381" s="1" t="n">
        <v>80030</v>
      </c>
      <c r="E381" s="1" t="n">
        <v>55589</v>
      </c>
      <c r="F381" s="1" t="n">
        <v>237930</v>
      </c>
      <c r="G381" s="1" t="n">
        <v>95114</v>
      </c>
      <c r="H381" s="1" t="n">
        <v>62797</v>
      </c>
      <c r="I381" s="1" t="n">
        <v>317136</v>
      </c>
      <c r="J381" s="1" t="n">
        <v>132474</v>
      </c>
      <c r="K381" s="1" t="n">
        <v>92629</v>
      </c>
      <c r="L381" s="7" t="n">
        <f aca="false">(J381/G381*F381/I381)</f>
        <v>1.04493641469944</v>
      </c>
      <c r="M381" s="7" t="n">
        <f aca="false">(D381/G381*F381/C381)</f>
        <v>0.979916811781963</v>
      </c>
      <c r="N381" s="7" t="n">
        <f aca="false">(K381/H381*F381/I381)</f>
        <v>1.10665369714502</v>
      </c>
      <c r="O381" s="7" t="n">
        <f aca="false">(E381/H381*F381/C381)</f>
        <v>1.03093385752198</v>
      </c>
      <c r="P381" s="7" t="n">
        <f aca="false">(IF(L381&gt;1,L381,1/L381) - 1)*100</f>
        <v>4.49364146994355</v>
      </c>
      <c r="Q381" s="7" t="n">
        <f aca="false">(IF(M381&gt;1,M381,1/M381) - 1)*100</f>
        <v>2.04947889214349</v>
      </c>
      <c r="R381" s="7" t="n">
        <f aca="false">(IF(N381&gt;1,N381,1/N381) - 1)*100</f>
        <v>10.6653697145016</v>
      </c>
      <c r="S381" s="7" t="n">
        <f aca="false">(IF(O381&gt;1,O381,1/O381) - 1)*100</f>
        <v>3.09338575219778</v>
      </c>
      <c r="T381" s="9" t="n">
        <f aca="false">(P381+Q381) &lt; (R381+S381)</f>
        <v>1</v>
      </c>
      <c r="U381" s="10" t="n">
        <f aca="false">IF($T381,P381,R381)</f>
        <v>4.49364146994355</v>
      </c>
      <c r="V381" s="11" t="n">
        <f aca="false">IF($T381,Q381,S381)</f>
        <v>2.04947889214349</v>
      </c>
      <c r="W381" s="12" t="n">
        <f aca="false">P381 &lt; R381</f>
        <v>1</v>
      </c>
      <c r="X381" s="10" t="n">
        <f aca="false">IF($W381,P381,R381)</f>
        <v>4.49364146994355</v>
      </c>
      <c r="Y381" s="1" t="n">
        <v>722211</v>
      </c>
      <c r="Z381" s="1" t="s">
        <v>456</v>
      </c>
      <c r="AA381" s="12" t="n">
        <f aca="false">T381=W381</f>
        <v>1</v>
      </c>
    </row>
    <row r="382" customFormat="false" ht="12.8" hidden="false" customHeight="false" outlineLevel="0" collapsed="false">
      <c r="A382" s="1" t="s">
        <v>457</v>
      </c>
      <c r="B382" s="1" t="s">
        <v>458</v>
      </c>
      <c r="C382" s="1" t="n">
        <v>57547</v>
      </c>
      <c r="D382" s="1" t="n">
        <v>35768</v>
      </c>
      <c r="E382" s="1" t="n">
        <v>31230</v>
      </c>
      <c r="F382" s="1" t="n">
        <v>78197</v>
      </c>
      <c r="G382" s="1" t="n">
        <v>47393</v>
      </c>
      <c r="H382" s="1" t="n">
        <v>41005</v>
      </c>
      <c r="I382" s="1" t="n">
        <v>100899</v>
      </c>
      <c r="J382" s="1" t="n">
        <v>61643</v>
      </c>
      <c r="K382" s="1" t="n">
        <v>52024</v>
      </c>
      <c r="L382" s="7" t="n">
        <f aca="false">(J382/G382*F382/I382)</f>
        <v>1.00802846428501</v>
      </c>
      <c r="M382" s="7" t="n">
        <f aca="false">(D382/G382*F382/C382)</f>
        <v>1.02552879680285</v>
      </c>
      <c r="N382" s="7" t="n">
        <f aca="false">(K382/H382*F382/I382)</f>
        <v>0.983264035880899</v>
      </c>
      <c r="O382" s="7" t="n">
        <f aca="false">(E382/H382*F382/C382)</f>
        <v>1.03490997186149</v>
      </c>
      <c r="P382" s="7" t="n">
        <f aca="false">(IF(L382&gt;1,L382,1/L382) - 1)*100</f>
        <v>0.802846428500725</v>
      </c>
      <c r="Q382" s="7" t="n">
        <f aca="false">(IF(M382&gt;1,M382,1/M382) - 1)*100</f>
        <v>2.55287968028508</v>
      </c>
      <c r="R382" s="7" t="n">
        <f aca="false">(IF(N382&gt;1,N382,1/N382) - 1)*100</f>
        <v>1.70208240191638</v>
      </c>
      <c r="S382" s="7" t="n">
        <f aca="false">(IF(O382&gt;1,O382,1/O382) - 1)*100</f>
        <v>3.49099718614929</v>
      </c>
      <c r="T382" s="9" t="n">
        <f aca="false">(P382+Q382) &lt; (R382+S382)</f>
        <v>1</v>
      </c>
      <c r="U382" s="10" t="n">
        <f aca="false">IF($T382,P382,R382)</f>
        <v>0.802846428500725</v>
      </c>
      <c r="V382" s="11" t="n">
        <f aca="false">IF($T382,Q382,S382)</f>
        <v>2.55287968028508</v>
      </c>
      <c r="W382" s="12" t="n">
        <f aca="false">P382 &lt; R382</f>
        <v>1</v>
      </c>
      <c r="X382" s="10" t="n">
        <f aca="false">IF($W382,P382,R382)</f>
        <v>0.802846428500725</v>
      </c>
      <c r="Y382" s="1" t="s">
        <v>458</v>
      </c>
      <c r="Z382" s="1" t="s">
        <v>457</v>
      </c>
      <c r="AA382" s="12" t="n">
        <f aca="false">T382=W382</f>
        <v>1</v>
      </c>
    </row>
    <row r="383" customFormat="false" ht="12.8" hidden="false" customHeight="false" outlineLevel="0" collapsed="false">
      <c r="A383" s="1" t="s">
        <v>459</v>
      </c>
      <c r="B383" s="1" t="n">
        <v>811100</v>
      </c>
      <c r="C383" s="1" t="n">
        <v>107594</v>
      </c>
      <c r="D383" s="1" t="n">
        <v>50214</v>
      </c>
      <c r="E383" s="1" t="n">
        <v>33893</v>
      </c>
      <c r="F383" s="1" t="n">
        <v>106215</v>
      </c>
      <c r="G383" s="1" t="n">
        <v>49030</v>
      </c>
      <c r="H383" s="1" t="n">
        <v>35604</v>
      </c>
      <c r="I383" s="1" t="n">
        <v>131352</v>
      </c>
      <c r="J383" s="1" t="n">
        <v>70849</v>
      </c>
      <c r="K383" s="1" t="n">
        <v>45483</v>
      </c>
      <c r="L383" s="7" t="n">
        <f aca="false">(J383/G383*F383/I383)</f>
        <v>1.16847922462072</v>
      </c>
      <c r="M383" s="7" t="n">
        <f aca="false">(D383/G383*F383/C383)</f>
        <v>1.01102227688029</v>
      </c>
      <c r="N383" s="7" t="n">
        <f aca="false">(K383/H383*F383/I383)</f>
        <v>1.03299798337471</v>
      </c>
      <c r="O383" s="7" t="n">
        <f aca="false">(E383/H383*F383/C383)</f>
        <v>0.939742826455937</v>
      </c>
      <c r="P383" s="7" t="n">
        <f aca="false">(IF(L383&gt;1,L383,1/L383) - 1)*100</f>
        <v>16.8479224620715</v>
      </c>
      <c r="Q383" s="7" t="n">
        <f aca="false">(IF(M383&gt;1,M383,1/M383) - 1)*100</f>
        <v>1.10222768802903</v>
      </c>
      <c r="R383" s="7" t="n">
        <f aca="false">(IF(N383&gt;1,N383,1/N383) - 1)*100</f>
        <v>3.29979833747076</v>
      </c>
      <c r="S383" s="7" t="n">
        <f aca="false">(IF(O383&gt;1,O383,1/O383) - 1)*100</f>
        <v>6.41209188808731</v>
      </c>
      <c r="T383" s="9" t="n">
        <f aca="false">(P383+Q383) &lt; (R383+S383)</f>
        <v>0</v>
      </c>
      <c r="U383" s="10" t="n">
        <f aca="false">IF($T383,P383,R383)</f>
        <v>3.29979833747076</v>
      </c>
      <c r="V383" s="11" t="n">
        <f aca="false">IF($T383,Q383,S383)</f>
        <v>6.41209188808731</v>
      </c>
      <c r="W383" s="12" t="n">
        <f aca="false">P383 &lt; R383</f>
        <v>0</v>
      </c>
      <c r="X383" s="10" t="n">
        <f aca="false">IF($W383,P383,R383)</f>
        <v>3.29979833747076</v>
      </c>
      <c r="Y383" s="1" t="n">
        <v>811100</v>
      </c>
      <c r="Z383" s="1" t="s">
        <v>459</v>
      </c>
      <c r="AA383" s="12" t="n">
        <f aca="false">T383=W383</f>
        <v>1</v>
      </c>
    </row>
    <row r="384" customFormat="false" ht="12.8" hidden="false" customHeight="false" outlineLevel="0" collapsed="false">
      <c r="A384" s="1" t="s">
        <v>460</v>
      </c>
      <c r="B384" s="1" t="n">
        <v>811200</v>
      </c>
      <c r="C384" s="1" t="n">
        <v>19006</v>
      </c>
      <c r="D384" s="1" t="n">
        <v>9702</v>
      </c>
      <c r="E384" s="1" t="n">
        <v>8760</v>
      </c>
      <c r="F384" s="1" t="n">
        <v>20586</v>
      </c>
      <c r="G384" s="1" t="n">
        <v>9833</v>
      </c>
      <c r="H384" s="1" t="n">
        <v>8853</v>
      </c>
      <c r="I384" s="1" t="n">
        <v>20997</v>
      </c>
      <c r="J384" s="1" t="n">
        <v>13179</v>
      </c>
      <c r="K384" s="1" t="n">
        <v>8659</v>
      </c>
      <c r="L384" s="7" t="n">
        <f aca="false">(J384/G384*F384/I384)</f>
        <v>1.31404772604336</v>
      </c>
      <c r="M384" s="7" t="n">
        <f aca="false">(D384/G384*F384/C384)</f>
        <v>1.06870163702687</v>
      </c>
      <c r="N384" s="7" t="n">
        <f aca="false">(K384/H384*F384/I384)</f>
        <v>0.958941238753396</v>
      </c>
      <c r="O384" s="7" t="n">
        <f aca="false">(E384/H384*F384/C384)</f>
        <v>1.07175343832815</v>
      </c>
      <c r="P384" s="7" t="n">
        <f aca="false">(IF(L384&gt;1,L384,1/L384) - 1)*100</f>
        <v>31.4047726043355</v>
      </c>
      <c r="Q384" s="7" t="n">
        <f aca="false">(IF(M384&gt;1,M384,1/M384) - 1)*100</f>
        <v>6.8701637026868</v>
      </c>
      <c r="R384" s="7" t="n">
        <f aca="false">(IF(N384&gt;1,N384,1/N384) - 1)*100</f>
        <v>4.28167645600266</v>
      </c>
      <c r="S384" s="7" t="n">
        <f aca="false">(IF(O384&gt;1,O384,1/O384) - 1)*100</f>
        <v>7.17534383281484</v>
      </c>
      <c r="T384" s="9" t="n">
        <f aca="false">(P384+Q384) &lt; (R384+S384)</f>
        <v>0</v>
      </c>
      <c r="U384" s="10" t="n">
        <f aca="false">IF($T384,P384,R384)</f>
        <v>4.28167645600266</v>
      </c>
      <c r="V384" s="11" t="n">
        <f aca="false">IF($T384,Q384,S384)</f>
        <v>7.17534383281484</v>
      </c>
      <c r="W384" s="12" t="n">
        <f aca="false">P384 &lt; R384</f>
        <v>0</v>
      </c>
      <c r="X384" s="10" t="n">
        <f aca="false">IF($W384,P384,R384)</f>
        <v>4.28167645600266</v>
      </c>
      <c r="Y384" s="1" t="n">
        <v>811200</v>
      </c>
      <c r="Z384" s="1" t="s">
        <v>460</v>
      </c>
      <c r="AA384" s="12" t="n">
        <f aca="false">T384=W384</f>
        <v>1</v>
      </c>
    </row>
    <row r="385" customFormat="false" ht="12.8" hidden="false" customHeight="false" outlineLevel="0" collapsed="false">
      <c r="A385" s="1" t="s">
        <v>461</v>
      </c>
      <c r="B385" s="1" t="n">
        <v>811300</v>
      </c>
      <c r="C385" s="1" t="n">
        <v>28940</v>
      </c>
      <c r="D385" s="1" t="n">
        <v>15210</v>
      </c>
      <c r="E385" s="1" t="n">
        <v>11820</v>
      </c>
      <c r="F385" s="1" t="n">
        <v>33719</v>
      </c>
      <c r="G385" s="1" t="n">
        <v>15366</v>
      </c>
      <c r="H385" s="1" t="n">
        <v>12461</v>
      </c>
      <c r="I385" s="1" t="n">
        <v>42351</v>
      </c>
      <c r="J385" s="1" t="n">
        <v>24267</v>
      </c>
      <c r="K385" s="1" t="n">
        <v>15059</v>
      </c>
      <c r="L385" s="7" t="n">
        <f aca="false">(J385/G385*F385/I385)</f>
        <v>1.25737921839878</v>
      </c>
      <c r="M385" s="7" t="n">
        <f aca="false">(D385/G385*F385/C385)</f>
        <v>1.15330598227034</v>
      </c>
      <c r="N385" s="7" t="n">
        <f aca="false">(K385/H385*F385/I385)</f>
        <v>0.962175411287372</v>
      </c>
      <c r="O385" s="7" t="n">
        <f aca="false">(E385/H385*F385/C385)</f>
        <v>1.10519965346477</v>
      </c>
      <c r="P385" s="7" t="n">
        <f aca="false">(IF(L385&gt;1,L385,1/L385) - 1)*100</f>
        <v>25.7379218398784</v>
      </c>
      <c r="Q385" s="7" t="n">
        <f aca="false">(IF(M385&gt;1,M385,1/M385) - 1)*100</f>
        <v>15.3305982270337</v>
      </c>
      <c r="R385" s="7" t="n">
        <f aca="false">(IF(N385&gt;1,N385,1/N385) - 1)*100</f>
        <v>3.93115312124004</v>
      </c>
      <c r="S385" s="7" t="n">
        <f aca="false">(IF(O385&gt;1,O385,1/O385) - 1)*100</f>
        <v>10.5199653464767</v>
      </c>
      <c r="T385" s="9" t="n">
        <f aca="false">(P385+Q385) &lt; (R385+S385)</f>
        <v>0</v>
      </c>
      <c r="U385" s="10" t="n">
        <f aca="false">IF($T385,P385,R385)</f>
        <v>3.93115312124004</v>
      </c>
      <c r="V385" s="11" t="n">
        <f aca="false">IF($T385,Q385,S385)</f>
        <v>10.5199653464767</v>
      </c>
      <c r="W385" s="12" t="n">
        <f aca="false">P385 &lt; R385</f>
        <v>0</v>
      </c>
      <c r="X385" s="10" t="n">
        <f aca="false">IF($W385,P385,R385)</f>
        <v>3.93115312124004</v>
      </c>
      <c r="Y385" s="1" t="n">
        <v>811300</v>
      </c>
      <c r="Z385" s="1" t="s">
        <v>461</v>
      </c>
      <c r="AA385" s="12" t="n">
        <f aca="false">T385=W385</f>
        <v>1</v>
      </c>
    </row>
    <row r="386" customFormat="false" ht="12.8" hidden="false" customHeight="false" outlineLevel="0" collapsed="false">
      <c r="A386" s="1" t="s">
        <v>462</v>
      </c>
      <c r="B386" s="1" t="n">
        <v>811400</v>
      </c>
      <c r="C386" s="1" t="n">
        <v>19652</v>
      </c>
      <c r="D386" s="1" t="n">
        <v>13763</v>
      </c>
      <c r="E386" s="1" t="n">
        <v>3055</v>
      </c>
      <c r="F386" s="1" t="n">
        <v>18685</v>
      </c>
      <c r="G386" s="1" t="n">
        <v>13588</v>
      </c>
      <c r="H386" s="1" t="n">
        <v>3580</v>
      </c>
      <c r="I386" s="1" t="n">
        <v>23952</v>
      </c>
      <c r="J386" s="1" t="n">
        <v>12407</v>
      </c>
      <c r="K386" s="1" t="n">
        <v>6344</v>
      </c>
      <c r="L386" s="7" t="n">
        <f aca="false">(J386/G386*F386/I386)</f>
        <v>0.712299374900326</v>
      </c>
      <c r="M386" s="7" t="n">
        <f aca="false">(D386/G386*F386/C386)</f>
        <v>0.963039096199692</v>
      </c>
      <c r="N386" s="7" t="n">
        <f aca="false">(K386/H386*F386/I386)</f>
        <v>1.38239281169415</v>
      </c>
      <c r="O386" s="7" t="n">
        <f aca="false">(E386/H386*F386/C386)</f>
        <v>0.811361758849797</v>
      </c>
      <c r="P386" s="7" t="n">
        <f aca="false">(IF(L386&gt;1,L386,1/L386) - 1)*100</f>
        <v>40.3904081959827</v>
      </c>
      <c r="Q386" s="7" t="n">
        <f aca="false">(IF(M386&gt;1,M386,1/M386) - 1)*100</f>
        <v>3.83794426894633</v>
      </c>
      <c r="R386" s="7" t="n">
        <f aca="false">(IF(N386&gt;1,N386,1/N386) - 1)*100</f>
        <v>38.2392811694152</v>
      </c>
      <c r="S386" s="7" t="n">
        <f aca="false">(IF(O386&gt;1,O386,1/O386) - 1)*100</f>
        <v>23.2495849222203</v>
      </c>
      <c r="T386" s="9" t="n">
        <f aca="false">(P386+Q386) &lt; (R386+S386)</f>
        <v>1</v>
      </c>
      <c r="U386" s="10" t="n">
        <f aca="false">IF($T386,P386,R386)</f>
        <v>40.3904081959827</v>
      </c>
      <c r="V386" s="11" t="n">
        <f aca="false">IF($T386,Q386,S386)</f>
        <v>3.83794426894633</v>
      </c>
      <c r="W386" s="12" t="n">
        <f aca="false">P386 &lt; R386</f>
        <v>0</v>
      </c>
      <c r="X386" s="10" t="n">
        <f aca="false">IF($W386,P386,R386)</f>
        <v>38.2392811694152</v>
      </c>
      <c r="Y386" s="1" t="n">
        <v>811400</v>
      </c>
      <c r="Z386" s="1" t="s">
        <v>462</v>
      </c>
      <c r="AA386" s="12" t="n">
        <f aca="false">T386=W386</f>
        <v>0</v>
      </c>
    </row>
    <row r="387" customFormat="false" ht="12.8" hidden="false" customHeight="false" outlineLevel="0" collapsed="false">
      <c r="A387" s="1" t="s">
        <v>463</v>
      </c>
      <c r="B387" s="1" t="n">
        <v>812100</v>
      </c>
      <c r="C387" s="1" t="n">
        <v>59196</v>
      </c>
      <c r="D387" s="1" t="n">
        <v>36138</v>
      </c>
      <c r="E387" s="1" t="n">
        <v>18890</v>
      </c>
      <c r="F387" s="1" t="n">
        <v>67293</v>
      </c>
      <c r="G387" s="1" t="n">
        <v>39410</v>
      </c>
      <c r="H387" s="1" t="n">
        <v>23398</v>
      </c>
      <c r="I387" s="1" t="n">
        <v>79575</v>
      </c>
      <c r="J387" s="1" t="n">
        <v>43418</v>
      </c>
      <c r="K387" s="1" t="n">
        <v>29909</v>
      </c>
      <c r="L387" s="7" t="n">
        <f aca="false">(J387/G387*F387/I387)</f>
        <v>0.931658224599841</v>
      </c>
      <c r="M387" s="7" t="n">
        <f aca="false">(D387/G387*F387/C387)</f>
        <v>1.04240193111932</v>
      </c>
      <c r="N387" s="7" t="n">
        <f aca="false">(K387/H387*F387/I387)</f>
        <v>1.08097686398517</v>
      </c>
      <c r="O387" s="7" t="n">
        <f aca="false">(E387/H387*F387/C387)</f>
        <v>0.917763433028481</v>
      </c>
      <c r="P387" s="7" t="n">
        <f aca="false">(IF(L387&gt;1,L387,1/L387) - 1)*100</f>
        <v>7.33549853322151</v>
      </c>
      <c r="Q387" s="7" t="n">
        <f aca="false">(IF(M387&gt;1,M387,1/M387) - 1)*100</f>
        <v>4.24019311193231</v>
      </c>
      <c r="R387" s="7" t="n">
        <f aca="false">(IF(N387&gt;1,N387,1/N387) - 1)*100</f>
        <v>8.09768639851687</v>
      </c>
      <c r="S387" s="7" t="n">
        <f aca="false">(IF(O387&gt;1,O387,1/O387) - 1)*100</f>
        <v>8.96054081171553</v>
      </c>
      <c r="T387" s="9" t="n">
        <f aca="false">(P387+Q387) &lt; (R387+S387)</f>
        <v>1</v>
      </c>
      <c r="U387" s="10" t="n">
        <f aca="false">IF($T387,P387,R387)</f>
        <v>7.33549853322151</v>
      </c>
      <c r="V387" s="11" t="n">
        <f aca="false">IF($T387,Q387,S387)</f>
        <v>4.24019311193231</v>
      </c>
      <c r="W387" s="12" t="n">
        <f aca="false">P387 &lt; R387</f>
        <v>1</v>
      </c>
      <c r="X387" s="10" t="n">
        <f aca="false">IF($W387,P387,R387)</f>
        <v>7.33549853322151</v>
      </c>
      <c r="Y387" s="1" t="n">
        <v>812100</v>
      </c>
      <c r="Z387" s="1" t="s">
        <v>463</v>
      </c>
      <c r="AA387" s="12" t="n">
        <f aca="false">T387=W387</f>
        <v>1</v>
      </c>
    </row>
    <row r="388" customFormat="false" ht="12.8" hidden="false" customHeight="false" outlineLevel="0" collapsed="false">
      <c r="A388" s="1" t="s">
        <v>464</v>
      </c>
      <c r="B388" s="1" t="n">
        <v>812200</v>
      </c>
      <c r="C388" s="1" t="n">
        <v>18052</v>
      </c>
      <c r="D388" s="1" t="n">
        <v>12030</v>
      </c>
      <c r="E388" s="1" t="n">
        <v>7977</v>
      </c>
      <c r="F388" s="1" t="n">
        <v>19287</v>
      </c>
      <c r="G388" s="1" t="n">
        <v>9946</v>
      </c>
      <c r="H388" s="1" t="n">
        <v>5686</v>
      </c>
      <c r="I388" s="1" t="n">
        <v>23216</v>
      </c>
      <c r="J388" s="1" t="n">
        <v>13652</v>
      </c>
      <c r="K388" s="1" t="n">
        <v>7741</v>
      </c>
      <c r="L388" s="7" t="n">
        <f aca="false">(J388/G388*F388/I388)</f>
        <v>1.14031571658562</v>
      </c>
      <c r="M388" s="7" t="n">
        <f aca="false">(D388/G388*F388/C388)</f>
        <v>1.29227971752092</v>
      </c>
      <c r="N388" s="7" t="n">
        <f aca="false">(K388/H388*F388/I388)</f>
        <v>1.13101274140386</v>
      </c>
      <c r="O388" s="7" t="n">
        <f aca="false">(E388/H388*F388/C388)</f>
        <v>1.4988980421511</v>
      </c>
      <c r="P388" s="7" t="n">
        <f aca="false">(IF(L388&gt;1,L388,1/L388) - 1)*100</f>
        <v>14.031571658562</v>
      </c>
      <c r="Q388" s="7" t="n">
        <f aca="false">(IF(M388&gt;1,M388,1/M388) - 1)*100</f>
        <v>29.2279717520924</v>
      </c>
      <c r="R388" s="7" t="n">
        <f aca="false">(IF(N388&gt;1,N388,1/N388) - 1)*100</f>
        <v>13.1012741403857</v>
      </c>
      <c r="S388" s="7" t="n">
        <f aca="false">(IF(O388&gt;1,O388,1/O388) - 1)*100</f>
        <v>49.8898042151103</v>
      </c>
      <c r="T388" s="9" t="n">
        <f aca="false">(P388+Q388) &lt; (R388+S388)</f>
        <v>1</v>
      </c>
      <c r="U388" s="10" t="n">
        <f aca="false">IF($T388,P388,R388)</f>
        <v>14.031571658562</v>
      </c>
      <c r="V388" s="11" t="n">
        <f aca="false">IF($T388,Q388,S388)</f>
        <v>29.2279717520924</v>
      </c>
      <c r="W388" s="12" t="n">
        <f aca="false">P388 &lt; R388</f>
        <v>0</v>
      </c>
      <c r="X388" s="10" t="n">
        <f aca="false">IF($W388,P388,R388)</f>
        <v>13.1012741403857</v>
      </c>
      <c r="Y388" s="1" t="n">
        <v>812200</v>
      </c>
      <c r="Z388" s="1" t="s">
        <v>464</v>
      </c>
      <c r="AA388" s="12" t="n">
        <f aca="false">T388=W388</f>
        <v>0</v>
      </c>
    </row>
    <row r="389" customFormat="false" ht="12.8" hidden="false" customHeight="false" outlineLevel="0" collapsed="false">
      <c r="A389" s="1" t="s">
        <v>465</v>
      </c>
      <c r="B389" s="1" t="n">
        <v>812300</v>
      </c>
      <c r="C389" s="1" t="n">
        <v>25634</v>
      </c>
      <c r="D389" s="1" t="n">
        <v>13062</v>
      </c>
      <c r="E389" s="1" t="n">
        <v>11968</v>
      </c>
      <c r="F389" s="1" t="n">
        <v>25305</v>
      </c>
      <c r="G389" s="1" t="n">
        <v>12516</v>
      </c>
      <c r="H389" s="1" t="n">
        <v>11595</v>
      </c>
      <c r="I389" s="1" t="n">
        <v>28173</v>
      </c>
      <c r="J389" s="1" t="n">
        <v>18288</v>
      </c>
      <c r="K389" s="1" t="n">
        <v>13444</v>
      </c>
      <c r="L389" s="7" t="n">
        <f aca="false">(J389/G389*F389/I389)</f>
        <v>1.31242321828911</v>
      </c>
      <c r="M389" s="7" t="n">
        <f aca="false">(D389/G389*F389/C389)</f>
        <v>1.03022974939429</v>
      </c>
      <c r="N389" s="7" t="n">
        <f aca="false">(K389/H389*F389/I389)</f>
        <v>1.04143218973842</v>
      </c>
      <c r="O389" s="7" t="n">
        <f aca="false">(E389/H389*F389/C389)</f>
        <v>1.01892164766212</v>
      </c>
      <c r="P389" s="7" t="n">
        <f aca="false">(IF(L389&gt;1,L389,1/L389) - 1)*100</f>
        <v>31.2423218289109</v>
      </c>
      <c r="Q389" s="7" t="n">
        <f aca="false">(IF(M389&gt;1,M389,1/M389) - 1)*100</f>
        <v>3.02297493942871</v>
      </c>
      <c r="R389" s="7" t="n">
        <f aca="false">(IF(N389&gt;1,N389,1/N389) - 1)*100</f>
        <v>4.14321897384249</v>
      </c>
      <c r="S389" s="7" t="n">
        <f aca="false">(IF(O389&gt;1,O389,1/O389) - 1)*100</f>
        <v>1.89216476621192</v>
      </c>
      <c r="T389" s="9" t="n">
        <f aca="false">(P389+Q389) &lt; (R389+S389)</f>
        <v>0</v>
      </c>
      <c r="U389" s="10" t="n">
        <f aca="false">IF($T389,P389,R389)</f>
        <v>4.14321897384249</v>
      </c>
      <c r="V389" s="11" t="n">
        <f aca="false">IF($T389,Q389,S389)</f>
        <v>1.89216476621192</v>
      </c>
      <c r="W389" s="12" t="n">
        <f aca="false">P389 &lt; R389</f>
        <v>0</v>
      </c>
      <c r="X389" s="10" t="n">
        <f aca="false">IF($W389,P389,R389)</f>
        <v>4.14321897384249</v>
      </c>
      <c r="Y389" s="1" t="n">
        <v>812300</v>
      </c>
      <c r="Z389" s="1" t="s">
        <v>465</v>
      </c>
      <c r="AA389" s="12" t="n">
        <f aca="false">T389=W389</f>
        <v>1</v>
      </c>
    </row>
    <row r="390" customFormat="false" ht="12.8" hidden="false" customHeight="false" outlineLevel="0" collapsed="false">
      <c r="A390" s="1" t="s">
        <v>466</v>
      </c>
      <c r="B390" s="1" t="n">
        <v>812900</v>
      </c>
      <c r="C390" s="1" t="n">
        <v>48067</v>
      </c>
      <c r="D390" s="1" t="n">
        <v>30873</v>
      </c>
      <c r="E390" s="1" t="n">
        <v>11445</v>
      </c>
      <c r="F390" s="1" t="n">
        <v>52547</v>
      </c>
      <c r="G390" s="1" t="n">
        <v>30494</v>
      </c>
      <c r="H390" s="1" t="n">
        <v>12067</v>
      </c>
      <c r="I390" s="1" t="n">
        <v>67381</v>
      </c>
      <c r="J390" s="1" t="n">
        <v>34869</v>
      </c>
      <c r="K390" s="1" t="n">
        <v>18426</v>
      </c>
      <c r="L390" s="7" t="n">
        <f aca="false">(J390/G390*F390/I390)</f>
        <v>0.891734503536652</v>
      </c>
      <c r="M390" s="7" t="n">
        <f aca="false">(D390/G390*F390/C390)</f>
        <v>1.10679030433773</v>
      </c>
      <c r="N390" s="7" t="n">
        <f aca="false">(K390/H390*F390/I390)</f>
        <v>1.19080932944791</v>
      </c>
      <c r="O390" s="7" t="n">
        <f aca="false">(E390/H390*F390/C390)</f>
        <v>1.03685348878433</v>
      </c>
      <c r="P390" s="7" t="n">
        <f aca="false">(IF(L390&gt;1,L390,1/L390) - 1)*100</f>
        <v>12.1410011650287</v>
      </c>
      <c r="Q390" s="7" t="n">
        <f aca="false">(IF(M390&gt;1,M390,1/M390) - 1)*100</f>
        <v>10.6790304337731</v>
      </c>
      <c r="R390" s="7" t="n">
        <f aca="false">(IF(N390&gt;1,N390,1/N390) - 1)*100</f>
        <v>19.080932944791</v>
      </c>
      <c r="S390" s="7" t="n">
        <f aca="false">(IF(O390&gt;1,O390,1/O390) - 1)*100</f>
        <v>3.6853488784333</v>
      </c>
      <c r="T390" s="9" t="n">
        <f aca="false">(P390+Q390) &lt; (R390+S390)</f>
        <v>0</v>
      </c>
      <c r="U390" s="10" t="n">
        <f aca="false">IF($T390,P390,R390)</f>
        <v>19.080932944791</v>
      </c>
      <c r="V390" s="11" t="n">
        <f aca="false">IF($T390,Q390,S390)</f>
        <v>3.6853488784333</v>
      </c>
      <c r="W390" s="12" t="n">
        <f aca="false">P390 &lt; R390</f>
        <v>1</v>
      </c>
      <c r="X390" s="10" t="n">
        <f aca="false">IF($W390,P390,R390)</f>
        <v>12.1410011650287</v>
      </c>
      <c r="Y390" s="1" t="n">
        <v>812900</v>
      </c>
      <c r="Z390" s="1" t="s">
        <v>466</v>
      </c>
      <c r="AA390" s="12" t="n">
        <f aca="false">T390=W390</f>
        <v>0</v>
      </c>
    </row>
    <row r="391" customFormat="false" ht="12.8" hidden="false" customHeight="false" outlineLevel="0" collapsed="false">
      <c r="A391" s="1" t="s">
        <v>467</v>
      </c>
      <c r="B391" s="1" t="n">
        <v>813100</v>
      </c>
      <c r="C391" s="1" t="n">
        <v>77714</v>
      </c>
      <c r="D391" s="1" t="n">
        <v>22316</v>
      </c>
      <c r="E391" s="1" t="n">
        <v>16003</v>
      </c>
      <c r="F391" s="1" t="n">
        <v>82664</v>
      </c>
      <c r="G391" s="1" t="n">
        <v>28879</v>
      </c>
      <c r="H391" s="1" t="n">
        <v>19489</v>
      </c>
      <c r="I391" s="1" t="n">
        <v>100432</v>
      </c>
      <c r="J391" s="1" t="n">
        <v>69252</v>
      </c>
      <c r="K391" s="1" t="n">
        <v>57158</v>
      </c>
      <c r="L391" s="7" t="n">
        <f aca="false">(J391/G391*F391/I391)</f>
        <v>1.97376059685464</v>
      </c>
      <c r="M391" s="7" t="n">
        <f aca="false">(D391/G391*F391/C391)</f>
        <v>0.821961271652153</v>
      </c>
      <c r="N391" s="7" t="n">
        <f aca="false">(K391/H391*F391/I391)</f>
        <v>2.41396947218904</v>
      </c>
      <c r="O391" s="7" t="n">
        <f aca="false">(E391/H391*F391/C391)</f>
        <v>0.873431806613474</v>
      </c>
      <c r="P391" s="7" t="n">
        <f aca="false">(IF(L391&gt;1,L391,1/L391) - 1)*100</f>
        <v>97.3760596854643</v>
      </c>
      <c r="Q391" s="7" t="n">
        <f aca="false">(IF(M391&gt;1,M391,1/M391) - 1)*100</f>
        <v>21.6602332114733</v>
      </c>
      <c r="R391" s="7" t="n">
        <f aca="false">(IF(N391&gt;1,N391,1/N391) - 1)*100</f>
        <v>141.396947218904</v>
      </c>
      <c r="S391" s="7" t="n">
        <f aca="false">(IF(O391&gt;1,O391,1/O391) - 1)*100</f>
        <v>14.4909072955866</v>
      </c>
      <c r="T391" s="9" t="n">
        <f aca="false">(P391+Q391) &lt; (R391+S391)</f>
        <v>1</v>
      </c>
      <c r="U391" s="10" t="n">
        <f aca="false">IF($T391,P391,R391)</f>
        <v>97.3760596854643</v>
      </c>
      <c r="V391" s="11" t="n">
        <f aca="false">IF($T391,Q391,S391)</f>
        <v>21.6602332114733</v>
      </c>
      <c r="W391" s="12" t="n">
        <f aca="false">P391 &lt; R391</f>
        <v>1</v>
      </c>
      <c r="X391" s="10" t="n">
        <f aca="false">IF($W391,P391,R391)</f>
        <v>97.3760596854643</v>
      </c>
      <c r="Y391" s="1" t="n">
        <v>813100</v>
      </c>
      <c r="Z391" s="1" t="s">
        <v>467</v>
      </c>
      <c r="AA391" s="12" t="n">
        <f aca="false">T391=W391</f>
        <v>1</v>
      </c>
    </row>
    <row r="392" customFormat="false" ht="12.8" hidden="false" customHeight="false" outlineLevel="0" collapsed="false">
      <c r="A392" s="1" t="s">
        <v>468</v>
      </c>
      <c r="B392" s="1" t="s">
        <v>469</v>
      </c>
      <c r="C392" s="1" t="n">
        <v>41664</v>
      </c>
      <c r="D392" s="1" t="n">
        <v>41575</v>
      </c>
      <c r="E392" s="1" t="n">
        <v>34290</v>
      </c>
      <c r="F392" s="1" t="n">
        <v>44405</v>
      </c>
      <c r="G392" s="1" t="n">
        <v>42104</v>
      </c>
      <c r="H392" s="1" t="n">
        <v>34762</v>
      </c>
      <c r="I392" s="1" t="n">
        <v>59649</v>
      </c>
      <c r="J392" s="1" t="n">
        <v>39204</v>
      </c>
      <c r="K392" s="1" t="n">
        <v>29428</v>
      </c>
      <c r="L392" s="7" t="n">
        <f aca="false">(J392/G392*F392/I392)</f>
        <v>0.693163571399623</v>
      </c>
      <c r="M392" s="7" t="n">
        <f aca="false">(D392/G392*F392/C392)</f>
        <v>1.05239751209553</v>
      </c>
      <c r="N392" s="7" t="n">
        <f aca="false">(K392/H392*F392/I392)</f>
        <v>0.630209142600875</v>
      </c>
      <c r="O392" s="7" t="n">
        <f aca="false">(E392/H392*F392/C392)</f>
        <v>1.05131689017246</v>
      </c>
      <c r="P392" s="7" t="n">
        <f aca="false">(IF(L392&gt;1,L392,1/L392) - 1)*100</f>
        <v>44.2660926310392</v>
      </c>
      <c r="Q392" s="7" t="n">
        <f aca="false">(IF(M392&gt;1,M392,1/M392) - 1)*100</f>
        <v>5.23975120955338</v>
      </c>
      <c r="R392" s="7" t="n">
        <f aca="false">(IF(N392&gt;1,N392,1/N392) - 1)*100</f>
        <v>58.6774821883727</v>
      </c>
      <c r="S392" s="7" t="n">
        <f aca="false">(IF(O392&gt;1,O392,1/O392) - 1)*100</f>
        <v>5.13168901724617</v>
      </c>
      <c r="T392" s="9" t="n">
        <f aca="false">(P392+Q392) &lt; (R392+S392)</f>
        <v>1</v>
      </c>
      <c r="U392" s="10" t="n">
        <f aca="false">IF($T392,P392,R392)</f>
        <v>44.2660926310392</v>
      </c>
      <c r="V392" s="11" t="n">
        <f aca="false">IF($T392,Q392,S392)</f>
        <v>5.23975120955338</v>
      </c>
      <c r="W392" s="12" t="n">
        <f aca="false">P392 &lt; R392</f>
        <v>1</v>
      </c>
      <c r="X392" s="10" t="n">
        <f aca="false">IF($W392,P392,R392)</f>
        <v>44.2660926310392</v>
      </c>
      <c r="Y392" s="1" t="s">
        <v>469</v>
      </c>
      <c r="Z392" s="1" t="s">
        <v>468</v>
      </c>
      <c r="AA392" s="12" t="n">
        <f aca="false">T392=W392</f>
        <v>1</v>
      </c>
    </row>
    <row r="393" customFormat="false" ht="12.8" hidden="false" customHeight="false" outlineLevel="0" collapsed="false">
      <c r="A393" s="1" t="s">
        <v>470</v>
      </c>
      <c r="B393" s="1" t="s">
        <v>471</v>
      </c>
      <c r="C393" s="1" t="n">
        <v>63930</v>
      </c>
      <c r="D393" s="1" t="n">
        <v>58909</v>
      </c>
      <c r="E393" s="1" t="n">
        <v>54935</v>
      </c>
      <c r="F393" s="1" t="n">
        <v>77827</v>
      </c>
      <c r="G393" s="1" t="n">
        <v>69972</v>
      </c>
      <c r="H393" s="1" t="n">
        <v>66112</v>
      </c>
      <c r="I393" s="1" t="n">
        <v>99722</v>
      </c>
      <c r="J393" s="1" t="n">
        <v>61699</v>
      </c>
      <c r="K393" s="1" t="n">
        <v>55157</v>
      </c>
      <c r="L393" s="7" t="n">
        <f aca="false">(J393/G393*F393/I393)</f>
        <v>0.688165898459479</v>
      </c>
      <c r="M393" s="7" t="n">
        <f aca="false">(D393/G393*F393/C393)</f>
        <v>1.02490343481586</v>
      </c>
      <c r="N393" s="7" t="n">
        <f aca="false">(K393/H393*F393/I393)</f>
        <v>0.65111792471721</v>
      </c>
      <c r="O393" s="7" t="n">
        <f aca="false">(E393/H393*F393/C393)</f>
        <v>1.01156645462941</v>
      </c>
      <c r="P393" s="7" t="n">
        <f aca="false">(IF(L393&gt;1,L393,1/L393) - 1)*100</f>
        <v>45.3137974779903</v>
      </c>
      <c r="Q393" s="7" t="n">
        <f aca="false">(IF(M393&gt;1,M393,1/M393) - 1)*100</f>
        <v>2.49034348158606</v>
      </c>
      <c r="R393" s="7" t="n">
        <f aca="false">(IF(N393&gt;1,N393,1/N393) - 1)*100</f>
        <v>53.5820105757825</v>
      </c>
      <c r="S393" s="7" t="n">
        <f aca="false">(IF(O393&gt;1,O393,1/O393) - 1)*100</f>
        <v>1.15664546294054</v>
      </c>
      <c r="T393" s="9" t="n">
        <f aca="false">(P393+Q393) &lt; (R393+S393)</f>
        <v>1</v>
      </c>
      <c r="U393" s="10" t="n">
        <f aca="false">IF($T393,P393,R393)</f>
        <v>45.3137974779903</v>
      </c>
      <c r="V393" s="11" t="n">
        <f aca="false">IF($T393,Q393,S393)</f>
        <v>2.49034348158606</v>
      </c>
      <c r="W393" s="12" t="n">
        <f aca="false">P393 &lt; R393</f>
        <v>1</v>
      </c>
      <c r="X393" s="10" t="n">
        <f aca="false">IF($W393,P393,R393)</f>
        <v>45.3137974779903</v>
      </c>
      <c r="Y393" s="1" t="s">
        <v>471</v>
      </c>
      <c r="Z393" s="1" t="s">
        <v>470</v>
      </c>
      <c r="AA393" s="12" t="n">
        <f aca="false">T393=W393</f>
        <v>1</v>
      </c>
    </row>
    <row r="394" customFormat="false" ht="12.8" hidden="false" customHeight="false" outlineLevel="0" collapsed="false">
      <c r="A394" s="1" t="s">
        <v>472</v>
      </c>
      <c r="B394" s="1" t="n">
        <v>814000</v>
      </c>
      <c r="C394" s="1" t="n">
        <v>18043</v>
      </c>
      <c r="D394" s="1" t="n">
        <v>18043</v>
      </c>
      <c r="E394" s="1" t="n">
        <v>18043</v>
      </c>
      <c r="F394" s="1" t="n">
        <v>17330</v>
      </c>
      <c r="G394" s="1" t="n">
        <v>17330</v>
      </c>
      <c r="H394" s="1" t="n">
        <v>17330</v>
      </c>
      <c r="I394" s="1" t="n">
        <v>18684</v>
      </c>
      <c r="J394" s="1" t="n">
        <v>18684</v>
      </c>
      <c r="K394" s="1" t="n">
        <v>18684</v>
      </c>
      <c r="L394" s="7" t="n">
        <f aca="false">(J394/G394*F394/I394)</f>
        <v>1</v>
      </c>
      <c r="M394" s="7" t="n">
        <f aca="false">(D394/G394*F394/C394)</f>
        <v>1</v>
      </c>
      <c r="N394" s="7" t="n">
        <f aca="false">(K394/H394*F394/I394)</f>
        <v>1</v>
      </c>
      <c r="O394" s="7" t="n">
        <f aca="false">(E394/H394*F394/C394)</f>
        <v>1</v>
      </c>
      <c r="P394" s="7" t="n">
        <f aca="false">(IF(L394&gt;1,L394,1/L394) - 1)*100</f>
        <v>0</v>
      </c>
      <c r="Q394" s="7" t="n">
        <f aca="false">(IF(M394&gt;1,M394,1/M394) - 1)*100</f>
        <v>0</v>
      </c>
      <c r="R394" s="7" t="n">
        <f aca="false">(IF(N394&gt;1,N394,1/N394) - 1)*100</f>
        <v>0</v>
      </c>
      <c r="S394" s="7" t="n">
        <f aca="false">(IF(O394&gt;1,O394,1/O394) - 1)*100</f>
        <v>0</v>
      </c>
      <c r="T394" s="9" t="n">
        <f aca="false">(P394+Q394) &lt; (R394+S394)</f>
        <v>0</v>
      </c>
      <c r="U394" s="10" t="n">
        <f aca="false">IF($T394,P394,R394)</f>
        <v>0</v>
      </c>
      <c r="V394" s="11" t="n">
        <f aca="false">IF($T394,Q394,S394)</f>
        <v>0</v>
      </c>
      <c r="W394" s="12" t="n">
        <f aca="false">P394 &lt; R394</f>
        <v>0</v>
      </c>
      <c r="X394" s="10" t="n">
        <f aca="false">IF($W394,P394,R394)</f>
        <v>0</v>
      </c>
      <c r="Y394" s="1" t="n">
        <v>814000</v>
      </c>
      <c r="Z394" s="1" t="s">
        <v>472</v>
      </c>
      <c r="AA394" s="12" t="n">
        <f aca="false">T394=W394</f>
        <v>1</v>
      </c>
    </row>
    <row r="395" customFormat="false" ht="12.8" hidden="false" customHeight="false" outlineLevel="0" collapsed="false">
      <c r="A395" s="1" t="s">
        <v>473</v>
      </c>
      <c r="B395" s="1" t="s">
        <v>474</v>
      </c>
      <c r="C395" s="1" t="n">
        <v>549978</v>
      </c>
      <c r="D395" s="1" t="n">
        <v>331100</v>
      </c>
      <c r="E395" s="1" t="n">
        <v>201511</v>
      </c>
      <c r="F395" s="1" t="n">
        <v>676302</v>
      </c>
      <c r="G395" s="1" t="n">
        <v>407610</v>
      </c>
      <c r="H395" s="1" t="n">
        <v>248004</v>
      </c>
      <c r="I395" s="1" t="n">
        <v>624290</v>
      </c>
      <c r="J395" s="1" t="n">
        <v>405619</v>
      </c>
      <c r="K395" s="1" t="n">
        <v>246097</v>
      </c>
      <c r="L395" s="7" t="n">
        <f aca="false">(J395/G395*F395/I395)</f>
        <v>1.07802232109946</v>
      </c>
      <c r="M395" s="7" t="n">
        <f aca="false">(D395/G395*F395/C395)</f>
        <v>0.998871691086087</v>
      </c>
      <c r="N395" s="7" t="n">
        <f aca="false">(K395/H395*F395/I395)</f>
        <v>1.07498381960233</v>
      </c>
      <c r="O395" s="7" t="n">
        <f aca="false">(E395/H395*F395/C395)</f>
        <v>0.999160892065914</v>
      </c>
      <c r="P395" s="7" t="n">
        <f aca="false">(IF(L395&gt;1,L395,1/L395) - 1)*100</f>
        <v>7.80223210994642</v>
      </c>
      <c r="Q395" s="7" t="n">
        <f aca="false">(IF(M395&gt;1,M395,1/M395) - 1)*100</f>
        <v>0.112958343296898</v>
      </c>
      <c r="R395" s="7" t="n">
        <f aca="false">(IF(N395&gt;1,N395,1/N395) - 1)*100</f>
        <v>7.49838196023265</v>
      </c>
      <c r="S395" s="7" t="n">
        <f aca="false">(IF(O395&gt;1,O395,1/O395) - 1)*100</f>
        <v>0.0839812627524417</v>
      </c>
      <c r="T395" s="9" t="n">
        <f aca="false">(P395+Q395) &lt; (R395+S395)</f>
        <v>0</v>
      </c>
      <c r="U395" s="10" t="n">
        <f aca="false">IF($T395,P395,R395)</f>
        <v>7.49838196023265</v>
      </c>
      <c r="V395" s="11" t="n">
        <f aca="false">IF($T395,Q395,S395)</f>
        <v>0.0839812627524417</v>
      </c>
      <c r="W395" s="12" t="n">
        <f aca="false">P395 &lt; R395</f>
        <v>0</v>
      </c>
      <c r="X395" s="10" t="n">
        <f aca="false">IF($W395,P395,R395)</f>
        <v>7.49838196023265</v>
      </c>
      <c r="Y395" s="1" t="s">
        <v>474</v>
      </c>
      <c r="Z395" s="1" t="s">
        <v>473</v>
      </c>
      <c r="AA395" s="12" t="n">
        <f aca="false">T395=W395</f>
        <v>1</v>
      </c>
    </row>
    <row r="396" customFormat="false" ht="12.8" hidden="false" customHeight="false" outlineLevel="0" collapsed="false">
      <c r="A396" s="1" t="s">
        <v>475</v>
      </c>
      <c r="B396" s="1" t="s">
        <v>476</v>
      </c>
      <c r="C396" s="1" t="n">
        <v>291130</v>
      </c>
      <c r="D396" s="1" t="n">
        <v>204644</v>
      </c>
      <c r="E396" s="1" t="n">
        <v>127556</v>
      </c>
      <c r="F396" s="1" t="n">
        <v>370377</v>
      </c>
      <c r="G396" s="1" t="n">
        <v>256052</v>
      </c>
      <c r="H396" s="1" t="n">
        <v>161051</v>
      </c>
      <c r="I396" s="1" t="n">
        <v>405353</v>
      </c>
      <c r="J396" s="1" t="n">
        <v>296526</v>
      </c>
      <c r="K396" s="1" t="n">
        <v>184220</v>
      </c>
      <c r="L396" s="7" t="n">
        <f aca="false">(J396/G396*F396/I396)</f>
        <v>1.05814509921463</v>
      </c>
      <c r="M396" s="7" t="n">
        <f aca="false">(D396/G396*F396/C396)</f>
        <v>1.01678210185028</v>
      </c>
      <c r="N396" s="7" t="n">
        <f aca="false">(K396/H396*F396/I396)</f>
        <v>1.04516286395109</v>
      </c>
      <c r="O396" s="7" t="n">
        <f aca="false">(E396/H396*F396/C396)</f>
        <v>1.00761474769747</v>
      </c>
      <c r="P396" s="7" t="n">
        <f aca="false">(IF(L396&gt;1,L396,1/L396) - 1)*100</f>
        <v>5.81450992146342</v>
      </c>
      <c r="Q396" s="7" t="n">
        <f aca="false">(IF(M396&gt;1,M396,1/M396) - 1)*100</f>
        <v>1.6782101850277</v>
      </c>
      <c r="R396" s="7" t="n">
        <f aca="false">(IF(N396&gt;1,N396,1/N396) - 1)*100</f>
        <v>4.51628639510944</v>
      </c>
      <c r="S396" s="7" t="n">
        <f aca="false">(IF(O396&gt;1,O396,1/O396) - 1)*100</f>
        <v>0.76147476974735</v>
      </c>
      <c r="T396" s="9" t="n">
        <f aca="false">(P396+Q396) &lt; (R396+S396)</f>
        <v>0</v>
      </c>
      <c r="U396" s="10" t="n">
        <f aca="false">IF($T396,P396,R396)</f>
        <v>4.51628639510944</v>
      </c>
      <c r="V396" s="11" t="n">
        <f aca="false">IF($T396,Q396,S396)</f>
        <v>0.76147476974735</v>
      </c>
      <c r="W396" s="12" t="n">
        <f aca="false">P396 &lt; R396</f>
        <v>0</v>
      </c>
      <c r="X396" s="10" t="n">
        <f aca="false">IF($W396,P396,R396)</f>
        <v>4.51628639510944</v>
      </c>
      <c r="Y396" s="1" t="s">
        <v>476</v>
      </c>
      <c r="Z396" s="1" t="s">
        <v>475</v>
      </c>
      <c r="AA396" s="12" t="n">
        <f aca="false">T396=W396</f>
        <v>1</v>
      </c>
    </row>
    <row r="397" customFormat="false" ht="12.8" hidden="false" customHeight="false" outlineLevel="0" collapsed="false">
      <c r="A397" s="1" t="s">
        <v>477</v>
      </c>
      <c r="B397" s="1" t="n">
        <v>491000</v>
      </c>
      <c r="C397" s="1" t="n">
        <v>74832</v>
      </c>
      <c r="D397" s="1" t="n">
        <v>53198</v>
      </c>
      <c r="E397" s="1" t="n">
        <v>54240</v>
      </c>
      <c r="F397" s="1" t="n">
        <v>61890</v>
      </c>
      <c r="G397" s="1" t="n">
        <v>35803</v>
      </c>
      <c r="H397" s="1" t="n">
        <v>40679</v>
      </c>
      <c r="I397" s="1" t="n">
        <v>69731</v>
      </c>
      <c r="J397" s="1" t="n">
        <v>57030</v>
      </c>
      <c r="K397" s="1" t="n">
        <v>54249</v>
      </c>
      <c r="L397" s="7" t="n">
        <f aca="false">(J397/G397*F397/I397)</f>
        <v>1.41376928584931</v>
      </c>
      <c r="M397" s="7" t="n">
        <f aca="false">(D397/G397*F397/C397)</f>
        <v>1.22887870007489</v>
      </c>
      <c r="N397" s="7" t="n">
        <f aca="false">(K397/H397*F397/I397)</f>
        <v>1.18363025597771</v>
      </c>
      <c r="O397" s="7" t="n">
        <f aca="false">(E397/H397*F397/C397)</f>
        <v>1.10276390534941</v>
      </c>
      <c r="P397" s="7" t="n">
        <f aca="false">(IF(L397&gt;1,L397,1/L397) - 1)*100</f>
        <v>41.376928584931</v>
      </c>
      <c r="Q397" s="7" t="n">
        <f aca="false">(IF(M397&gt;1,M397,1/M397) - 1)*100</f>
        <v>22.887870007489</v>
      </c>
      <c r="R397" s="7" t="n">
        <f aca="false">(IF(N397&gt;1,N397,1/N397) - 1)*100</f>
        <v>18.3630255977709</v>
      </c>
      <c r="S397" s="7" t="n">
        <f aca="false">(IF(O397&gt;1,O397,1/O397) - 1)*100</f>
        <v>10.2763905349413</v>
      </c>
      <c r="T397" s="9" t="n">
        <f aca="false">(P397+Q397) &lt; (R397+S397)</f>
        <v>0</v>
      </c>
      <c r="U397" s="10" t="n">
        <f aca="false">IF($T397,P397,R397)</f>
        <v>18.3630255977709</v>
      </c>
      <c r="V397" s="11" t="n">
        <f aca="false">IF($T397,Q397,S397)</f>
        <v>10.2763905349413</v>
      </c>
      <c r="W397" s="12" t="n">
        <f aca="false">P397 &lt; R397</f>
        <v>0</v>
      </c>
      <c r="X397" s="10" t="n">
        <f aca="false">IF($W397,P397,R397)</f>
        <v>18.3630255977709</v>
      </c>
      <c r="Y397" s="1" t="n">
        <v>491000</v>
      </c>
      <c r="Z397" s="1" t="s">
        <v>477</v>
      </c>
      <c r="AA397" s="12" t="n">
        <f aca="false">T397=W397</f>
        <v>1</v>
      </c>
    </row>
    <row r="398" customFormat="false" ht="12.8" hidden="false" customHeight="false" outlineLevel="0" collapsed="false">
      <c r="A398" s="1" t="s">
        <v>478</v>
      </c>
      <c r="B398" s="1" t="s">
        <v>479</v>
      </c>
      <c r="C398" s="1" t="n">
        <v>12358</v>
      </c>
      <c r="D398" s="1" t="n">
        <v>6377</v>
      </c>
      <c r="E398" s="1" t="n">
        <v>1759</v>
      </c>
      <c r="F398" s="1" t="n">
        <v>13795</v>
      </c>
      <c r="G398" s="1" t="n">
        <v>5850</v>
      </c>
      <c r="H398" s="1" t="n">
        <v>3686</v>
      </c>
      <c r="I398" s="1" t="n">
        <v>15873</v>
      </c>
      <c r="J398" s="1" t="n">
        <v>6563</v>
      </c>
      <c r="K398" s="1" t="n">
        <v>1997</v>
      </c>
      <c r="L398" s="7" t="n">
        <f aca="false">(J398/G398*F398/I398)</f>
        <v>0.975010351933429</v>
      </c>
      <c r="M398" s="7" t="n">
        <f aca="false">(D398/G398*F398/C398)</f>
        <v>1.21684164588356</v>
      </c>
      <c r="N398" s="7" t="n">
        <f aca="false">(K398/H398*F398/I398)</f>
        <v>0.470853087510711</v>
      </c>
      <c r="O398" s="7" t="n">
        <f aca="false">(E398/H398*F398/C398)</f>
        <v>0.532701626121136</v>
      </c>
      <c r="P398" s="7" t="n">
        <f aca="false">(IF(L398&gt;1,L398,1/L398) - 1)*100</f>
        <v>2.56301361488287</v>
      </c>
      <c r="Q398" s="7" t="n">
        <f aca="false">(IF(M398&gt;1,M398,1/M398) - 1)*100</f>
        <v>21.6841645883562</v>
      </c>
      <c r="R398" s="7" t="n">
        <f aca="false">(IF(N398&gt;1,N398,1/N398) - 1)*100</f>
        <v>112.38046994377</v>
      </c>
      <c r="S398" s="7" t="n">
        <f aca="false">(IF(O398&gt;1,O398,1/O398) - 1)*100</f>
        <v>87.7223479270179</v>
      </c>
      <c r="T398" s="9" t="n">
        <f aca="false">(P398+Q398) &lt; (R398+S398)</f>
        <v>1</v>
      </c>
      <c r="U398" s="10" t="n">
        <f aca="false">IF($T398,P398,R398)</f>
        <v>2.56301361488287</v>
      </c>
      <c r="V398" s="11" t="n">
        <f aca="false">IF($T398,Q398,S398)</f>
        <v>21.6841645883562</v>
      </c>
      <c r="W398" s="12" t="n">
        <f aca="false">P398 &lt; R398</f>
        <v>1</v>
      </c>
      <c r="X398" s="10" t="n">
        <f aca="false">IF($W398,P398,R398)</f>
        <v>2.56301361488287</v>
      </c>
      <c r="Y398" s="1" t="s">
        <v>479</v>
      </c>
      <c r="Z398" s="1" t="s">
        <v>478</v>
      </c>
      <c r="AA398" s="12" t="n">
        <f aca="false">T398=W398</f>
        <v>1</v>
      </c>
    </row>
    <row r="399" customFormat="false" ht="12.8" hidden="false" customHeight="false" outlineLevel="0" collapsed="false">
      <c r="A399" s="1" t="s">
        <v>480</v>
      </c>
      <c r="B399" s="1" t="s">
        <v>481</v>
      </c>
      <c r="C399" s="1" t="n">
        <v>16711</v>
      </c>
      <c r="D399" s="1" t="n">
        <v>10904</v>
      </c>
      <c r="E399" s="1" t="n">
        <v>4929</v>
      </c>
      <c r="F399" s="1" t="n">
        <v>28352</v>
      </c>
      <c r="G399" s="1" t="n">
        <v>15464</v>
      </c>
      <c r="H399" s="1" t="n">
        <v>11732</v>
      </c>
      <c r="I399" s="1" t="n">
        <v>15546</v>
      </c>
      <c r="J399" s="1" t="n">
        <v>7053</v>
      </c>
      <c r="K399" s="1" t="n">
        <v>2973</v>
      </c>
      <c r="L399" s="7" t="n">
        <f aca="false">(J399/G399*F399/I399)</f>
        <v>0.831796482830954</v>
      </c>
      <c r="M399" s="7" t="n">
        <f aca="false">(D399/G399*F399/C399)</f>
        <v>1.1963142139168</v>
      </c>
      <c r="N399" s="7" t="n">
        <f aca="false">(K399/H399*F399/I399)</f>
        <v>0.462155250879576</v>
      </c>
      <c r="O399" s="7" t="n">
        <f aca="false">(E399/H399*F399/C399)</f>
        <v>0.712800547883237</v>
      </c>
      <c r="P399" s="7" t="n">
        <f aca="false">(IF(L399&gt;1,L399,1/L399) - 1)*100</f>
        <v>20.2217153643856</v>
      </c>
      <c r="Q399" s="7" t="n">
        <f aca="false">(IF(M399&gt;1,M399,1/M399) - 1)*100</f>
        <v>19.6314213916796</v>
      </c>
      <c r="R399" s="7" t="n">
        <f aca="false">(IF(N399&gt;1,N399,1/N399) - 1)*100</f>
        <v>116.377504766374</v>
      </c>
      <c r="S399" s="7" t="n">
        <f aca="false">(IF(O399&gt;1,O399,1/O399) - 1)*100</f>
        <v>40.2916991253222</v>
      </c>
      <c r="T399" s="9" t="n">
        <f aca="false">(P399+Q399) &lt; (R399+S399)</f>
        <v>1</v>
      </c>
      <c r="U399" s="10" t="n">
        <f aca="false">IF($T399,P399,R399)</f>
        <v>20.2217153643856</v>
      </c>
      <c r="V399" s="11" t="n">
        <f aca="false">IF($T399,Q399,S399)</f>
        <v>19.6314213916796</v>
      </c>
      <c r="W399" s="12" t="n">
        <f aca="false">P399 &lt; R399</f>
        <v>1</v>
      </c>
      <c r="X399" s="10" t="n">
        <f aca="false">IF($W399,P399,R399)</f>
        <v>20.2217153643856</v>
      </c>
      <c r="Y399" s="1" t="s">
        <v>481</v>
      </c>
      <c r="Z399" s="1" t="s">
        <v>480</v>
      </c>
      <c r="AA399" s="12" t="n">
        <f aca="false">T399=W399</f>
        <v>1</v>
      </c>
    </row>
    <row r="400" customFormat="false" ht="12.8" hidden="false" customHeight="false" outlineLevel="0" collapsed="false">
      <c r="A400" s="1" t="s">
        <v>482</v>
      </c>
      <c r="B400" s="1" t="s">
        <v>483</v>
      </c>
      <c r="C400" s="1" t="n">
        <v>797216</v>
      </c>
      <c r="D400" s="1" t="n">
        <v>615985</v>
      </c>
      <c r="E400" s="1" t="n">
        <v>564646</v>
      </c>
      <c r="F400" s="1" t="n">
        <v>897146</v>
      </c>
      <c r="G400" s="1" t="n">
        <v>694049</v>
      </c>
      <c r="H400" s="1" t="n">
        <v>627552</v>
      </c>
      <c r="I400" s="1" t="n">
        <v>1019982</v>
      </c>
      <c r="J400" s="1" t="n">
        <v>808185</v>
      </c>
      <c r="K400" s="1" t="n">
        <v>731648</v>
      </c>
      <c r="L400" s="7" t="n">
        <f aca="false">(J400/G400*F400/I400)</f>
        <v>1.02421532622649</v>
      </c>
      <c r="M400" s="7" t="n">
        <f aca="false">(D400/G400*F400/C400)</f>
        <v>0.998773757039492</v>
      </c>
      <c r="N400" s="7" t="n">
        <f aca="false">(K400/H400*F400/I400)</f>
        <v>1.0254703059291</v>
      </c>
      <c r="O400" s="7" t="n">
        <f aca="false">(E400/H400*F400/C400)</f>
        <v>1.01254342221193</v>
      </c>
      <c r="P400" s="7" t="n">
        <f aca="false">(IF(L400&gt;1,L400,1/L400) - 1)*100</f>
        <v>2.4215326226491</v>
      </c>
      <c r="Q400" s="7" t="n">
        <f aca="false">(IF(M400&gt;1,M400,1/M400) - 1)*100</f>
        <v>0.12277484784371</v>
      </c>
      <c r="R400" s="7" t="n">
        <f aca="false">(IF(N400&gt;1,N400,1/N400) - 1)*100</f>
        <v>2.54703059290979</v>
      </c>
      <c r="S400" s="7" t="n">
        <f aca="false">(IF(O400&gt;1,O400,1/O400) - 1)*100</f>
        <v>1.25434222119312</v>
      </c>
      <c r="T400" s="9" t="n">
        <f aca="false">(P400+Q400) &lt; (R400+S400)</f>
        <v>1</v>
      </c>
      <c r="U400" s="10" t="n">
        <f aca="false">IF($T400,P400,R400)</f>
        <v>2.4215326226491</v>
      </c>
      <c r="V400" s="11" t="n">
        <f aca="false">IF($T400,Q400,S400)</f>
        <v>0.12277484784371</v>
      </c>
      <c r="W400" s="12" t="n">
        <f aca="false">P400 &lt; R400</f>
        <v>1</v>
      </c>
      <c r="X400" s="10" t="n">
        <f aca="false">IF($W400,P400,R400)</f>
        <v>2.4215326226491</v>
      </c>
      <c r="Y400" s="1" t="s">
        <v>483</v>
      </c>
      <c r="Z400" s="1" t="s">
        <v>482</v>
      </c>
      <c r="AA400" s="12" t="n">
        <f aca="false">T400=W400</f>
        <v>1</v>
      </c>
    </row>
    <row r="401" customFormat="false" ht="12.8" hidden="false" customHeight="false" outlineLevel="0" collapsed="false">
      <c r="A401" s="1" t="s">
        <v>484</v>
      </c>
      <c r="B401" s="1" t="s">
        <v>485</v>
      </c>
      <c r="C401" s="1" t="n">
        <v>209354</v>
      </c>
      <c r="D401" s="1" t="n">
        <v>111887</v>
      </c>
      <c r="E401" s="1" t="n">
        <v>100001</v>
      </c>
      <c r="F401" s="1" t="n">
        <v>237637</v>
      </c>
      <c r="G401" s="1" t="n">
        <v>132120</v>
      </c>
      <c r="H401" s="1" t="n">
        <v>115292</v>
      </c>
      <c r="I401" s="1" t="n">
        <v>312935</v>
      </c>
      <c r="J401" s="1" t="n">
        <v>157195</v>
      </c>
      <c r="K401" s="1" t="n">
        <v>139316</v>
      </c>
      <c r="L401" s="7" t="n">
        <f aca="false">(J401/G401*F401/I401)</f>
        <v>0.903504010942351</v>
      </c>
      <c r="M401" s="7" t="n">
        <f aca="false">(D401/G401*F401/C401)</f>
        <v>0.961266621387752</v>
      </c>
      <c r="N401" s="7" t="n">
        <f aca="false">(K401/H401*F401/I401)</f>
        <v>0.917617622444487</v>
      </c>
      <c r="O401" s="7" t="n">
        <f aca="false">(E401/H401*F401/C401)</f>
        <v>0.984550433699482</v>
      </c>
      <c r="P401" s="7" t="n">
        <f aca="false">(IF(L401&gt;1,L401,1/L401) - 1)*100</f>
        <v>10.6801948734023</v>
      </c>
      <c r="Q401" s="7" t="n">
        <f aca="false">(IF(M401&gt;1,M401,1/M401) - 1)*100</f>
        <v>4.02941054546651</v>
      </c>
      <c r="R401" s="7" t="n">
        <f aca="false">(IF(N401&gt;1,N401,1/N401) - 1)*100</f>
        <v>8.97785477746718</v>
      </c>
      <c r="S401" s="7" t="n">
        <f aca="false">(IF(O401&gt;1,O401,1/O401) - 1)*100</f>
        <v>1.56920009089485</v>
      </c>
      <c r="T401" s="9" t="n">
        <f aca="false">(P401+Q401) &lt; (R401+S401)</f>
        <v>0</v>
      </c>
      <c r="U401" s="10" t="n">
        <f aca="false">IF($T401,P401,R401)</f>
        <v>8.97785477746718</v>
      </c>
      <c r="V401" s="11" t="n">
        <f aca="false">IF($T401,Q401,S401)</f>
        <v>1.56920009089485</v>
      </c>
      <c r="W401" s="12" t="n">
        <f aca="false">P401 &lt; R401</f>
        <v>0</v>
      </c>
      <c r="X401" s="10" t="n">
        <f aca="false">IF($W401,P401,R401)</f>
        <v>8.97785477746718</v>
      </c>
      <c r="Y401" s="1" t="s">
        <v>485</v>
      </c>
      <c r="Z401" s="1" t="s">
        <v>484</v>
      </c>
      <c r="AA401" s="12" t="n">
        <f aca="false">T401=W401</f>
        <v>1</v>
      </c>
    </row>
    <row r="402" customFormat="false" ht="12.8" hidden="false" customHeight="false" outlineLevel="0" collapsed="false">
      <c r="A402" s="1" t="s">
        <v>486</v>
      </c>
      <c r="B402" s="1" t="s">
        <v>487</v>
      </c>
      <c r="C402" s="1" t="n">
        <v>762157</v>
      </c>
      <c r="D402" s="1" t="n">
        <v>463314</v>
      </c>
      <c r="E402" s="1" t="n">
        <v>381104</v>
      </c>
      <c r="F402" s="1" t="n">
        <v>812279</v>
      </c>
      <c r="G402" s="1" t="n">
        <v>499310</v>
      </c>
      <c r="H402" s="1" t="n">
        <v>404283</v>
      </c>
      <c r="I402" s="1" t="n">
        <v>935967</v>
      </c>
      <c r="J402" s="1" t="n">
        <v>579493</v>
      </c>
      <c r="K402" s="1" t="n">
        <v>467952</v>
      </c>
      <c r="L402" s="7" t="n">
        <f aca="false">(J402/G402*F402/I402)</f>
        <v>1.00721600654373</v>
      </c>
      <c r="M402" s="7" t="n">
        <f aca="false">(D402/G402*F402/C402)</f>
        <v>0.988930889094376</v>
      </c>
      <c r="N402" s="7" t="n">
        <f aca="false">(K402/H402*F402/I402)</f>
        <v>1.00452446114154</v>
      </c>
      <c r="O402" s="7" t="n">
        <f aca="false">(E402/H402*F402/C402)</f>
        <v>1.00465930292767</v>
      </c>
      <c r="P402" s="7" t="n">
        <f aca="false">(IF(L402&gt;1,L402,1/L402) - 1)*100</f>
        <v>0.721600654373011</v>
      </c>
      <c r="Q402" s="7" t="n">
        <f aca="false">(IF(M402&gt;1,M402,1/M402) - 1)*100</f>
        <v>1.11930075475351</v>
      </c>
      <c r="R402" s="7" t="n">
        <f aca="false">(IF(N402&gt;1,N402,1/N402) - 1)*100</f>
        <v>0.452446114154137</v>
      </c>
      <c r="S402" s="7" t="n">
        <f aca="false">(IF(O402&gt;1,O402,1/O402) - 1)*100</f>
        <v>0.465930292766981</v>
      </c>
      <c r="T402" s="9" t="n">
        <f aca="false">(P402+Q402) &lt; (R402+S402)</f>
        <v>0</v>
      </c>
      <c r="U402" s="10" t="n">
        <f aca="false">IF($T402,P402,R402)</f>
        <v>0.452446114154137</v>
      </c>
      <c r="V402" s="11" t="n">
        <f aca="false">IF($T402,Q402,S402)</f>
        <v>0.465930292766981</v>
      </c>
      <c r="W402" s="12" t="n">
        <f aca="false">P402 &lt; R402</f>
        <v>0</v>
      </c>
      <c r="X402" s="10" t="n">
        <f aca="false">IF($W402,P402,R402)</f>
        <v>0.452446114154137</v>
      </c>
      <c r="Y402" s="1" t="s">
        <v>487</v>
      </c>
      <c r="Z402" s="1" t="s">
        <v>486</v>
      </c>
      <c r="AA402" s="12" t="n">
        <f aca="false">T402=W402</f>
        <v>1</v>
      </c>
    </row>
    <row r="403" customFormat="false" ht="12.8" hidden="false" customHeight="false" outlineLevel="0" collapsed="false">
      <c r="A403" s="1" t="s">
        <v>488</v>
      </c>
      <c r="B403" s="1" t="s">
        <v>489</v>
      </c>
      <c r="C403" s="1" t="n">
        <v>11831</v>
      </c>
      <c r="D403" s="1" t="n">
        <v>-3626</v>
      </c>
      <c r="E403" s="1" t="n">
        <v>25199</v>
      </c>
      <c r="F403" s="1" t="n">
        <v>14790</v>
      </c>
      <c r="G403" s="1" t="n">
        <v>-11733</v>
      </c>
      <c r="H403" s="1" t="n">
        <v>16489</v>
      </c>
      <c r="I403" s="1" t="n">
        <v>16928</v>
      </c>
      <c r="J403" s="1" t="n">
        <v>-10069</v>
      </c>
      <c r="K403" s="1" t="n">
        <v>26850</v>
      </c>
      <c r="L403" s="7" t="n">
        <f aca="false">(J403/G403*F403/I403)</f>
        <v>0.749790258825986</v>
      </c>
      <c r="M403" s="7" t="n">
        <f aca="false">(D403/G403*F403/C403)</f>
        <v>0.386336239982152</v>
      </c>
      <c r="N403" s="7" t="n">
        <f aca="false">(K403/H403*F403/I403)</f>
        <v>1.42269726188542</v>
      </c>
      <c r="O403" s="7" t="n">
        <f aca="false">(E403/H403*F403/C403)</f>
        <v>1.91045014198409</v>
      </c>
      <c r="P403" s="7" t="n">
        <f aca="false">(IF(L403&gt;1,L403,1/L403) - 1)*100</f>
        <v>33.3706310836567</v>
      </c>
      <c r="Q403" s="7" t="n">
        <f aca="false">(IF(M403&gt;1,M403,1/M403) - 1)*100</f>
        <v>158.841883444897</v>
      </c>
      <c r="R403" s="7" t="n">
        <f aca="false">(IF(N403&gt;1,N403,1/N403) - 1)*100</f>
        <v>42.2697261885423</v>
      </c>
      <c r="S403" s="7" t="n">
        <f aca="false">(IF(O403&gt;1,O403,1/O403) - 1)*100</f>
        <v>91.0450141984094</v>
      </c>
      <c r="T403" s="9" t="n">
        <f aca="false">(P403+Q403) &lt; (R403+S403)</f>
        <v>0</v>
      </c>
      <c r="U403" s="10" t="n">
        <f aca="false">IF($T403,P403,R403)</f>
        <v>42.2697261885423</v>
      </c>
      <c r="V403" s="11" t="n">
        <f aca="false">IF($T403,Q403,S403)</f>
        <v>91.0450141984094</v>
      </c>
      <c r="W403" s="12" t="n">
        <f aca="false">P403 &lt; R403</f>
        <v>1</v>
      </c>
      <c r="X403" s="10" t="n">
        <f aca="false">IF($W403,P403,R403)</f>
        <v>33.3706310836567</v>
      </c>
      <c r="Y403" s="1" t="s">
        <v>489</v>
      </c>
      <c r="Z403" s="1" t="s">
        <v>488</v>
      </c>
      <c r="AA403" s="12" t="n">
        <f aca="false">T403=W403</f>
        <v>0</v>
      </c>
    </row>
    <row r="404" customFormat="false" ht="12.8" hidden="false" customHeight="false" outlineLevel="0" collapsed="false">
      <c r="A404" s="1" t="s">
        <v>490</v>
      </c>
      <c r="B404" s="1" t="s">
        <v>491</v>
      </c>
      <c r="C404" s="1" t="n">
        <v>30241</v>
      </c>
      <c r="D404" s="1" t="n">
        <v>11063</v>
      </c>
      <c r="E404" s="1" t="n">
        <v>4304</v>
      </c>
      <c r="F404" s="1" t="n">
        <v>59671</v>
      </c>
      <c r="G404" s="1" t="n">
        <v>27297</v>
      </c>
      <c r="H404" s="1" t="n">
        <v>12156</v>
      </c>
      <c r="I404" s="1" t="n">
        <v>63412</v>
      </c>
      <c r="J404" s="1" t="n">
        <v>29491</v>
      </c>
      <c r="K404" s="1" t="n">
        <v>10203</v>
      </c>
      <c r="L404" s="7" t="n">
        <f aca="false">(J404/G404*F404/I404)</f>
        <v>1.01663824748025</v>
      </c>
      <c r="M404" s="7" t="n">
        <f aca="false">(D404/G404*F404/C404)</f>
        <v>0.79969643601743</v>
      </c>
      <c r="N404" s="7" t="n">
        <f aca="false">(K404/H404*F404/I404)</f>
        <v>0.789821697700287</v>
      </c>
      <c r="O404" s="7" t="n">
        <f aca="false">(E404/H404*F404/C404)</f>
        <v>0.698632426341776</v>
      </c>
      <c r="P404" s="7" t="n">
        <f aca="false">(IF(L404&gt;1,L404,1/L404) - 1)*100</f>
        <v>1.6638247480254</v>
      </c>
      <c r="Q404" s="7" t="n">
        <f aca="false">(IF(M404&gt;1,M404,1/M404) - 1)*100</f>
        <v>25.0474498773687</v>
      </c>
      <c r="R404" s="7" t="n">
        <f aca="false">(IF(N404&gt;1,N404,1/N404) - 1)*100</f>
        <v>26.6108544386267</v>
      </c>
      <c r="S404" s="7" t="n">
        <f aca="false">(IF(O404&gt;1,O404,1/O404) - 1)*100</f>
        <v>43.1367858540813</v>
      </c>
      <c r="T404" s="9" t="n">
        <f aca="false">(P404+Q404) &lt; (R404+S404)</f>
        <v>1</v>
      </c>
      <c r="U404" s="10" t="n">
        <f aca="false">IF($T404,P404,R404)</f>
        <v>1.6638247480254</v>
      </c>
      <c r="V404" s="11" t="n">
        <f aca="false">IF($T404,Q404,S404)</f>
        <v>25.0474498773687</v>
      </c>
      <c r="W404" s="12" t="n">
        <f aca="false">P404 &lt; R404</f>
        <v>1</v>
      </c>
      <c r="X404" s="10" t="n">
        <f aca="false">IF($W404,P404,R404)</f>
        <v>1.6638247480254</v>
      </c>
      <c r="Y404" s="1" t="s">
        <v>491</v>
      </c>
      <c r="Z404" s="1" t="s">
        <v>490</v>
      </c>
      <c r="AA404" s="12" t="n">
        <f aca="false">T404=W404</f>
        <v>1</v>
      </c>
    </row>
    <row r="405" customFormat="false" ht="12.8" hidden="false" customHeight="false" outlineLevel="0" collapsed="false">
      <c r="A405" s="1" t="s">
        <v>492</v>
      </c>
      <c r="B405" s="1" t="s">
        <v>493</v>
      </c>
      <c r="C405" s="1" t="n">
        <v>196964</v>
      </c>
      <c r="D405" s="1" t="n">
        <v>102189</v>
      </c>
      <c r="E405" s="1" t="n">
        <v>54350</v>
      </c>
      <c r="F405" s="1" t="n">
        <v>241503</v>
      </c>
      <c r="G405" s="1" t="n">
        <v>121955</v>
      </c>
      <c r="H405" s="1" t="n">
        <v>62881</v>
      </c>
      <c r="I405" s="1" t="n">
        <v>292843</v>
      </c>
      <c r="J405" s="1" t="n">
        <v>144037</v>
      </c>
      <c r="K405" s="1" t="n">
        <v>69979</v>
      </c>
      <c r="L405" s="7" t="n">
        <f aca="false">(J405/G405*F405/I405)</f>
        <v>0.974007137762762</v>
      </c>
      <c r="M405" s="7" t="n">
        <f aca="false">(D405/G405*F405/C405)</f>
        <v>1.02740154218417</v>
      </c>
      <c r="N405" s="7" t="n">
        <f aca="false">(K405/H405*F405/I405)</f>
        <v>0.917774475333792</v>
      </c>
      <c r="O405" s="7" t="n">
        <f aca="false">(E405/H405*F405/C405)</f>
        <v>1.05978015611116</v>
      </c>
      <c r="P405" s="7" t="n">
        <f aca="false">(IF(L405&gt;1,L405,1/L405) - 1)*100</f>
        <v>2.668652130922</v>
      </c>
      <c r="Q405" s="7" t="n">
        <f aca="false">(IF(M405&gt;1,M405,1/M405) - 1)*100</f>
        <v>2.74015421841656</v>
      </c>
      <c r="R405" s="7" t="n">
        <f aca="false">(IF(N405&gt;1,N405,1/N405) - 1)*100</f>
        <v>8.95922984089341</v>
      </c>
      <c r="S405" s="7" t="n">
        <f aca="false">(IF(O405&gt;1,O405,1/O405) - 1)*100</f>
        <v>5.97801561111582</v>
      </c>
      <c r="T405" s="9" t="n">
        <f aca="false">(P405+Q405) &lt; (R405+S405)</f>
        <v>1</v>
      </c>
      <c r="U405" s="10" t="n">
        <f aca="false">IF($T405,P405,R405)</f>
        <v>2.668652130922</v>
      </c>
      <c r="V405" s="11" t="n">
        <f aca="false">IF($T405,Q405,S405)</f>
        <v>2.74015421841656</v>
      </c>
      <c r="W405" s="12" t="n">
        <f aca="false">P405 &lt; R405</f>
        <v>1</v>
      </c>
      <c r="X405" s="10" t="n">
        <f aca="false">IF($W405,P405,R405)</f>
        <v>2.668652130922</v>
      </c>
      <c r="Y405" s="1" t="s">
        <v>493</v>
      </c>
      <c r="Z405" s="1" t="s">
        <v>492</v>
      </c>
      <c r="AA405" s="12" t="n">
        <f aca="false">T405=W405</f>
        <v>1</v>
      </c>
    </row>
    <row r="406" customFormat="false" ht="12.8" hidden="false" customHeight="false" outlineLevel="0" collapsed="false">
      <c r="K406" s="1" t="s">
        <v>494</v>
      </c>
      <c r="L406" s="13" t="n">
        <f aca="false">AVERAGE(L5:L405)</f>
        <v>1.05465514463691</v>
      </c>
      <c r="M406" s="14" t="n">
        <f aca="false">AVERAGE(M5:M405)</f>
        <v>1.00800559534775</v>
      </c>
      <c r="N406" s="14" t="n">
        <f aca="false">AVERAGE(N5:N405)</f>
        <v>1.16447676260186</v>
      </c>
      <c r="O406" s="14" t="n">
        <f aca="false">AVERAGE(O5:O405)</f>
        <v>1.06771499726597</v>
      </c>
      <c r="P406" s="14" t="n">
        <f aca="false">AVERAGE(P5:P405)</f>
        <v>12.9993118490588</v>
      </c>
      <c r="Q406" s="14" t="n">
        <f aca="false">AVERAGE(Q5:Q405)</f>
        <v>16.9702371883473</v>
      </c>
      <c r="R406" s="14" t="n">
        <f aca="false">AVERAGE(R5:R405)</f>
        <v>25.9341318991121</v>
      </c>
      <c r="S406" s="14" t="n">
        <f aca="false">AVERAGE(S5:S405)</f>
        <v>22.9154366015397</v>
      </c>
      <c r="T406" s="15"/>
      <c r="U406" s="13" t="n">
        <f aca="false">AVERAGE(U5:U405)</f>
        <v>10.8947721351988</v>
      </c>
      <c r="V406" s="16" t="n">
        <f aca="false">AVERAGE(V5:V405)</f>
        <v>15.1339988649035</v>
      </c>
      <c r="W406" s="17" t="n">
        <f aca="false">P406 &lt; R406</f>
        <v>1</v>
      </c>
      <c r="X406" s="13" t="n">
        <f aca="false">AVERAGE(X5:X405)</f>
        <v>9.90541144227101</v>
      </c>
    </row>
    <row r="407" customFormat="false" ht="12.8" hidden="false" customHeight="false" outlineLevel="0" collapsed="false">
      <c r="K407" s="1" t="s">
        <v>495</v>
      </c>
      <c r="L407" s="18" t="n">
        <f aca="false">STDEV(L5:L405)</f>
        <v>0.157292111844012</v>
      </c>
      <c r="M407" s="19" t="n">
        <f aca="false">STDEV(M5:M405)</f>
        <v>0.201663333878246</v>
      </c>
      <c r="N407" s="19" t="n">
        <f aca="false">STDEV(N5:N405)</f>
        <v>1.07076962725701</v>
      </c>
      <c r="O407" s="19" t="n">
        <f aca="false">STDEV(O5:O405)</f>
        <v>0.407595136056995</v>
      </c>
      <c r="P407" s="19" t="n">
        <f aca="false">STDEV(P5:P405)</f>
        <v>13.0117333549304</v>
      </c>
      <c r="Q407" s="19" t="n">
        <f aca="false">STDEV(Q5:Q405)</f>
        <v>18.6613275573094</v>
      </c>
      <c r="R407" s="19" t="n">
        <f aca="false">STDEV(R5:R405)</f>
        <v>105.837160945217</v>
      </c>
      <c r="S407" s="19" t="n">
        <f aca="false">STDEV(S5:S405)</f>
        <v>41.1475456721714</v>
      </c>
      <c r="T407" s="20"/>
      <c r="U407" s="18" t="n">
        <f aca="false">STDEV(U5:U405)</f>
        <v>11.7345288567998</v>
      </c>
      <c r="V407" s="21" t="n">
        <f aca="false">STDEV(V5:V405)</f>
        <v>17.6293220689735</v>
      </c>
      <c r="W407" s="22" t="n">
        <f aca="false">P407 &lt; R407</f>
        <v>1</v>
      </c>
      <c r="X407" s="18" t="n">
        <f aca="false">STDEV(X5:X405)</f>
        <v>11.4816577938066</v>
      </c>
    </row>
    <row r="408" customFormat="false" ht="12.8" hidden="false" customHeight="false" outlineLevel="0" collapsed="false">
      <c r="K408" s="1" t="s">
        <v>494</v>
      </c>
      <c r="L408" s="7" t="n">
        <f aca="false">AVERAGE(L406:O406)</f>
        <v>1.07371312496312</v>
      </c>
      <c r="M408" s="7"/>
      <c r="N408" s="7" t="n">
        <f aca="false">AVERAGE(P406:S406)</f>
        <v>19.7047793845145</v>
      </c>
      <c r="O408" s="7"/>
      <c r="P408" s="8" t="n">
        <f aca="false">AVERAGE(P406:Q406)</f>
        <v>14.9847745187031</v>
      </c>
      <c r="Q408" s="7"/>
      <c r="R408" s="8" t="n">
        <f aca="false">AVERAGE(R406:S406)</f>
        <v>24.4247842503259</v>
      </c>
      <c r="S408" s="7"/>
      <c r="U408" s="23" t="n">
        <f aca="false">AVERAGE(U406:V406)</f>
        <v>13.0143855000512</v>
      </c>
      <c r="V408" s="24"/>
      <c r="W408" s="1" t="s">
        <v>496</v>
      </c>
      <c r="Z408" s="7"/>
      <c r="AA408" s="7"/>
    </row>
    <row r="409" customFormat="false" ht="12.8" hidden="false" customHeight="false" outlineLevel="0" collapsed="false">
      <c r="K409" s="1" t="s">
        <v>495</v>
      </c>
      <c r="L409" s="7" t="n">
        <f aca="false">AVERAGE(L407:O407)</f>
        <v>0.459330052259066</v>
      </c>
      <c r="M409" s="7"/>
      <c r="N409" s="7" t="n">
        <f aca="false">AVERAGE(P407:S407)</f>
        <v>44.664441882407</v>
      </c>
      <c r="O409" s="7"/>
      <c r="P409" s="8" t="n">
        <f aca="false">AVERAGE(P407:Q407)</f>
        <v>15.8365304561199</v>
      </c>
      <c r="Q409" s="7"/>
      <c r="R409" s="8" t="n">
        <f aca="false">AVERAGE(R407:S407)</f>
        <v>73.492353308694</v>
      </c>
      <c r="S409" s="7"/>
      <c r="U409" s="25" t="n">
        <f aca="false">AVERAGE(U407:V407)</f>
        <v>14.6819254628867</v>
      </c>
      <c r="V409" s="26"/>
      <c r="W409" s="1" t="s">
        <v>497</v>
      </c>
      <c r="Z409" s="7"/>
      <c r="AA409" s="7"/>
    </row>
    <row r="410" customFormat="false" ht="12.8" hidden="false" customHeight="false" outlineLevel="0" collapsed="false">
      <c r="Q410" s="7"/>
      <c r="R410" s="7"/>
      <c r="S410" s="7" t="s">
        <v>498</v>
      </c>
      <c r="T410" s="1" t="n">
        <f aca="false">SUM(T5:T405)</f>
        <v>270</v>
      </c>
      <c r="W410" s="1" t="n">
        <f aca="false">SUM(W5:W405)</f>
        <v>251</v>
      </c>
      <c r="AA410" s="1" t="n">
        <f aca="false">SUM(AA5:AA405)</f>
        <v>316</v>
      </c>
    </row>
    <row r="411" customFormat="false" ht="12.8" hidden="false" customHeight="false" outlineLevel="0" collapsed="false">
      <c r="L411" s="7"/>
      <c r="M411" s="7"/>
      <c r="N411" s="7"/>
      <c r="O411" s="7"/>
      <c r="P411" s="7"/>
    </row>
    <row r="412" customFormat="false" ht="12.8" hidden="false" customHeight="false" outlineLevel="0" collapsed="false">
      <c r="L412" s="27"/>
      <c r="M412" s="27"/>
      <c r="N412" s="27"/>
      <c r="O412" s="27"/>
      <c r="P412" s="27"/>
      <c r="T412" s="27" t="n">
        <f aca="false">T410/401</f>
        <v>0.673316708229427</v>
      </c>
      <c r="W412" s="27" t="n">
        <f aca="false">W410/401</f>
        <v>0.625935162094763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499</v>
      </c>
      <c r="B1" s="9" t="s">
        <v>500</v>
      </c>
      <c r="C1" s="9" t="s">
        <v>501</v>
      </c>
    </row>
    <row r="2" customFormat="false" ht="12.8" hidden="false" customHeight="false" outlineLevel="0" collapsed="false">
      <c r="A2" s="1" t="s">
        <v>26</v>
      </c>
      <c r="B2" s="1" t="s">
        <v>25</v>
      </c>
      <c r="C2" s="12" t="b">
        <v>1</v>
      </c>
    </row>
    <row r="3" customFormat="false" ht="12.8" hidden="false" customHeight="false" outlineLevel="0" collapsed="false">
      <c r="A3" s="1" t="s">
        <v>28</v>
      </c>
      <c r="B3" s="1" t="s">
        <v>27</v>
      </c>
      <c r="C3" s="12" t="b">
        <v>1</v>
      </c>
    </row>
    <row r="4" customFormat="false" ht="12.8" hidden="false" customHeight="false" outlineLevel="0" collapsed="false">
      <c r="A4" s="1" t="n">
        <v>111200</v>
      </c>
      <c r="B4" s="1" t="s">
        <v>29</v>
      </c>
      <c r="C4" s="12" t="b">
        <v>0</v>
      </c>
    </row>
    <row r="5" customFormat="false" ht="12.8" hidden="false" customHeight="false" outlineLevel="0" collapsed="false">
      <c r="A5" s="1" t="n">
        <v>111300</v>
      </c>
      <c r="B5" s="1" t="s">
        <v>30</v>
      </c>
      <c r="C5" s="12" t="b">
        <v>0</v>
      </c>
    </row>
    <row r="6" customFormat="false" ht="12.8" hidden="false" customHeight="false" outlineLevel="0" collapsed="false">
      <c r="A6" s="1" t="n">
        <v>111400</v>
      </c>
      <c r="B6" s="1" t="s">
        <v>31</v>
      </c>
      <c r="C6" s="12" t="b">
        <v>0</v>
      </c>
    </row>
    <row r="7" customFormat="false" ht="12.8" hidden="false" customHeight="false" outlineLevel="0" collapsed="false">
      <c r="A7" s="1" t="n">
        <v>111900</v>
      </c>
      <c r="B7" s="1" t="s">
        <v>32</v>
      </c>
      <c r="C7" s="12" t="b">
        <v>1</v>
      </c>
    </row>
    <row r="8" customFormat="false" ht="12.8" hidden="false" customHeight="false" outlineLevel="0" collapsed="false">
      <c r="A8" s="1" t="n">
        <v>112120</v>
      </c>
      <c r="B8" s="1" t="s">
        <v>33</v>
      </c>
      <c r="C8" s="12" t="b">
        <v>0</v>
      </c>
    </row>
    <row r="9" customFormat="false" ht="12.8" hidden="false" customHeight="false" outlineLevel="0" collapsed="false">
      <c r="A9" s="1" t="s">
        <v>35</v>
      </c>
      <c r="B9" s="1" t="s">
        <v>34</v>
      </c>
      <c r="C9" s="12" t="b">
        <v>1</v>
      </c>
    </row>
    <row r="10" customFormat="false" ht="12.8" hidden="false" customHeight="false" outlineLevel="0" collapsed="false">
      <c r="A10" s="1" t="n">
        <v>112300</v>
      </c>
      <c r="B10" s="1" t="s">
        <v>36</v>
      </c>
      <c r="C10" s="12" t="b">
        <v>1</v>
      </c>
    </row>
    <row r="11" customFormat="false" ht="12.8" hidden="false" customHeight="false" outlineLevel="0" collapsed="false">
      <c r="A11" s="1" t="s">
        <v>38</v>
      </c>
      <c r="B11" s="1" t="s">
        <v>37</v>
      </c>
      <c r="C11" s="12" t="b">
        <v>1</v>
      </c>
    </row>
    <row r="12" customFormat="false" ht="12.8" hidden="false" customHeight="false" outlineLevel="0" collapsed="false">
      <c r="A12" s="1" t="n">
        <v>113000</v>
      </c>
      <c r="B12" s="1" t="s">
        <v>39</v>
      </c>
      <c r="C12" s="12" t="b">
        <v>1</v>
      </c>
    </row>
    <row r="13" customFormat="false" ht="12.8" hidden="false" customHeight="false" outlineLevel="0" collapsed="false">
      <c r="A13" s="1" t="n">
        <v>114000</v>
      </c>
      <c r="B13" s="1" t="s">
        <v>40</v>
      </c>
      <c r="C13" s="12" t="b">
        <v>1</v>
      </c>
    </row>
    <row r="14" customFormat="false" ht="12.8" hidden="false" customHeight="false" outlineLevel="0" collapsed="false">
      <c r="A14" s="1" t="n">
        <v>115000</v>
      </c>
      <c r="B14" s="1" t="s">
        <v>41</v>
      </c>
      <c r="C14" s="12" t="b">
        <v>1</v>
      </c>
    </row>
    <row r="15" customFormat="false" ht="12.8" hidden="false" customHeight="false" outlineLevel="0" collapsed="false">
      <c r="A15" s="1" t="n">
        <v>211000</v>
      </c>
      <c r="B15" s="1" t="s">
        <v>42</v>
      </c>
      <c r="C15" s="12" t="b">
        <v>1</v>
      </c>
    </row>
    <row r="16" customFormat="false" ht="12.8" hidden="false" customHeight="false" outlineLevel="0" collapsed="false">
      <c r="A16" s="1" t="n">
        <v>212100</v>
      </c>
      <c r="B16" s="1" t="s">
        <v>43</v>
      </c>
      <c r="C16" s="12" t="b">
        <v>1</v>
      </c>
    </row>
    <row r="17" customFormat="false" ht="12.8" hidden="false" customHeight="false" outlineLevel="0" collapsed="false">
      <c r="A17" s="1" t="n">
        <v>212230</v>
      </c>
      <c r="B17" s="1" t="s">
        <v>44</v>
      </c>
      <c r="C17" s="12" t="b">
        <v>1</v>
      </c>
    </row>
    <row r="18" customFormat="false" ht="12.8" hidden="false" customHeight="false" outlineLevel="0" collapsed="false">
      <c r="A18" s="1" t="s">
        <v>46</v>
      </c>
      <c r="B18" s="1" t="s">
        <v>45</v>
      </c>
      <c r="C18" s="12" t="b">
        <v>1</v>
      </c>
    </row>
    <row r="19" customFormat="false" ht="12.8" hidden="false" customHeight="false" outlineLevel="0" collapsed="false">
      <c r="A19" s="1" t="n">
        <v>212310</v>
      </c>
      <c r="B19" s="1" t="s">
        <v>47</v>
      </c>
      <c r="C19" s="12" t="b">
        <v>1</v>
      </c>
    </row>
    <row r="20" customFormat="false" ht="12.8" hidden="false" customHeight="false" outlineLevel="0" collapsed="false">
      <c r="A20" s="1" t="s">
        <v>49</v>
      </c>
      <c r="B20" s="1" t="s">
        <v>48</v>
      </c>
      <c r="C20" s="12" t="b">
        <v>1</v>
      </c>
    </row>
    <row r="21" customFormat="false" ht="12.8" hidden="false" customHeight="false" outlineLevel="0" collapsed="false">
      <c r="A21" s="1" t="n">
        <v>213111</v>
      </c>
      <c r="B21" s="1" t="s">
        <v>50</v>
      </c>
      <c r="C21" s="12" t="b">
        <v>1</v>
      </c>
    </row>
    <row r="22" customFormat="false" ht="12.8" hidden="false" customHeight="false" outlineLevel="0" collapsed="false">
      <c r="A22" s="1" t="s">
        <v>52</v>
      </c>
      <c r="B22" s="1" t="s">
        <v>51</v>
      </c>
      <c r="C22" s="12" t="b">
        <v>0</v>
      </c>
    </row>
    <row r="23" customFormat="false" ht="12.8" hidden="false" customHeight="false" outlineLevel="0" collapsed="false">
      <c r="A23" s="1" t="n">
        <v>221100</v>
      </c>
      <c r="B23" s="1" t="s">
        <v>53</v>
      </c>
      <c r="C23" s="12" t="b">
        <v>0</v>
      </c>
    </row>
    <row r="24" customFormat="false" ht="12.8" hidden="false" customHeight="false" outlineLevel="0" collapsed="false">
      <c r="A24" s="1" t="n">
        <v>221200</v>
      </c>
      <c r="B24" s="1" t="s">
        <v>54</v>
      </c>
      <c r="C24" s="12" t="b">
        <v>1</v>
      </c>
    </row>
    <row r="25" customFormat="false" ht="12.8" hidden="false" customHeight="false" outlineLevel="0" collapsed="false">
      <c r="A25" s="1" t="n">
        <v>221300</v>
      </c>
      <c r="B25" s="1" t="s">
        <v>55</v>
      </c>
      <c r="C25" s="12" t="b">
        <v>1</v>
      </c>
    </row>
    <row r="26" customFormat="false" ht="12.8" hidden="false" customHeight="false" outlineLevel="0" collapsed="false">
      <c r="A26" s="1" t="n">
        <v>233210</v>
      </c>
      <c r="B26" s="1" t="s">
        <v>56</v>
      </c>
      <c r="C26" s="12" t="b">
        <v>0</v>
      </c>
    </row>
    <row r="27" customFormat="false" ht="12.8" hidden="false" customHeight="false" outlineLevel="0" collapsed="false">
      <c r="A27" s="1" t="n">
        <v>233262</v>
      </c>
      <c r="B27" s="1" t="s">
        <v>57</v>
      </c>
      <c r="C27" s="12" t="b">
        <v>1</v>
      </c>
    </row>
    <row r="28" customFormat="false" ht="12.8" hidden="false" customHeight="false" outlineLevel="0" collapsed="false">
      <c r="A28" s="1" t="n">
        <v>230301</v>
      </c>
      <c r="B28" s="1" t="s">
        <v>58</v>
      </c>
      <c r="C28" s="12" t="b">
        <v>1</v>
      </c>
    </row>
    <row r="29" customFormat="false" ht="12.8" hidden="false" customHeight="false" outlineLevel="0" collapsed="false">
      <c r="A29" s="1" t="n">
        <v>230302</v>
      </c>
      <c r="B29" s="1" t="s">
        <v>59</v>
      </c>
      <c r="C29" s="12" t="b">
        <v>1</v>
      </c>
    </row>
    <row r="30" customFormat="false" ht="12.8" hidden="false" customHeight="false" outlineLevel="0" collapsed="false">
      <c r="A30" s="1" t="s">
        <v>61</v>
      </c>
      <c r="B30" s="1" t="s">
        <v>60</v>
      </c>
      <c r="C30" s="12" t="b">
        <v>1</v>
      </c>
    </row>
    <row r="31" customFormat="false" ht="12.8" hidden="false" customHeight="false" outlineLevel="0" collapsed="false">
      <c r="A31" s="1" t="n">
        <v>233412</v>
      </c>
      <c r="B31" s="1" t="s">
        <v>62</v>
      </c>
      <c r="C31" s="12" t="b">
        <v>1</v>
      </c>
    </row>
    <row r="32" customFormat="false" ht="12.8" hidden="false" customHeight="false" outlineLevel="0" collapsed="false">
      <c r="A32" s="1" t="s">
        <v>64</v>
      </c>
      <c r="B32" s="1" t="s">
        <v>63</v>
      </c>
      <c r="C32" s="12" t="b">
        <v>0</v>
      </c>
    </row>
    <row r="33" customFormat="false" ht="12.8" hidden="false" customHeight="false" outlineLevel="0" collapsed="false">
      <c r="A33" s="1" t="n">
        <v>233230</v>
      </c>
      <c r="B33" s="1" t="s">
        <v>65</v>
      </c>
      <c r="C33" s="12" t="b">
        <v>1</v>
      </c>
    </row>
    <row r="34" customFormat="false" ht="12.8" hidden="false" customHeight="false" outlineLevel="0" collapsed="false">
      <c r="A34" s="1" t="s">
        <v>67</v>
      </c>
      <c r="B34" s="1" t="s">
        <v>66</v>
      </c>
      <c r="C34" s="12" t="b">
        <v>0</v>
      </c>
    </row>
    <row r="35" customFormat="false" ht="12.8" hidden="false" customHeight="false" outlineLevel="0" collapsed="false">
      <c r="A35" s="1" t="n">
        <v>233240</v>
      </c>
      <c r="B35" s="1" t="s">
        <v>68</v>
      </c>
      <c r="C35" s="12" t="b">
        <v>0</v>
      </c>
    </row>
    <row r="36" customFormat="false" ht="12.8" hidden="false" customHeight="false" outlineLevel="0" collapsed="false">
      <c r="A36" s="1" t="n">
        <v>233411</v>
      </c>
      <c r="B36" s="1" t="s">
        <v>69</v>
      </c>
      <c r="C36" s="12" t="b">
        <v>1</v>
      </c>
    </row>
    <row r="37" customFormat="false" ht="12.8" hidden="false" customHeight="false" outlineLevel="0" collapsed="false">
      <c r="A37" s="1" t="s">
        <v>71</v>
      </c>
      <c r="B37" s="1" t="s">
        <v>70</v>
      </c>
      <c r="C37" s="12" t="b">
        <v>1</v>
      </c>
    </row>
    <row r="38" customFormat="false" ht="12.8" hidden="false" customHeight="false" outlineLevel="0" collapsed="false">
      <c r="A38" s="1" t="n">
        <v>321100</v>
      </c>
      <c r="B38" s="1" t="s">
        <v>72</v>
      </c>
      <c r="C38" s="12" t="b">
        <v>1</v>
      </c>
    </row>
    <row r="39" customFormat="false" ht="12.8" hidden="false" customHeight="false" outlineLevel="0" collapsed="false">
      <c r="A39" s="1" t="n">
        <v>321200</v>
      </c>
      <c r="B39" s="1" t="s">
        <v>73</v>
      </c>
      <c r="C39" s="12" t="b">
        <v>0</v>
      </c>
    </row>
    <row r="40" customFormat="false" ht="12.8" hidden="false" customHeight="false" outlineLevel="0" collapsed="false">
      <c r="A40" s="1" t="n">
        <v>321910</v>
      </c>
      <c r="B40" s="1" t="s">
        <v>74</v>
      </c>
      <c r="C40" s="12" t="b">
        <v>0</v>
      </c>
    </row>
    <row r="41" customFormat="false" ht="12.8" hidden="false" customHeight="false" outlineLevel="0" collapsed="false">
      <c r="A41" s="1" t="s">
        <v>76</v>
      </c>
      <c r="B41" s="1" t="s">
        <v>75</v>
      </c>
      <c r="C41" s="12" t="b">
        <v>1</v>
      </c>
    </row>
    <row r="42" customFormat="false" ht="12.8" hidden="false" customHeight="false" outlineLevel="0" collapsed="false">
      <c r="A42" s="1" t="n">
        <v>327100</v>
      </c>
      <c r="B42" s="1" t="s">
        <v>77</v>
      </c>
      <c r="C42" s="12" t="b">
        <v>1</v>
      </c>
    </row>
    <row r="43" customFormat="false" ht="12.8" hidden="false" customHeight="false" outlineLevel="0" collapsed="false">
      <c r="A43" s="1" t="n">
        <v>327200</v>
      </c>
      <c r="B43" s="1" t="s">
        <v>78</v>
      </c>
      <c r="C43" s="12" t="b">
        <v>1</v>
      </c>
    </row>
    <row r="44" customFormat="false" ht="12.8" hidden="false" customHeight="false" outlineLevel="0" collapsed="false">
      <c r="A44" s="1" t="n">
        <v>327310</v>
      </c>
      <c r="B44" s="1" t="s">
        <v>79</v>
      </c>
      <c r="C44" s="12" t="b">
        <v>0</v>
      </c>
    </row>
    <row r="45" customFormat="false" ht="12.8" hidden="false" customHeight="false" outlineLevel="0" collapsed="false">
      <c r="A45" s="1" t="n">
        <v>327320</v>
      </c>
      <c r="B45" s="1" t="s">
        <v>80</v>
      </c>
      <c r="C45" s="12" t="b">
        <v>1</v>
      </c>
    </row>
    <row r="46" customFormat="false" ht="12.8" hidden="false" customHeight="false" outlineLevel="0" collapsed="false">
      <c r="A46" s="1" t="n">
        <v>327330</v>
      </c>
      <c r="B46" s="1" t="s">
        <v>81</v>
      </c>
      <c r="C46" s="12" t="b">
        <v>1</v>
      </c>
    </row>
    <row r="47" customFormat="false" ht="12.8" hidden="false" customHeight="false" outlineLevel="0" collapsed="false">
      <c r="A47" s="1" t="n">
        <v>327390</v>
      </c>
      <c r="B47" s="1" t="s">
        <v>82</v>
      </c>
      <c r="C47" s="12" t="b">
        <v>0</v>
      </c>
    </row>
    <row r="48" customFormat="false" ht="12.8" hidden="false" customHeight="false" outlineLevel="0" collapsed="false">
      <c r="A48" s="1" t="n">
        <v>327400</v>
      </c>
      <c r="B48" s="1" t="s">
        <v>83</v>
      </c>
      <c r="C48" s="12" t="b">
        <v>1</v>
      </c>
    </row>
    <row r="49" customFormat="false" ht="12.8" hidden="false" customHeight="false" outlineLevel="0" collapsed="false">
      <c r="A49" s="1" t="n">
        <v>327910</v>
      </c>
      <c r="B49" s="1" t="s">
        <v>84</v>
      </c>
      <c r="C49" s="12" t="b">
        <v>1</v>
      </c>
    </row>
    <row r="50" customFormat="false" ht="12.8" hidden="false" customHeight="false" outlineLevel="0" collapsed="false">
      <c r="A50" s="1" t="n">
        <v>327991</v>
      </c>
      <c r="B50" s="1" t="s">
        <v>85</v>
      </c>
      <c r="C50" s="12" t="b">
        <v>1</v>
      </c>
    </row>
    <row r="51" customFormat="false" ht="12.8" hidden="false" customHeight="false" outlineLevel="0" collapsed="false">
      <c r="A51" s="1" t="n">
        <v>327992</v>
      </c>
      <c r="B51" s="1" t="s">
        <v>86</v>
      </c>
      <c r="C51" s="12" t="b">
        <v>1</v>
      </c>
    </row>
    <row r="52" customFormat="false" ht="12.8" hidden="false" customHeight="false" outlineLevel="0" collapsed="false">
      <c r="A52" s="1" t="n">
        <v>327993</v>
      </c>
      <c r="B52" s="1" t="s">
        <v>87</v>
      </c>
      <c r="C52" s="12" t="b">
        <v>1</v>
      </c>
    </row>
    <row r="53" customFormat="false" ht="12.8" hidden="false" customHeight="false" outlineLevel="0" collapsed="false">
      <c r="A53" s="1" t="n">
        <v>327999</v>
      </c>
      <c r="B53" s="1" t="s">
        <v>88</v>
      </c>
      <c r="C53" s="12" t="b">
        <v>1</v>
      </c>
    </row>
    <row r="54" customFormat="false" ht="12.8" hidden="false" customHeight="false" outlineLevel="0" collapsed="false">
      <c r="A54" s="1" t="n">
        <v>331110</v>
      </c>
      <c r="B54" s="1" t="s">
        <v>89</v>
      </c>
      <c r="C54" s="12" t="b">
        <v>1</v>
      </c>
    </row>
    <row r="55" customFormat="false" ht="12.8" hidden="false" customHeight="false" outlineLevel="0" collapsed="false">
      <c r="A55" s="1" t="n">
        <v>331200</v>
      </c>
      <c r="B55" s="1" t="s">
        <v>90</v>
      </c>
      <c r="C55" s="12" t="b">
        <v>1</v>
      </c>
    </row>
    <row r="56" customFormat="false" ht="12.8" hidden="false" customHeight="false" outlineLevel="0" collapsed="false">
      <c r="A56" s="1" t="n">
        <v>331314</v>
      </c>
      <c r="B56" s="1" t="s">
        <v>91</v>
      </c>
      <c r="C56" s="12" t="b">
        <v>1</v>
      </c>
    </row>
    <row r="57" customFormat="false" ht="12.8" hidden="false" customHeight="false" outlineLevel="0" collapsed="false">
      <c r="A57" s="1" t="n">
        <v>331313</v>
      </c>
      <c r="B57" s="1" t="s">
        <v>92</v>
      </c>
      <c r="C57" s="12" t="b">
        <v>1</v>
      </c>
    </row>
    <row r="58" customFormat="false" ht="12.8" hidden="false" customHeight="false" outlineLevel="0" collapsed="false">
      <c r="A58" s="1" t="s">
        <v>94</v>
      </c>
      <c r="B58" s="1" t="s">
        <v>93</v>
      </c>
      <c r="C58" s="12" t="b">
        <v>0</v>
      </c>
    </row>
    <row r="59" customFormat="false" ht="12.8" hidden="false" customHeight="false" outlineLevel="0" collapsed="false">
      <c r="A59" s="1" t="n">
        <v>331410</v>
      </c>
      <c r="B59" s="1" t="s">
        <v>95</v>
      </c>
      <c r="C59" s="12" t="b">
        <v>0</v>
      </c>
    </row>
    <row r="60" customFormat="false" ht="12.8" hidden="false" customHeight="false" outlineLevel="0" collapsed="false">
      <c r="A60" s="1" t="n">
        <v>331420</v>
      </c>
      <c r="B60" s="1" t="s">
        <v>96</v>
      </c>
      <c r="C60" s="12" t="b">
        <v>0</v>
      </c>
    </row>
    <row r="61" customFormat="false" ht="12.8" hidden="false" customHeight="false" outlineLevel="0" collapsed="false">
      <c r="A61" s="1" t="n">
        <v>331490</v>
      </c>
      <c r="B61" s="1" t="s">
        <v>97</v>
      </c>
      <c r="C61" s="12" t="b">
        <v>1</v>
      </c>
    </row>
    <row r="62" customFormat="false" ht="12.8" hidden="false" customHeight="false" outlineLevel="0" collapsed="false">
      <c r="A62" s="1" t="n">
        <v>331510</v>
      </c>
      <c r="B62" s="1" t="s">
        <v>98</v>
      </c>
      <c r="C62" s="12" t="b">
        <v>0</v>
      </c>
    </row>
    <row r="63" customFormat="false" ht="12.8" hidden="false" customHeight="false" outlineLevel="0" collapsed="false">
      <c r="A63" s="1" t="n">
        <v>331520</v>
      </c>
      <c r="B63" s="1" t="s">
        <v>99</v>
      </c>
      <c r="C63" s="12" t="b">
        <v>1</v>
      </c>
    </row>
    <row r="64" customFormat="false" ht="12.8" hidden="false" customHeight="false" outlineLevel="0" collapsed="false">
      <c r="A64" s="1" t="n">
        <v>332114</v>
      </c>
      <c r="B64" s="1" t="s">
        <v>100</v>
      </c>
      <c r="C64" s="12" t="b">
        <v>1</v>
      </c>
    </row>
    <row r="65" customFormat="false" ht="12.8" hidden="false" customHeight="false" outlineLevel="0" collapsed="false">
      <c r="A65" s="1" t="s">
        <v>102</v>
      </c>
      <c r="B65" s="1" t="s">
        <v>101</v>
      </c>
      <c r="C65" s="12" t="b">
        <v>1</v>
      </c>
    </row>
    <row r="66" customFormat="false" ht="12.8" hidden="false" customHeight="false" outlineLevel="0" collapsed="false">
      <c r="A66" s="1" t="n">
        <v>332119</v>
      </c>
      <c r="B66" s="1" t="s">
        <v>103</v>
      </c>
      <c r="C66" s="12" t="b">
        <v>1</v>
      </c>
    </row>
    <row r="67" customFormat="false" ht="12.8" hidden="false" customHeight="false" outlineLevel="0" collapsed="false">
      <c r="A67" s="1" t="n">
        <v>332200</v>
      </c>
      <c r="B67" s="1" t="s">
        <v>104</v>
      </c>
      <c r="C67" s="12" t="b">
        <v>1</v>
      </c>
    </row>
    <row r="68" customFormat="false" ht="12.8" hidden="false" customHeight="false" outlineLevel="0" collapsed="false">
      <c r="A68" s="1" t="n">
        <v>332310</v>
      </c>
      <c r="B68" s="1" t="s">
        <v>105</v>
      </c>
      <c r="C68" s="12" t="b">
        <v>1</v>
      </c>
    </row>
    <row r="69" customFormat="false" ht="12.8" hidden="false" customHeight="false" outlineLevel="0" collapsed="false">
      <c r="A69" s="1" t="n">
        <v>332320</v>
      </c>
      <c r="B69" s="1" t="s">
        <v>106</v>
      </c>
      <c r="C69" s="12" t="b">
        <v>0</v>
      </c>
    </row>
    <row r="70" customFormat="false" ht="12.8" hidden="false" customHeight="false" outlineLevel="0" collapsed="false">
      <c r="A70" s="1" t="n">
        <v>332410</v>
      </c>
      <c r="B70" s="1" t="s">
        <v>107</v>
      </c>
      <c r="C70" s="12" t="b">
        <v>1</v>
      </c>
    </row>
    <row r="71" customFormat="false" ht="12.8" hidden="false" customHeight="false" outlineLevel="0" collapsed="false">
      <c r="A71" s="1" t="n">
        <v>332420</v>
      </c>
      <c r="B71" s="1" t="s">
        <v>108</v>
      </c>
      <c r="C71" s="12" t="b">
        <v>1</v>
      </c>
    </row>
    <row r="72" customFormat="false" ht="12.8" hidden="false" customHeight="false" outlineLevel="0" collapsed="false">
      <c r="A72" s="1" t="n">
        <v>332430</v>
      </c>
      <c r="B72" s="1" t="s">
        <v>109</v>
      </c>
      <c r="C72" s="12" t="b">
        <v>1</v>
      </c>
    </row>
    <row r="73" customFormat="false" ht="12.8" hidden="false" customHeight="false" outlineLevel="0" collapsed="false">
      <c r="A73" s="1" t="n">
        <v>332500</v>
      </c>
      <c r="B73" s="1" t="s">
        <v>110</v>
      </c>
      <c r="C73" s="12" t="b">
        <v>0</v>
      </c>
    </row>
    <row r="74" customFormat="false" ht="12.8" hidden="false" customHeight="false" outlineLevel="0" collapsed="false">
      <c r="A74" s="1" t="n">
        <v>332600</v>
      </c>
      <c r="B74" s="1" t="s">
        <v>111</v>
      </c>
      <c r="C74" s="12" t="b">
        <v>0</v>
      </c>
    </row>
    <row r="75" customFormat="false" ht="12.8" hidden="false" customHeight="false" outlineLevel="0" collapsed="false">
      <c r="A75" s="1" t="n">
        <v>332710</v>
      </c>
      <c r="B75" s="1" t="s">
        <v>112</v>
      </c>
      <c r="C75" s="12" t="b">
        <v>1</v>
      </c>
    </row>
    <row r="76" customFormat="false" ht="12.8" hidden="false" customHeight="false" outlineLevel="0" collapsed="false">
      <c r="A76" s="1" t="n">
        <v>332720</v>
      </c>
      <c r="B76" s="1" t="s">
        <v>113</v>
      </c>
      <c r="C76" s="12" t="b">
        <v>1</v>
      </c>
    </row>
    <row r="77" customFormat="false" ht="12.8" hidden="false" customHeight="false" outlineLevel="0" collapsed="false">
      <c r="A77" s="1" t="n">
        <v>332800</v>
      </c>
      <c r="B77" s="1" t="s">
        <v>114</v>
      </c>
      <c r="C77" s="12" t="b">
        <v>1</v>
      </c>
    </row>
    <row r="78" customFormat="false" ht="12.8" hidden="false" customHeight="false" outlineLevel="0" collapsed="false">
      <c r="A78" s="1" t="n">
        <v>332913</v>
      </c>
      <c r="B78" s="1" t="s">
        <v>115</v>
      </c>
      <c r="C78" s="12" t="b">
        <v>0</v>
      </c>
    </row>
    <row r="79" customFormat="false" ht="12.8" hidden="false" customHeight="false" outlineLevel="0" collapsed="false">
      <c r="A79" s="1" t="s">
        <v>117</v>
      </c>
      <c r="B79" s="1" t="s">
        <v>116</v>
      </c>
      <c r="C79" s="12" t="b">
        <v>1</v>
      </c>
    </row>
    <row r="80" customFormat="false" ht="12.8" hidden="false" customHeight="false" outlineLevel="0" collapsed="false">
      <c r="A80" s="1" t="n">
        <v>332991</v>
      </c>
      <c r="B80" s="1" t="s">
        <v>118</v>
      </c>
      <c r="C80" s="12" t="b">
        <v>1</v>
      </c>
    </row>
    <row r="81" customFormat="false" ht="12.8" hidden="false" customHeight="false" outlineLevel="0" collapsed="false">
      <c r="A81" s="1" t="n">
        <v>332996</v>
      </c>
      <c r="B81" s="1" t="s">
        <v>119</v>
      </c>
      <c r="C81" s="12" t="b">
        <v>1</v>
      </c>
    </row>
    <row r="82" customFormat="false" ht="12.8" hidden="false" customHeight="false" outlineLevel="0" collapsed="false">
      <c r="A82" s="1" t="s">
        <v>121</v>
      </c>
      <c r="B82" s="1" t="s">
        <v>120</v>
      </c>
      <c r="C82" s="12" t="b">
        <v>1</v>
      </c>
    </row>
    <row r="83" customFormat="false" ht="12.8" hidden="false" customHeight="false" outlineLevel="0" collapsed="false">
      <c r="A83" s="1" t="n">
        <v>332999</v>
      </c>
      <c r="B83" s="1" t="s">
        <v>122</v>
      </c>
      <c r="C83" s="12" t="b">
        <v>1</v>
      </c>
    </row>
    <row r="84" customFormat="false" ht="12.8" hidden="false" customHeight="false" outlineLevel="0" collapsed="false">
      <c r="A84" s="1" t="n">
        <v>333111</v>
      </c>
      <c r="B84" s="1" t="s">
        <v>123</v>
      </c>
      <c r="C84" s="12" t="b">
        <v>1</v>
      </c>
    </row>
    <row r="85" customFormat="false" ht="12.8" hidden="false" customHeight="false" outlineLevel="0" collapsed="false">
      <c r="A85" s="1" t="n">
        <v>333112</v>
      </c>
      <c r="B85" s="1" t="s">
        <v>124</v>
      </c>
      <c r="C85" s="12" t="b">
        <v>1</v>
      </c>
    </row>
    <row r="86" customFormat="false" ht="12.8" hidden="false" customHeight="false" outlineLevel="0" collapsed="false">
      <c r="A86" s="1" t="n">
        <v>333120</v>
      </c>
      <c r="B86" s="1" t="s">
        <v>125</v>
      </c>
      <c r="C86" s="12" t="b">
        <v>1</v>
      </c>
    </row>
    <row r="87" customFormat="false" ht="12.8" hidden="false" customHeight="false" outlineLevel="0" collapsed="false">
      <c r="A87" s="1" t="n">
        <v>333130</v>
      </c>
      <c r="B87" s="1" t="s">
        <v>126</v>
      </c>
      <c r="C87" s="12" t="b">
        <v>0</v>
      </c>
    </row>
    <row r="88" customFormat="false" ht="12.8" hidden="false" customHeight="false" outlineLevel="0" collapsed="false">
      <c r="A88" s="1" t="n">
        <v>333242</v>
      </c>
      <c r="B88" s="1" t="s">
        <v>127</v>
      </c>
      <c r="C88" s="12" t="b">
        <v>1</v>
      </c>
    </row>
    <row r="89" customFormat="false" ht="12.8" hidden="false" customHeight="false" outlineLevel="0" collapsed="false">
      <c r="A89" s="1" t="s">
        <v>129</v>
      </c>
      <c r="B89" s="1" t="s">
        <v>128</v>
      </c>
      <c r="C89" s="12" t="b">
        <v>0</v>
      </c>
    </row>
    <row r="90" customFormat="false" ht="12.8" hidden="false" customHeight="false" outlineLevel="0" collapsed="false">
      <c r="A90" s="1" t="n">
        <v>333314</v>
      </c>
      <c r="B90" s="1" t="s">
        <v>130</v>
      </c>
      <c r="C90" s="12" t="b">
        <v>0</v>
      </c>
    </row>
    <row r="91" customFormat="false" ht="12.8" hidden="false" customHeight="false" outlineLevel="0" collapsed="false">
      <c r="A91" s="1" t="n">
        <v>333316</v>
      </c>
      <c r="B91" s="1" t="s">
        <v>131</v>
      </c>
      <c r="C91" s="12" t="b">
        <v>1</v>
      </c>
    </row>
    <row r="92" customFormat="false" ht="12.8" hidden="false" customHeight="false" outlineLevel="0" collapsed="false">
      <c r="A92" s="1" t="n">
        <v>333318</v>
      </c>
      <c r="B92" s="1" t="s">
        <v>132</v>
      </c>
      <c r="C92" s="12" t="b">
        <v>1</v>
      </c>
    </row>
    <row r="93" customFormat="false" ht="12.8" hidden="false" customHeight="false" outlineLevel="0" collapsed="false">
      <c r="A93" s="1" t="n">
        <v>333414</v>
      </c>
      <c r="B93" s="1" t="s">
        <v>133</v>
      </c>
      <c r="C93" s="12" t="b">
        <v>1</v>
      </c>
    </row>
    <row r="94" customFormat="false" ht="12.8" hidden="false" customHeight="false" outlineLevel="0" collapsed="false">
      <c r="A94" s="1" t="n">
        <v>333415</v>
      </c>
      <c r="B94" s="1" t="s">
        <v>134</v>
      </c>
      <c r="C94" s="12" t="b">
        <v>1</v>
      </c>
    </row>
    <row r="95" customFormat="false" ht="12.8" hidden="false" customHeight="false" outlineLevel="0" collapsed="false">
      <c r="A95" s="1" t="n">
        <v>333413</v>
      </c>
      <c r="B95" s="1" t="s">
        <v>135</v>
      </c>
      <c r="C95" s="12" t="b">
        <v>1</v>
      </c>
    </row>
    <row r="96" customFormat="false" ht="12.8" hidden="false" customHeight="false" outlineLevel="0" collapsed="false">
      <c r="A96" s="1" t="n">
        <v>333511</v>
      </c>
      <c r="B96" s="1" t="s">
        <v>136</v>
      </c>
      <c r="C96" s="12" t="b">
        <v>0</v>
      </c>
    </row>
    <row r="97" customFormat="false" ht="12.8" hidden="false" customHeight="false" outlineLevel="0" collapsed="false">
      <c r="A97" s="1" t="n">
        <v>333514</v>
      </c>
      <c r="B97" s="1" t="s">
        <v>137</v>
      </c>
      <c r="C97" s="12" t="b">
        <v>1</v>
      </c>
    </row>
    <row r="98" customFormat="false" ht="12.8" hidden="false" customHeight="false" outlineLevel="0" collapsed="false">
      <c r="A98" s="1" t="n">
        <v>333517</v>
      </c>
      <c r="B98" s="1" t="s">
        <v>138</v>
      </c>
      <c r="C98" s="12" t="b">
        <v>1</v>
      </c>
    </row>
    <row r="99" customFormat="false" ht="12.8" hidden="false" customHeight="false" outlineLevel="0" collapsed="false">
      <c r="A99" s="1" t="s">
        <v>140</v>
      </c>
      <c r="B99" s="1" t="s">
        <v>139</v>
      </c>
      <c r="C99" s="12" t="b">
        <v>0</v>
      </c>
    </row>
    <row r="100" customFormat="false" ht="12.8" hidden="false" customHeight="false" outlineLevel="0" collapsed="false">
      <c r="A100" s="1" t="n">
        <v>333611</v>
      </c>
      <c r="B100" s="1" t="s">
        <v>141</v>
      </c>
      <c r="C100" s="12" t="b">
        <v>1</v>
      </c>
    </row>
    <row r="101" customFormat="false" ht="12.8" hidden="false" customHeight="false" outlineLevel="0" collapsed="false">
      <c r="A101" s="1" t="n">
        <v>333612</v>
      </c>
      <c r="B101" s="1" t="s">
        <v>142</v>
      </c>
      <c r="C101" s="12" t="b">
        <v>1</v>
      </c>
    </row>
    <row r="102" customFormat="false" ht="12.8" hidden="false" customHeight="false" outlineLevel="0" collapsed="false">
      <c r="A102" s="1" t="n">
        <v>333613</v>
      </c>
      <c r="B102" s="1" t="s">
        <v>143</v>
      </c>
      <c r="C102" s="12" t="b">
        <v>1</v>
      </c>
    </row>
    <row r="103" customFormat="false" ht="12.8" hidden="false" customHeight="false" outlineLevel="0" collapsed="false">
      <c r="A103" s="1" t="n">
        <v>333618</v>
      </c>
      <c r="B103" s="1" t="s">
        <v>144</v>
      </c>
      <c r="C103" s="12" t="b">
        <v>1</v>
      </c>
    </row>
    <row r="104" customFormat="false" ht="12.8" hidden="false" customHeight="false" outlineLevel="0" collapsed="false">
      <c r="A104" s="1" t="n">
        <v>333912</v>
      </c>
      <c r="B104" s="1" t="s">
        <v>145</v>
      </c>
      <c r="C104" s="12" t="b">
        <v>1</v>
      </c>
    </row>
    <row r="105" customFormat="false" ht="12.8" hidden="false" customHeight="false" outlineLevel="0" collapsed="false">
      <c r="A105" s="1" t="n">
        <v>333914</v>
      </c>
      <c r="B105" s="1" t="s">
        <v>146</v>
      </c>
      <c r="C105" s="12" t="b">
        <v>1</v>
      </c>
    </row>
    <row r="106" customFormat="false" ht="12.8" hidden="false" customHeight="false" outlineLevel="0" collapsed="false">
      <c r="A106" s="1" t="n">
        <v>333920</v>
      </c>
      <c r="B106" s="1" t="s">
        <v>147</v>
      </c>
      <c r="C106" s="12" t="b">
        <v>1</v>
      </c>
    </row>
    <row r="107" customFormat="false" ht="12.8" hidden="false" customHeight="false" outlineLevel="0" collapsed="false">
      <c r="A107" s="1" t="n">
        <v>333991</v>
      </c>
      <c r="B107" s="1" t="s">
        <v>148</v>
      </c>
      <c r="C107" s="12" t="b">
        <v>1</v>
      </c>
    </row>
    <row r="108" customFormat="false" ht="12.8" hidden="false" customHeight="false" outlineLevel="0" collapsed="false">
      <c r="A108" s="1" t="n">
        <v>333993</v>
      </c>
      <c r="B108" s="1" t="s">
        <v>149</v>
      </c>
      <c r="C108" s="12" t="b">
        <v>0</v>
      </c>
    </row>
    <row r="109" customFormat="false" ht="12.8" hidden="false" customHeight="false" outlineLevel="0" collapsed="false">
      <c r="A109" s="1" t="n">
        <v>333994</v>
      </c>
      <c r="B109" s="1" t="s">
        <v>150</v>
      </c>
      <c r="C109" s="12" t="b">
        <v>0</v>
      </c>
    </row>
    <row r="110" customFormat="false" ht="12.8" hidden="false" customHeight="false" outlineLevel="0" collapsed="false">
      <c r="A110" s="1" t="s">
        <v>152</v>
      </c>
      <c r="B110" s="1" t="s">
        <v>151</v>
      </c>
      <c r="C110" s="12" t="b">
        <v>0</v>
      </c>
    </row>
    <row r="111" customFormat="false" ht="12.8" hidden="false" customHeight="false" outlineLevel="0" collapsed="false">
      <c r="A111" s="1" t="s">
        <v>154</v>
      </c>
      <c r="B111" s="1" t="s">
        <v>153</v>
      </c>
      <c r="C111" s="12" t="b">
        <v>0</v>
      </c>
    </row>
    <row r="112" customFormat="false" ht="12.8" hidden="false" customHeight="false" outlineLevel="0" collapsed="false">
      <c r="A112" s="1" t="n">
        <v>334111</v>
      </c>
      <c r="B112" s="1" t="s">
        <v>155</v>
      </c>
      <c r="C112" s="12" t="b">
        <v>1</v>
      </c>
    </row>
    <row r="113" customFormat="false" ht="12.8" hidden="false" customHeight="false" outlineLevel="0" collapsed="false">
      <c r="A113" s="1" t="n">
        <v>334112</v>
      </c>
      <c r="B113" s="1" t="s">
        <v>156</v>
      </c>
      <c r="C113" s="12" t="b">
        <v>0</v>
      </c>
    </row>
    <row r="114" customFormat="false" ht="12.8" hidden="false" customHeight="false" outlineLevel="0" collapsed="false">
      <c r="A114" s="1" t="n">
        <v>334118</v>
      </c>
      <c r="B114" s="1" t="s">
        <v>157</v>
      </c>
      <c r="C114" s="12" t="b">
        <v>1</v>
      </c>
    </row>
    <row r="115" customFormat="false" ht="12.8" hidden="false" customHeight="false" outlineLevel="0" collapsed="false">
      <c r="A115" s="1" t="n">
        <v>334210</v>
      </c>
      <c r="B115" s="1" t="s">
        <v>158</v>
      </c>
      <c r="C115" s="12" t="b">
        <v>0</v>
      </c>
    </row>
    <row r="116" customFormat="false" ht="12.8" hidden="false" customHeight="false" outlineLevel="0" collapsed="false">
      <c r="A116" s="1" t="n">
        <v>334220</v>
      </c>
      <c r="B116" s="1" t="s">
        <v>159</v>
      </c>
      <c r="C116" s="12" t="b">
        <v>1</v>
      </c>
    </row>
    <row r="117" customFormat="false" ht="12.8" hidden="false" customHeight="false" outlineLevel="0" collapsed="false">
      <c r="A117" s="1" t="n">
        <v>334290</v>
      </c>
      <c r="B117" s="1" t="s">
        <v>160</v>
      </c>
      <c r="C117" s="12" t="b">
        <v>1</v>
      </c>
    </row>
    <row r="118" customFormat="false" ht="12.8" hidden="false" customHeight="false" outlineLevel="0" collapsed="false">
      <c r="A118" s="1" t="n">
        <v>334413</v>
      </c>
      <c r="B118" s="1" t="s">
        <v>161</v>
      </c>
      <c r="C118" s="12" t="b">
        <v>0</v>
      </c>
    </row>
    <row r="119" customFormat="false" ht="12.8" hidden="false" customHeight="false" outlineLevel="0" collapsed="false">
      <c r="A119" s="1" t="n">
        <v>334418</v>
      </c>
      <c r="B119" s="1" t="s">
        <v>162</v>
      </c>
      <c r="C119" s="12" t="b">
        <v>1</v>
      </c>
    </row>
    <row r="120" customFormat="false" ht="12.8" hidden="false" customHeight="false" outlineLevel="0" collapsed="false">
      <c r="A120" s="1" t="s">
        <v>164</v>
      </c>
      <c r="B120" s="1" t="s">
        <v>163</v>
      </c>
      <c r="C120" s="12" t="b">
        <v>0</v>
      </c>
    </row>
    <row r="121" customFormat="false" ht="12.8" hidden="false" customHeight="false" outlineLevel="0" collapsed="false">
      <c r="A121" s="1" t="n">
        <v>334510</v>
      </c>
      <c r="B121" s="1" t="s">
        <v>165</v>
      </c>
      <c r="C121" s="12" t="b">
        <v>1</v>
      </c>
    </row>
    <row r="122" customFormat="false" ht="12.8" hidden="false" customHeight="false" outlineLevel="0" collapsed="false">
      <c r="A122" s="1" t="n">
        <v>334511</v>
      </c>
      <c r="B122" s="1" t="s">
        <v>166</v>
      </c>
      <c r="C122" s="12" t="b">
        <v>1</v>
      </c>
    </row>
    <row r="123" customFormat="false" ht="12.8" hidden="false" customHeight="false" outlineLevel="0" collapsed="false">
      <c r="A123" s="1" t="n">
        <v>334512</v>
      </c>
      <c r="B123" s="1" t="s">
        <v>167</v>
      </c>
      <c r="C123" s="12" t="b">
        <v>1</v>
      </c>
    </row>
    <row r="124" customFormat="false" ht="12.8" hidden="false" customHeight="false" outlineLevel="0" collapsed="false">
      <c r="A124" s="1" t="n">
        <v>334513</v>
      </c>
      <c r="B124" s="1" t="s">
        <v>168</v>
      </c>
      <c r="C124" s="12" t="b">
        <v>0</v>
      </c>
    </row>
    <row r="125" customFormat="false" ht="12.8" hidden="false" customHeight="false" outlineLevel="0" collapsed="false">
      <c r="A125" s="1" t="n">
        <v>334514</v>
      </c>
      <c r="B125" s="1" t="s">
        <v>169</v>
      </c>
      <c r="C125" s="12" t="b">
        <v>0</v>
      </c>
    </row>
    <row r="126" customFormat="false" ht="12.8" hidden="false" customHeight="false" outlineLevel="0" collapsed="false">
      <c r="A126" s="1" t="n">
        <v>334515</v>
      </c>
      <c r="B126" s="1" t="s">
        <v>170</v>
      </c>
      <c r="C126" s="12" t="b">
        <v>0</v>
      </c>
    </row>
    <row r="127" customFormat="false" ht="12.8" hidden="false" customHeight="false" outlineLevel="0" collapsed="false">
      <c r="A127" s="1" t="n">
        <v>334516</v>
      </c>
      <c r="B127" s="1" t="s">
        <v>171</v>
      </c>
      <c r="C127" s="12" t="b">
        <v>1</v>
      </c>
    </row>
    <row r="128" customFormat="false" ht="12.8" hidden="false" customHeight="false" outlineLevel="0" collapsed="false">
      <c r="A128" s="1" t="n">
        <v>334517</v>
      </c>
      <c r="B128" s="1" t="s">
        <v>172</v>
      </c>
      <c r="C128" s="12" t="b">
        <v>1</v>
      </c>
    </row>
    <row r="129" customFormat="false" ht="12.8" hidden="false" customHeight="false" outlineLevel="0" collapsed="false">
      <c r="A129" s="1" t="s">
        <v>174</v>
      </c>
      <c r="B129" s="1" t="s">
        <v>173</v>
      </c>
      <c r="C129" s="12" t="b">
        <v>1</v>
      </c>
    </row>
    <row r="130" customFormat="false" ht="12.8" hidden="false" customHeight="false" outlineLevel="0" collapsed="false">
      <c r="A130" s="1" t="n">
        <v>334300</v>
      </c>
      <c r="B130" s="1" t="s">
        <v>175</v>
      </c>
      <c r="C130" s="12" t="b">
        <v>0</v>
      </c>
    </row>
    <row r="131" customFormat="false" ht="12.8" hidden="false" customHeight="false" outlineLevel="0" collapsed="false">
      <c r="A131" s="1" t="n">
        <v>334610</v>
      </c>
      <c r="B131" s="1" t="s">
        <v>176</v>
      </c>
      <c r="C131" s="12" t="b">
        <v>1</v>
      </c>
    </row>
    <row r="132" customFormat="false" ht="12.8" hidden="false" customHeight="false" outlineLevel="0" collapsed="false">
      <c r="A132" s="1" t="n">
        <v>335110</v>
      </c>
      <c r="B132" s="1" t="s">
        <v>177</v>
      </c>
      <c r="C132" s="12" t="b">
        <v>1</v>
      </c>
    </row>
    <row r="133" customFormat="false" ht="12.8" hidden="false" customHeight="false" outlineLevel="0" collapsed="false">
      <c r="A133" s="1" t="n">
        <v>335120</v>
      </c>
      <c r="B133" s="1" t="s">
        <v>178</v>
      </c>
      <c r="C133" s="12" t="b">
        <v>0</v>
      </c>
    </row>
    <row r="134" customFormat="false" ht="12.8" hidden="false" customHeight="false" outlineLevel="0" collapsed="false">
      <c r="A134" s="1" t="n">
        <v>335210</v>
      </c>
      <c r="B134" s="1" t="s">
        <v>179</v>
      </c>
      <c r="C134" s="12" t="b">
        <v>0</v>
      </c>
    </row>
    <row r="135" customFormat="false" ht="12.8" hidden="false" customHeight="false" outlineLevel="0" collapsed="false">
      <c r="A135" s="1" t="n">
        <v>335220</v>
      </c>
      <c r="B135" s="1" t="s">
        <v>180</v>
      </c>
      <c r="C135" s="12" t="b">
        <v>1</v>
      </c>
    </row>
    <row r="136" customFormat="false" ht="12.8" hidden="false" customHeight="false" outlineLevel="0" collapsed="false">
      <c r="A136" s="1" t="n">
        <v>335311</v>
      </c>
      <c r="B136" s="1" t="s">
        <v>181</v>
      </c>
      <c r="C136" s="12" t="b">
        <v>1</v>
      </c>
    </row>
    <row r="137" customFormat="false" ht="12.8" hidden="false" customHeight="false" outlineLevel="0" collapsed="false">
      <c r="A137" s="1" t="n">
        <v>335312</v>
      </c>
      <c r="B137" s="1" t="s">
        <v>182</v>
      </c>
      <c r="C137" s="12" t="b">
        <v>1</v>
      </c>
    </row>
    <row r="138" customFormat="false" ht="12.8" hidden="false" customHeight="false" outlineLevel="0" collapsed="false">
      <c r="A138" s="1" t="n">
        <v>335313</v>
      </c>
      <c r="B138" s="1" t="s">
        <v>183</v>
      </c>
      <c r="C138" s="12" t="b">
        <v>1</v>
      </c>
    </row>
    <row r="139" customFormat="false" ht="12.8" hidden="false" customHeight="false" outlineLevel="0" collapsed="false">
      <c r="A139" s="1" t="n">
        <v>335314</v>
      </c>
      <c r="B139" s="1" t="s">
        <v>184</v>
      </c>
      <c r="C139" s="12" t="b">
        <v>1</v>
      </c>
    </row>
    <row r="140" customFormat="false" ht="12.8" hidden="false" customHeight="false" outlineLevel="0" collapsed="false">
      <c r="A140" s="1" t="n">
        <v>335911</v>
      </c>
      <c r="B140" s="1" t="s">
        <v>185</v>
      </c>
      <c r="C140" s="12" t="b">
        <v>1</v>
      </c>
    </row>
    <row r="141" customFormat="false" ht="12.8" hidden="false" customHeight="false" outlineLevel="0" collapsed="false">
      <c r="A141" s="1" t="n">
        <v>335912</v>
      </c>
      <c r="B141" s="1" t="s">
        <v>186</v>
      </c>
      <c r="C141" s="12" t="b">
        <v>1</v>
      </c>
    </row>
    <row r="142" customFormat="false" ht="12.8" hidden="false" customHeight="false" outlineLevel="0" collapsed="false">
      <c r="A142" s="1" t="n">
        <v>335920</v>
      </c>
      <c r="B142" s="1" t="s">
        <v>187</v>
      </c>
      <c r="C142" s="12" t="b">
        <v>1</v>
      </c>
    </row>
    <row r="143" customFormat="false" ht="12.8" hidden="false" customHeight="false" outlineLevel="0" collapsed="false">
      <c r="A143" s="1" t="n">
        <v>335930</v>
      </c>
      <c r="B143" s="1" t="s">
        <v>188</v>
      </c>
      <c r="C143" s="12" t="b">
        <v>0</v>
      </c>
    </row>
    <row r="144" customFormat="false" ht="12.8" hidden="false" customHeight="false" outlineLevel="0" collapsed="false">
      <c r="A144" s="1" t="n">
        <v>335991</v>
      </c>
      <c r="B144" s="1" t="s">
        <v>189</v>
      </c>
      <c r="C144" s="12" t="b">
        <v>0</v>
      </c>
    </row>
    <row r="145" customFormat="false" ht="12.8" hidden="false" customHeight="false" outlineLevel="0" collapsed="false">
      <c r="A145" s="1" t="n">
        <v>335999</v>
      </c>
      <c r="B145" s="1" t="s">
        <v>190</v>
      </c>
      <c r="C145" s="12" t="b">
        <v>0</v>
      </c>
    </row>
    <row r="146" customFormat="false" ht="12.8" hidden="false" customHeight="false" outlineLevel="0" collapsed="false">
      <c r="A146" s="1" t="n">
        <v>336111</v>
      </c>
      <c r="B146" s="1" t="s">
        <v>191</v>
      </c>
      <c r="C146" s="12" t="b">
        <v>1</v>
      </c>
    </row>
    <row r="147" customFormat="false" ht="12.8" hidden="false" customHeight="false" outlineLevel="0" collapsed="false">
      <c r="A147" s="1" t="n">
        <v>336112</v>
      </c>
      <c r="B147" s="1" t="s">
        <v>192</v>
      </c>
      <c r="C147" s="12" t="b">
        <v>1</v>
      </c>
    </row>
    <row r="148" customFormat="false" ht="12.8" hidden="false" customHeight="false" outlineLevel="0" collapsed="false">
      <c r="A148" s="1" t="n">
        <v>336120</v>
      </c>
      <c r="B148" s="1" t="s">
        <v>193</v>
      </c>
      <c r="C148" s="12" t="b">
        <v>1</v>
      </c>
    </row>
    <row r="149" customFormat="false" ht="12.8" hidden="false" customHeight="false" outlineLevel="0" collapsed="false">
      <c r="A149" s="1" t="n">
        <v>336211</v>
      </c>
      <c r="B149" s="1" t="s">
        <v>194</v>
      </c>
      <c r="C149" s="12" t="b">
        <v>0</v>
      </c>
    </row>
    <row r="150" customFormat="false" ht="12.8" hidden="false" customHeight="false" outlineLevel="0" collapsed="false">
      <c r="A150" s="1" t="n">
        <v>336212</v>
      </c>
      <c r="B150" s="1" t="s">
        <v>195</v>
      </c>
      <c r="C150" s="12" t="b">
        <v>1</v>
      </c>
    </row>
    <row r="151" customFormat="false" ht="12.8" hidden="false" customHeight="false" outlineLevel="0" collapsed="false">
      <c r="A151" s="1" t="n">
        <v>336213</v>
      </c>
      <c r="B151" s="1" t="s">
        <v>196</v>
      </c>
      <c r="C151" s="12" t="b">
        <v>0</v>
      </c>
    </row>
    <row r="152" customFormat="false" ht="12.8" hidden="false" customHeight="false" outlineLevel="0" collapsed="false">
      <c r="A152" s="1" t="n">
        <v>336214</v>
      </c>
      <c r="B152" s="1" t="s">
        <v>197</v>
      </c>
      <c r="C152" s="12" t="b">
        <v>0</v>
      </c>
    </row>
    <row r="153" customFormat="false" ht="12.8" hidden="false" customHeight="false" outlineLevel="0" collapsed="false">
      <c r="A153" s="1" t="n">
        <v>336310</v>
      </c>
      <c r="B153" s="1" t="s">
        <v>198</v>
      </c>
      <c r="C153" s="12" t="b">
        <v>1</v>
      </c>
    </row>
    <row r="154" customFormat="false" ht="12.8" hidden="false" customHeight="false" outlineLevel="0" collapsed="false">
      <c r="A154" s="1" t="n">
        <v>336320</v>
      </c>
      <c r="B154" s="1" t="s">
        <v>199</v>
      </c>
      <c r="C154" s="12" t="b">
        <v>0</v>
      </c>
    </row>
    <row r="155" customFormat="false" ht="12.8" hidden="false" customHeight="false" outlineLevel="0" collapsed="false">
      <c r="A155" s="1" t="n">
        <v>336350</v>
      </c>
      <c r="B155" s="1" t="s">
        <v>200</v>
      </c>
      <c r="C155" s="12" t="b">
        <v>0</v>
      </c>
    </row>
    <row r="156" customFormat="false" ht="12.8" hidden="false" customHeight="false" outlineLevel="0" collapsed="false">
      <c r="A156" s="1" t="n">
        <v>336360</v>
      </c>
      <c r="B156" s="1" t="s">
        <v>201</v>
      </c>
      <c r="C156" s="12" t="b">
        <v>0</v>
      </c>
    </row>
    <row r="157" customFormat="false" ht="12.8" hidden="false" customHeight="false" outlineLevel="0" collapsed="false">
      <c r="A157" s="1" t="n">
        <v>336370</v>
      </c>
      <c r="B157" s="1" t="s">
        <v>202</v>
      </c>
      <c r="C157" s="12" t="b">
        <v>0</v>
      </c>
    </row>
    <row r="158" customFormat="false" ht="12.8" hidden="false" customHeight="false" outlineLevel="0" collapsed="false">
      <c r="A158" s="1" t="n">
        <v>336390</v>
      </c>
      <c r="B158" s="1" t="s">
        <v>203</v>
      </c>
      <c r="C158" s="12" t="b">
        <v>0</v>
      </c>
    </row>
    <row r="159" customFormat="false" ht="12.8" hidden="false" customHeight="false" outlineLevel="0" collapsed="false">
      <c r="A159" s="1" t="s">
        <v>205</v>
      </c>
      <c r="B159" s="1" t="s">
        <v>204</v>
      </c>
      <c r="C159" s="12" t="b">
        <v>1</v>
      </c>
    </row>
    <row r="160" customFormat="false" ht="12.8" hidden="false" customHeight="false" outlineLevel="0" collapsed="false">
      <c r="A160" s="1" t="n">
        <v>336411</v>
      </c>
      <c r="B160" s="1" t="s">
        <v>206</v>
      </c>
      <c r="C160" s="12" t="b">
        <v>0</v>
      </c>
    </row>
    <row r="161" customFormat="false" ht="12.8" hidden="false" customHeight="false" outlineLevel="0" collapsed="false">
      <c r="A161" s="1" t="n">
        <v>336412</v>
      </c>
      <c r="B161" s="1" t="s">
        <v>207</v>
      </c>
      <c r="C161" s="12" t="b">
        <v>0</v>
      </c>
    </row>
    <row r="162" customFormat="false" ht="12.8" hidden="false" customHeight="false" outlineLevel="0" collapsed="false">
      <c r="A162" s="1" t="n">
        <v>336413</v>
      </c>
      <c r="B162" s="1" t="s">
        <v>208</v>
      </c>
      <c r="C162" s="12" t="b">
        <v>1</v>
      </c>
    </row>
    <row r="163" customFormat="false" ht="12.8" hidden="false" customHeight="false" outlineLevel="0" collapsed="false">
      <c r="A163" s="1" t="n">
        <v>336414</v>
      </c>
      <c r="B163" s="1" t="s">
        <v>209</v>
      </c>
      <c r="C163" s="12" t="b">
        <v>0</v>
      </c>
    </row>
    <row r="164" customFormat="false" ht="12.8" hidden="false" customHeight="false" outlineLevel="0" collapsed="false">
      <c r="A164" s="1" t="s">
        <v>211</v>
      </c>
      <c r="B164" s="1" t="s">
        <v>210</v>
      </c>
      <c r="C164" s="12" t="b">
        <v>0</v>
      </c>
    </row>
    <row r="165" customFormat="false" ht="12.8" hidden="false" customHeight="false" outlineLevel="0" collapsed="false">
      <c r="A165" s="1" t="n">
        <v>336500</v>
      </c>
      <c r="B165" s="1" t="s">
        <v>212</v>
      </c>
      <c r="C165" s="12" t="b">
        <v>1</v>
      </c>
    </row>
    <row r="166" customFormat="false" ht="12.8" hidden="false" customHeight="false" outlineLevel="0" collapsed="false">
      <c r="A166" s="1" t="n">
        <v>336611</v>
      </c>
      <c r="B166" s="1" t="s">
        <v>213</v>
      </c>
      <c r="C166" s="12" t="b">
        <v>0</v>
      </c>
    </row>
    <row r="167" customFormat="false" ht="12.8" hidden="false" customHeight="false" outlineLevel="0" collapsed="false">
      <c r="A167" s="1" t="n">
        <v>336612</v>
      </c>
      <c r="B167" s="1" t="s">
        <v>214</v>
      </c>
      <c r="C167" s="12" t="b">
        <v>1</v>
      </c>
    </row>
    <row r="168" customFormat="false" ht="12.8" hidden="false" customHeight="false" outlineLevel="0" collapsed="false">
      <c r="A168" s="1" t="n">
        <v>336991</v>
      </c>
      <c r="B168" s="1" t="s">
        <v>215</v>
      </c>
      <c r="C168" s="12" t="b">
        <v>1</v>
      </c>
    </row>
    <row r="169" customFormat="false" ht="12.8" hidden="false" customHeight="false" outlineLevel="0" collapsed="false">
      <c r="A169" s="1" t="n">
        <v>336992</v>
      </c>
      <c r="B169" s="1" t="s">
        <v>216</v>
      </c>
      <c r="C169" s="12" t="b">
        <v>1</v>
      </c>
    </row>
    <row r="170" customFormat="false" ht="12.8" hidden="false" customHeight="false" outlineLevel="0" collapsed="false">
      <c r="A170" s="1" t="n">
        <v>336999</v>
      </c>
      <c r="B170" s="1" t="s">
        <v>217</v>
      </c>
      <c r="C170" s="12" t="b">
        <v>1</v>
      </c>
    </row>
    <row r="171" customFormat="false" ht="12.8" hidden="false" customHeight="false" outlineLevel="0" collapsed="false">
      <c r="A171" s="1" t="n">
        <v>337110</v>
      </c>
      <c r="B171" s="1" t="s">
        <v>218</v>
      </c>
      <c r="C171" s="12" t="b">
        <v>0</v>
      </c>
    </row>
    <row r="172" customFormat="false" ht="12.8" hidden="false" customHeight="false" outlineLevel="0" collapsed="false">
      <c r="A172" s="1" t="n">
        <v>337121</v>
      </c>
      <c r="B172" s="1" t="s">
        <v>219</v>
      </c>
      <c r="C172" s="12" t="b">
        <v>0</v>
      </c>
    </row>
    <row r="173" customFormat="false" ht="12.8" hidden="false" customHeight="false" outlineLevel="0" collapsed="false">
      <c r="A173" s="1" t="n">
        <v>337122</v>
      </c>
      <c r="B173" s="1" t="s">
        <v>220</v>
      </c>
      <c r="C173" s="12" t="b">
        <v>1</v>
      </c>
    </row>
    <row r="174" customFormat="false" ht="12.8" hidden="false" customHeight="false" outlineLevel="0" collapsed="false">
      <c r="A174" s="1" t="n">
        <v>337127</v>
      </c>
      <c r="B174" s="1" t="s">
        <v>221</v>
      </c>
      <c r="C174" s="12" t="b">
        <v>1</v>
      </c>
    </row>
    <row r="175" customFormat="false" ht="12.8" hidden="false" customHeight="false" outlineLevel="0" collapsed="false">
      <c r="A175" s="1" t="s">
        <v>223</v>
      </c>
      <c r="B175" s="1" t="s">
        <v>222</v>
      </c>
      <c r="C175" s="12" t="b">
        <v>0</v>
      </c>
    </row>
    <row r="176" customFormat="false" ht="12.8" hidden="false" customHeight="false" outlineLevel="0" collapsed="false">
      <c r="A176" s="1" t="n">
        <v>337215</v>
      </c>
      <c r="B176" s="1" t="s">
        <v>224</v>
      </c>
      <c r="C176" s="12" t="b">
        <v>0</v>
      </c>
    </row>
    <row r="177" customFormat="false" ht="12.8" hidden="false" customHeight="false" outlineLevel="0" collapsed="false">
      <c r="A177" s="1" t="s">
        <v>226</v>
      </c>
      <c r="B177" s="1" t="s">
        <v>225</v>
      </c>
      <c r="C177" s="12" t="b">
        <v>0</v>
      </c>
    </row>
    <row r="178" customFormat="false" ht="12.8" hidden="false" customHeight="false" outlineLevel="0" collapsed="false">
      <c r="A178" s="1" t="n">
        <v>337900</v>
      </c>
      <c r="B178" s="1" t="s">
        <v>227</v>
      </c>
      <c r="C178" s="12" t="b">
        <v>1</v>
      </c>
    </row>
    <row r="179" customFormat="false" ht="12.8" hidden="false" customHeight="false" outlineLevel="0" collapsed="false">
      <c r="A179" s="1" t="n">
        <v>339112</v>
      </c>
      <c r="B179" s="1" t="s">
        <v>228</v>
      </c>
      <c r="C179" s="12" t="b">
        <v>0</v>
      </c>
    </row>
    <row r="180" customFormat="false" ht="12.8" hidden="false" customHeight="false" outlineLevel="0" collapsed="false">
      <c r="A180" s="1" t="n">
        <v>339113</v>
      </c>
      <c r="B180" s="1" t="s">
        <v>229</v>
      </c>
      <c r="C180" s="12" t="b">
        <v>1</v>
      </c>
    </row>
    <row r="181" customFormat="false" ht="12.8" hidden="false" customHeight="false" outlineLevel="0" collapsed="false">
      <c r="A181" s="1" t="n">
        <v>339114</v>
      </c>
      <c r="B181" s="1" t="s">
        <v>230</v>
      </c>
      <c r="C181" s="12" t="b">
        <v>1</v>
      </c>
    </row>
    <row r="182" customFormat="false" ht="12.8" hidden="false" customHeight="false" outlineLevel="0" collapsed="false">
      <c r="A182" s="1" t="n">
        <v>339115</v>
      </c>
      <c r="B182" s="1" t="s">
        <v>231</v>
      </c>
      <c r="C182" s="12" t="b">
        <v>1</v>
      </c>
    </row>
    <row r="183" customFormat="false" ht="12.8" hidden="false" customHeight="false" outlineLevel="0" collapsed="false">
      <c r="A183" s="1" t="n">
        <v>339116</v>
      </c>
      <c r="B183" s="1" t="s">
        <v>232</v>
      </c>
      <c r="C183" s="12" t="b">
        <v>1</v>
      </c>
    </row>
    <row r="184" customFormat="false" ht="12.8" hidden="false" customHeight="false" outlineLevel="0" collapsed="false">
      <c r="A184" s="1" t="n">
        <v>339910</v>
      </c>
      <c r="B184" s="1" t="s">
        <v>233</v>
      </c>
      <c r="C184" s="12" t="b">
        <v>1</v>
      </c>
    </row>
    <row r="185" customFormat="false" ht="12.8" hidden="false" customHeight="false" outlineLevel="0" collapsed="false">
      <c r="A185" s="1" t="n">
        <v>339920</v>
      </c>
      <c r="B185" s="1" t="s">
        <v>234</v>
      </c>
      <c r="C185" s="12" t="b">
        <v>1</v>
      </c>
    </row>
    <row r="186" customFormat="false" ht="12.8" hidden="false" customHeight="false" outlineLevel="0" collapsed="false">
      <c r="A186" s="1" t="n">
        <v>339930</v>
      </c>
      <c r="B186" s="1" t="s">
        <v>235</v>
      </c>
      <c r="C186" s="12" t="b">
        <v>1</v>
      </c>
    </row>
    <row r="187" customFormat="false" ht="12.8" hidden="false" customHeight="false" outlineLevel="0" collapsed="false">
      <c r="A187" s="1" t="n">
        <v>339940</v>
      </c>
      <c r="B187" s="1" t="s">
        <v>236</v>
      </c>
      <c r="C187" s="12" t="b">
        <v>1</v>
      </c>
    </row>
    <row r="188" customFormat="false" ht="12.8" hidden="false" customHeight="false" outlineLevel="0" collapsed="false">
      <c r="A188" s="1" t="n">
        <v>339950</v>
      </c>
      <c r="B188" s="1" t="s">
        <v>237</v>
      </c>
      <c r="C188" s="12" t="b">
        <v>1</v>
      </c>
    </row>
    <row r="189" customFormat="false" ht="12.8" hidden="false" customHeight="false" outlineLevel="0" collapsed="false">
      <c r="A189" s="1" t="n">
        <v>339990</v>
      </c>
      <c r="B189" s="1" t="s">
        <v>238</v>
      </c>
      <c r="C189" s="12" t="b">
        <v>1</v>
      </c>
    </row>
    <row r="190" customFormat="false" ht="12.8" hidden="false" customHeight="false" outlineLevel="0" collapsed="false">
      <c r="A190" s="1" t="n">
        <v>311111</v>
      </c>
      <c r="B190" s="1" t="s">
        <v>239</v>
      </c>
      <c r="C190" s="12" t="b">
        <v>1</v>
      </c>
    </row>
    <row r="191" customFormat="false" ht="12.8" hidden="false" customHeight="false" outlineLevel="0" collapsed="false">
      <c r="A191" s="1" t="n">
        <v>311119</v>
      </c>
      <c r="B191" s="1" t="s">
        <v>240</v>
      </c>
      <c r="C191" s="12" t="b">
        <v>1</v>
      </c>
    </row>
    <row r="192" customFormat="false" ht="12.8" hidden="false" customHeight="false" outlineLevel="0" collapsed="false">
      <c r="A192" s="1" t="n">
        <v>311210</v>
      </c>
      <c r="B192" s="1" t="s">
        <v>241</v>
      </c>
      <c r="C192" s="12" t="b">
        <v>0</v>
      </c>
    </row>
    <row r="193" customFormat="false" ht="12.8" hidden="false" customHeight="false" outlineLevel="0" collapsed="false">
      <c r="A193" s="1" t="n">
        <v>311221</v>
      </c>
      <c r="B193" s="1" t="s">
        <v>242</v>
      </c>
      <c r="C193" s="12" t="b">
        <v>1</v>
      </c>
    </row>
    <row r="194" customFormat="false" ht="12.8" hidden="false" customHeight="false" outlineLevel="0" collapsed="false">
      <c r="A194" s="1" t="n">
        <v>311225</v>
      </c>
      <c r="B194" s="1" t="s">
        <v>243</v>
      </c>
      <c r="C194" s="12" t="b">
        <v>1</v>
      </c>
    </row>
    <row r="195" customFormat="false" ht="12.8" hidden="false" customHeight="false" outlineLevel="0" collapsed="false">
      <c r="A195" s="1" t="n">
        <v>311224</v>
      </c>
      <c r="B195" s="1" t="s">
        <v>244</v>
      </c>
      <c r="C195" s="12" t="b">
        <v>1</v>
      </c>
    </row>
    <row r="196" customFormat="false" ht="12.8" hidden="false" customHeight="false" outlineLevel="0" collapsed="false">
      <c r="A196" s="1" t="n">
        <v>311230</v>
      </c>
      <c r="B196" s="1" t="s">
        <v>245</v>
      </c>
      <c r="C196" s="12" t="b">
        <v>0</v>
      </c>
    </row>
    <row r="197" customFormat="false" ht="12.8" hidden="false" customHeight="false" outlineLevel="0" collapsed="false">
      <c r="A197" s="1" t="n">
        <v>311300</v>
      </c>
      <c r="B197" s="1" t="s">
        <v>246</v>
      </c>
      <c r="C197" s="12" t="b">
        <v>0</v>
      </c>
    </row>
    <row r="198" customFormat="false" ht="12.8" hidden="false" customHeight="false" outlineLevel="0" collapsed="false">
      <c r="A198" s="1" t="n">
        <v>311410</v>
      </c>
      <c r="B198" s="1" t="s">
        <v>247</v>
      </c>
      <c r="C198" s="12" t="b">
        <v>0</v>
      </c>
    </row>
    <row r="199" customFormat="false" ht="12.8" hidden="false" customHeight="false" outlineLevel="0" collapsed="false">
      <c r="A199" s="1" t="n">
        <v>311420</v>
      </c>
      <c r="B199" s="1" t="s">
        <v>248</v>
      </c>
      <c r="C199" s="12" t="b">
        <v>1</v>
      </c>
    </row>
    <row r="200" customFormat="false" ht="12.8" hidden="false" customHeight="false" outlineLevel="0" collapsed="false">
      <c r="A200" s="1" t="n">
        <v>311513</v>
      </c>
      <c r="B200" s="1" t="s">
        <v>249</v>
      </c>
      <c r="C200" s="12" t="b">
        <v>0</v>
      </c>
    </row>
    <row r="201" customFormat="false" ht="12.8" hidden="false" customHeight="false" outlineLevel="0" collapsed="false">
      <c r="A201" s="1" t="n">
        <v>311514</v>
      </c>
      <c r="B201" s="1" t="s">
        <v>250</v>
      </c>
      <c r="C201" s="12" t="b">
        <v>0</v>
      </c>
    </row>
    <row r="202" customFormat="false" ht="12.8" hidden="false" customHeight="false" outlineLevel="0" collapsed="false">
      <c r="A202" s="1" t="s">
        <v>252</v>
      </c>
      <c r="B202" s="1" t="s">
        <v>251</v>
      </c>
      <c r="C202" s="12" t="b">
        <v>0</v>
      </c>
    </row>
    <row r="203" customFormat="false" ht="12.8" hidden="false" customHeight="false" outlineLevel="0" collapsed="false">
      <c r="A203" s="1" t="n">
        <v>311520</v>
      </c>
      <c r="B203" s="1" t="s">
        <v>253</v>
      </c>
      <c r="C203" s="12" t="b">
        <v>0</v>
      </c>
    </row>
    <row r="204" customFormat="false" ht="12.8" hidden="false" customHeight="false" outlineLevel="0" collapsed="false">
      <c r="A204" s="1" t="n">
        <v>311615</v>
      </c>
      <c r="B204" s="1" t="s">
        <v>254</v>
      </c>
      <c r="C204" s="12" t="b">
        <v>0</v>
      </c>
    </row>
    <row r="205" customFormat="false" ht="12.8" hidden="false" customHeight="false" outlineLevel="0" collapsed="false">
      <c r="A205" s="1" t="s">
        <v>256</v>
      </c>
      <c r="B205" s="1" t="s">
        <v>255</v>
      </c>
      <c r="C205" s="12" t="b">
        <v>1</v>
      </c>
    </row>
    <row r="206" customFormat="false" ht="12.8" hidden="false" customHeight="false" outlineLevel="0" collapsed="false">
      <c r="A206" s="1" t="n">
        <v>311700</v>
      </c>
      <c r="B206" s="1" t="s">
        <v>257</v>
      </c>
      <c r="C206" s="12" t="b">
        <v>1</v>
      </c>
    </row>
    <row r="207" customFormat="false" ht="12.8" hidden="false" customHeight="false" outlineLevel="0" collapsed="false">
      <c r="A207" s="1" t="n">
        <v>311810</v>
      </c>
      <c r="B207" s="1" t="s">
        <v>258</v>
      </c>
      <c r="C207" s="12" t="b">
        <v>1</v>
      </c>
    </row>
    <row r="208" customFormat="false" ht="12.8" hidden="false" customHeight="false" outlineLevel="0" collapsed="false">
      <c r="A208" s="1" t="s">
        <v>260</v>
      </c>
      <c r="B208" s="1" t="s">
        <v>259</v>
      </c>
      <c r="C208" s="12" t="b">
        <v>0</v>
      </c>
    </row>
    <row r="209" customFormat="false" ht="12.8" hidden="false" customHeight="false" outlineLevel="0" collapsed="false">
      <c r="A209" s="1" t="n">
        <v>311910</v>
      </c>
      <c r="B209" s="1" t="s">
        <v>261</v>
      </c>
      <c r="C209" s="12" t="b">
        <v>0</v>
      </c>
    </row>
    <row r="210" customFormat="false" ht="12.8" hidden="false" customHeight="false" outlineLevel="0" collapsed="false">
      <c r="A210" s="1" t="n">
        <v>311920</v>
      </c>
      <c r="B210" s="1" t="s">
        <v>262</v>
      </c>
      <c r="C210" s="12" t="b">
        <v>1</v>
      </c>
    </row>
    <row r="211" customFormat="false" ht="12.8" hidden="false" customHeight="false" outlineLevel="0" collapsed="false">
      <c r="A211" s="1" t="n">
        <v>311930</v>
      </c>
      <c r="B211" s="1" t="s">
        <v>263</v>
      </c>
      <c r="C211" s="12" t="b">
        <v>0</v>
      </c>
    </row>
    <row r="212" customFormat="false" ht="12.8" hidden="false" customHeight="false" outlineLevel="0" collapsed="false">
      <c r="A212" s="1" t="n">
        <v>311940</v>
      </c>
      <c r="B212" s="1" t="s">
        <v>264</v>
      </c>
      <c r="C212" s="12" t="b">
        <v>1</v>
      </c>
    </row>
    <row r="213" customFormat="false" ht="12.8" hidden="false" customHeight="false" outlineLevel="0" collapsed="false">
      <c r="A213" s="1" t="n">
        <v>311990</v>
      </c>
      <c r="B213" s="1" t="s">
        <v>265</v>
      </c>
      <c r="C213" s="12" t="b">
        <v>1</v>
      </c>
    </row>
    <row r="214" customFormat="false" ht="12.8" hidden="false" customHeight="false" outlineLevel="0" collapsed="false">
      <c r="A214" s="1" t="n">
        <v>312110</v>
      </c>
      <c r="B214" s="1" t="s">
        <v>266</v>
      </c>
      <c r="C214" s="12" t="b">
        <v>0</v>
      </c>
    </row>
    <row r="215" customFormat="false" ht="12.8" hidden="false" customHeight="false" outlineLevel="0" collapsed="false">
      <c r="A215" s="1" t="n">
        <v>312120</v>
      </c>
      <c r="B215" s="1" t="s">
        <v>267</v>
      </c>
      <c r="C215" s="12" t="b">
        <v>1</v>
      </c>
    </row>
    <row r="216" customFormat="false" ht="12.8" hidden="false" customHeight="false" outlineLevel="0" collapsed="false">
      <c r="A216" s="1" t="n">
        <v>312130</v>
      </c>
      <c r="B216" s="1" t="s">
        <v>268</v>
      </c>
      <c r="C216" s="12" t="b">
        <v>0</v>
      </c>
    </row>
    <row r="217" customFormat="false" ht="12.8" hidden="false" customHeight="false" outlineLevel="0" collapsed="false">
      <c r="A217" s="1" t="n">
        <v>312140</v>
      </c>
      <c r="B217" s="1" t="s">
        <v>269</v>
      </c>
      <c r="C217" s="12" t="b">
        <v>1</v>
      </c>
    </row>
    <row r="218" customFormat="false" ht="12.8" hidden="false" customHeight="false" outlineLevel="0" collapsed="false">
      <c r="A218" s="1" t="n">
        <v>312200</v>
      </c>
      <c r="B218" s="1" t="s">
        <v>270</v>
      </c>
      <c r="C218" s="12" t="b">
        <v>0</v>
      </c>
    </row>
    <row r="219" customFormat="false" ht="12.8" hidden="false" customHeight="false" outlineLevel="0" collapsed="false">
      <c r="A219" s="1" t="n">
        <v>313100</v>
      </c>
      <c r="B219" s="1" t="s">
        <v>271</v>
      </c>
      <c r="C219" s="12" t="b">
        <v>1</v>
      </c>
    </row>
    <row r="220" customFormat="false" ht="12.8" hidden="false" customHeight="false" outlineLevel="0" collapsed="false">
      <c r="A220" s="1" t="n">
        <v>313200</v>
      </c>
      <c r="B220" s="1" t="s">
        <v>272</v>
      </c>
      <c r="C220" s="12" t="b">
        <v>1</v>
      </c>
    </row>
    <row r="221" customFormat="false" ht="12.8" hidden="false" customHeight="false" outlineLevel="0" collapsed="false">
      <c r="A221" s="1" t="n">
        <v>313300</v>
      </c>
      <c r="B221" s="1" t="s">
        <v>273</v>
      </c>
      <c r="C221" s="12" t="b">
        <v>0</v>
      </c>
    </row>
    <row r="222" customFormat="false" ht="12.8" hidden="false" customHeight="false" outlineLevel="0" collapsed="false">
      <c r="A222" s="1" t="n">
        <v>314110</v>
      </c>
      <c r="B222" s="1" t="s">
        <v>274</v>
      </c>
      <c r="C222" s="12" t="b">
        <v>0</v>
      </c>
    </row>
    <row r="223" customFormat="false" ht="12.8" hidden="false" customHeight="false" outlineLevel="0" collapsed="false">
      <c r="A223" s="1" t="n">
        <v>314120</v>
      </c>
      <c r="B223" s="1" t="s">
        <v>275</v>
      </c>
      <c r="C223" s="12" t="b">
        <v>1</v>
      </c>
    </row>
    <row r="224" customFormat="false" ht="12.8" hidden="false" customHeight="false" outlineLevel="0" collapsed="false">
      <c r="A224" s="1" t="n">
        <v>314900</v>
      </c>
      <c r="B224" s="1" t="s">
        <v>276</v>
      </c>
      <c r="C224" s="12" t="b">
        <v>0</v>
      </c>
    </row>
    <row r="225" customFormat="false" ht="12.8" hidden="false" customHeight="false" outlineLevel="0" collapsed="false">
      <c r="A225" s="1" t="n">
        <v>315000</v>
      </c>
      <c r="B225" s="1" t="s">
        <v>277</v>
      </c>
      <c r="C225" s="12" t="b">
        <v>1</v>
      </c>
    </row>
    <row r="226" customFormat="false" ht="12.8" hidden="false" customHeight="false" outlineLevel="0" collapsed="false">
      <c r="A226" s="1" t="n">
        <v>316000</v>
      </c>
      <c r="B226" s="1" t="s">
        <v>278</v>
      </c>
      <c r="C226" s="12" t="b">
        <v>1</v>
      </c>
    </row>
    <row r="227" customFormat="false" ht="12.8" hidden="false" customHeight="false" outlineLevel="0" collapsed="false">
      <c r="A227" s="1" t="n">
        <v>322110</v>
      </c>
      <c r="B227" s="1" t="s">
        <v>279</v>
      </c>
      <c r="C227" s="12" t="b">
        <v>1</v>
      </c>
    </row>
    <row r="228" customFormat="false" ht="12.8" hidden="false" customHeight="false" outlineLevel="0" collapsed="false">
      <c r="A228" s="1" t="n">
        <v>322120</v>
      </c>
      <c r="B228" s="1" t="s">
        <v>280</v>
      </c>
      <c r="C228" s="12" t="b">
        <v>1</v>
      </c>
    </row>
    <row r="229" customFormat="false" ht="12.8" hidden="false" customHeight="false" outlineLevel="0" collapsed="false">
      <c r="A229" s="1" t="n">
        <v>322130</v>
      </c>
      <c r="B229" s="1" t="s">
        <v>281</v>
      </c>
      <c r="C229" s="12" t="b">
        <v>1</v>
      </c>
    </row>
    <row r="230" customFormat="false" ht="12.8" hidden="false" customHeight="false" outlineLevel="0" collapsed="false">
      <c r="A230" s="1" t="n">
        <v>322210</v>
      </c>
      <c r="B230" s="1" t="s">
        <v>282</v>
      </c>
      <c r="C230" s="12" t="b">
        <v>1</v>
      </c>
    </row>
    <row r="231" customFormat="false" ht="12.8" hidden="false" customHeight="false" outlineLevel="0" collapsed="false">
      <c r="A231" s="1" t="n">
        <v>322220</v>
      </c>
      <c r="B231" s="1" t="s">
        <v>283</v>
      </c>
      <c r="C231" s="12" t="b">
        <v>0</v>
      </c>
    </row>
    <row r="232" customFormat="false" ht="12.8" hidden="false" customHeight="false" outlineLevel="0" collapsed="false">
      <c r="A232" s="1" t="n">
        <v>322230</v>
      </c>
      <c r="B232" s="1" t="s">
        <v>284</v>
      </c>
      <c r="C232" s="12" t="b">
        <v>0</v>
      </c>
    </row>
    <row r="233" customFormat="false" ht="12.8" hidden="false" customHeight="false" outlineLevel="0" collapsed="false">
      <c r="A233" s="1" t="n">
        <v>322291</v>
      </c>
      <c r="B233" s="1" t="s">
        <v>285</v>
      </c>
      <c r="C233" s="12" t="b">
        <v>1</v>
      </c>
    </row>
    <row r="234" customFormat="false" ht="12.8" hidden="false" customHeight="false" outlineLevel="0" collapsed="false">
      <c r="A234" s="1" t="n">
        <v>322299</v>
      </c>
      <c r="B234" s="1" t="s">
        <v>286</v>
      </c>
      <c r="C234" s="12" t="b">
        <v>1</v>
      </c>
    </row>
    <row r="235" customFormat="false" ht="12.8" hidden="false" customHeight="false" outlineLevel="0" collapsed="false">
      <c r="A235" s="1" t="n">
        <v>323110</v>
      </c>
      <c r="B235" s="1" t="s">
        <v>287</v>
      </c>
      <c r="C235" s="12" t="b">
        <v>0</v>
      </c>
    </row>
    <row r="236" customFormat="false" ht="12.8" hidden="false" customHeight="false" outlineLevel="0" collapsed="false">
      <c r="A236" s="1" t="n">
        <v>323120</v>
      </c>
      <c r="B236" s="1" t="s">
        <v>288</v>
      </c>
      <c r="C236" s="12" t="b">
        <v>1</v>
      </c>
    </row>
    <row r="237" customFormat="false" ht="12.8" hidden="false" customHeight="false" outlineLevel="0" collapsed="false">
      <c r="A237" s="1" t="n">
        <v>324110</v>
      </c>
      <c r="B237" s="1" t="s">
        <v>289</v>
      </c>
      <c r="C237" s="12" t="b">
        <v>1</v>
      </c>
    </row>
    <row r="238" customFormat="false" ht="12.8" hidden="false" customHeight="false" outlineLevel="0" collapsed="false">
      <c r="A238" s="1" t="n">
        <v>324121</v>
      </c>
      <c r="B238" s="1" t="s">
        <v>290</v>
      </c>
      <c r="C238" s="12" t="b">
        <v>1</v>
      </c>
    </row>
    <row r="239" customFormat="false" ht="12.8" hidden="false" customHeight="false" outlineLevel="0" collapsed="false">
      <c r="A239" s="1" t="n">
        <v>324122</v>
      </c>
      <c r="B239" s="1" t="s">
        <v>291</v>
      </c>
      <c r="C239" s="12" t="b">
        <v>1</v>
      </c>
    </row>
    <row r="240" customFormat="false" ht="12.8" hidden="false" customHeight="false" outlineLevel="0" collapsed="false">
      <c r="A240" s="1" t="n">
        <v>324190</v>
      </c>
      <c r="B240" s="1" t="s">
        <v>292</v>
      </c>
      <c r="C240" s="12" t="b">
        <v>1</v>
      </c>
    </row>
    <row r="241" customFormat="false" ht="12.8" hidden="false" customHeight="false" outlineLevel="0" collapsed="false">
      <c r="A241" s="1" t="n">
        <v>325110</v>
      </c>
      <c r="B241" s="1" t="s">
        <v>293</v>
      </c>
      <c r="C241" s="12" t="b">
        <v>0</v>
      </c>
    </row>
    <row r="242" customFormat="false" ht="12.8" hidden="false" customHeight="false" outlineLevel="0" collapsed="false">
      <c r="A242" s="1" t="n">
        <v>325120</v>
      </c>
      <c r="B242" s="1" t="s">
        <v>294</v>
      </c>
      <c r="C242" s="12" t="b">
        <v>1</v>
      </c>
    </row>
    <row r="243" customFormat="false" ht="12.8" hidden="false" customHeight="false" outlineLevel="0" collapsed="false">
      <c r="A243" s="1" t="n">
        <v>325130</v>
      </c>
      <c r="B243" s="1" t="s">
        <v>295</v>
      </c>
      <c r="C243" s="12" t="b">
        <v>0</v>
      </c>
    </row>
    <row r="244" customFormat="false" ht="12.8" hidden="false" customHeight="false" outlineLevel="0" collapsed="false">
      <c r="A244" s="1" t="n">
        <v>325180</v>
      </c>
      <c r="B244" s="1" t="s">
        <v>296</v>
      </c>
      <c r="C244" s="12" t="b">
        <v>0</v>
      </c>
    </row>
    <row r="245" customFormat="false" ht="12.8" hidden="false" customHeight="false" outlineLevel="0" collapsed="false">
      <c r="A245" s="1" t="n">
        <v>325190</v>
      </c>
      <c r="B245" s="1" t="s">
        <v>297</v>
      </c>
      <c r="C245" s="12" t="b">
        <v>0</v>
      </c>
    </row>
    <row r="246" customFormat="false" ht="12.8" hidden="false" customHeight="false" outlineLevel="0" collapsed="false">
      <c r="A246" s="1" t="n">
        <v>325211</v>
      </c>
      <c r="B246" s="1" t="s">
        <v>298</v>
      </c>
      <c r="C246" s="12" t="b">
        <v>1</v>
      </c>
    </row>
    <row r="247" customFormat="false" ht="12.8" hidden="false" customHeight="false" outlineLevel="0" collapsed="false">
      <c r="A247" s="1" t="s">
        <v>300</v>
      </c>
      <c r="B247" s="1" t="s">
        <v>299</v>
      </c>
      <c r="C247" s="12" t="b">
        <v>1</v>
      </c>
    </row>
    <row r="248" customFormat="false" ht="12.8" hidden="false" customHeight="false" outlineLevel="0" collapsed="false">
      <c r="A248" s="1" t="n">
        <v>325411</v>
      </c>
      <c r="B248" s="1" t="s">
        <v>301</v>
      </c>
      <c r="C248" s="12" t="b">
        <v>1</v>
      </c>
    </row>
    <row r="249" customFormat="false" ht="12.8" hidden="false" customHeight="false" outlineLevel="0" collapsed="false">
      <c r="A249" s="1" t="n">
        <v>325412</v>
      </c>
      <c r="B249" s="1" t="s">
        <v>302</v>
      </c>
      <c r="C249" s="12" t="b">
        <v>1</v>
      </c>
    </row>
    <row r="250" customFormat="false" ht="12.8" hidden="false" customHeight="false" outlineLevel="0" collapsed="false">
      <c r="A250" s="1" t="n">
        <v>325413</v>
      </c>
      <c r="B250" s="1" t="s">
        <v>303</v>
      </c>
      <c r="C250" s="12" t="b">
        <v>0</v>
      </c>
    </row>
    <row r="251" customFormat="false" ht="12.8" hidden="false" customHeight="false" outlineLevel="0" collapsed="false">
      <c r="A251" s="1" t="n">
        <v>325414</v>
      </c>
      <c r="B251" s="1" t="s">
        <v>304</v>
      </c>
      <c r="C251" s="12" t="b">
        <v>0</v>
      </c>
    </row>
    <row r="252" customFormat="false" ht="12.8" hidden="false" customHeight="false" outlineLevel="0" collapsed="false">
      <c r="A252" s="1" t="n">
        <v>325310</v>
      </c>
      <c r="B252" s="1" t="s">
        <v>305</v>
      </c>
      <c r="C252" s="12" t="b">
        <v>1</v>
      </c>
    </row>
    <row r="253" customFormat="false" ht="12.8" hidden="false" customHeight="false" outlineLevel="0" collapsed="false">
      <c r="A253" s="1" t="n">
        <v>325320</v>
      </c>
      <c r="B253" s="1" t="s">
        <v>306</v>
      </c>
      <c r="C253" s="12" t="b">
        <v>1</v>
      </c>
    </row>
    <row r="254" customFormat="false" ht="12.8" hidden="false" customHeight="false" outlineLevel="0" collapsed="false">
      <c r="A254" s="1" t="n">
        <v>325510</v>
      </c>
      <c r="B254" s="1" t="s">
        <v>307</v>
      </c>
      <c r="C254" s="12" t="b">
        <v>1</v>
      </c>
    </row>
    <row r="255" customFormat="false" ht="12.8" hidden="false" customHeight="false" outlineLevel="0" collapsed="false">
      <c r="A255" s="1" t="n">
        <v>325520</v>
      </c>
      <c r="B255" s="1" t="s">
        <v>308</v>
      </c>
      <c r="C255" s="12" t="b">
        <v>0</v>
      </c>
    </row>
    <row r="256" customFormat="false" ht="12.8" hidden="false" customHeight="false" outlineLevel="0" collapsed="false">
      <c r="A256" s="1" t="n">
        <v>325610</v>
      </c>
      <c r="B256" s="1" t="s">
        <v>309</v>
      </c>
      <c r="C256" s="12" t="b">
        <v>1</v>
      </c>
    </row>
    <row r="257" customFormat="false" ht="12.8" hidden="false" customHeight="false" outlineLevel="0" collapsed="false">
      <c r="A257" s="1" t="n">
        <v>325620</v>
      </c>
      <c r="B257" s="1" t="s">
        <v>310</v>
      </c>
      <c r="C257" s="12" t="b">
        <v>1</v>
      </c>
    </row>
    <row r="258" customFormat="false" ht="12.8" hidden="false" customHeight="false" outlineLevel="0" collapsed="false">
      <c r="A258" s="1" t="n">
        <v>325910</v>
      </c>
      <c r="B258" s="1" t="s">
        <v>311</v>
      </c>
      <c r="C258" s="12" t="b">
        <v>1</v>
      </c>
    </row>
    <row r="259" customFormat="false" ht="12.8" hidden="false" customHeight="false" outlineLevel="0" collapsed="false">
      <c r="A259" s="1" t="s">
        <v>313</v>
      </c>
      <c r="B259" s="1" t="s">
        <v>312</v>
      </c>
      <c r="C259" s="12" t="b">
        <v>1</v>
      </c>
    </row>
    <row r="260" customFormat="false" ht="12.8" hidden="false" customHeight="false" outlineLevel="0" collapsed="false">
      <c r="A260" s="1" t="n">
        <v>326110</v>
      </c>
      <c r="B260" s="1" t="s">
        <v>314</v>
      </c>
      <c r="C260" s="12" t="b">
        <v>1</v>
      </c>
    </row>
    <row r="261" customFormat="false" ht="12.8" hidden="false" customHeight="false" outlineLevel="0" collapsed="false">
      <c r="A261" s="1" t="n">
        <v>326120</v>
      </c>
      <c r="B261" s="1" t="s">
        <v>315</v>
      </c>
      <c r="C261" s="12" t="b">
        <v>1</v>
      </c>
    </row>
    <row r="262" customFormat="false" ht="12.8" hidden="false" customHeight="false" outlineLevel="0" collapsed="false">
      <c r="A262" s="1" t="n">
        <v>326130</v>
      </c>
      <c r="B262" s="1" t="s">
        <v>316</v>
      </c>
      <c r="C262" s="12" t="b">
        <v>1</v>
      </c>
    </row>
    <row r="263" customFormat="false" ht="12.8" hidden="false" customHeight="false" outlineLevel="0" collapsed="false">
      <c r="A263" s="1" t="n">
        <v>326140</v>
      </c>
      <c r="B263" s="1" t="s">
        <v>317</v>
      </c>
      <c r="C263" s="12" t="b">
        <v>1</v>
      </c>
    </row>
    <row r="264" customFormat="false" ht="12.8" hidden="false" customHeight="false" outlineLevel="0" collapsed="false">
      <c r="A264" s="1" t="n">
        <v>326150</v>
      </c>
      <c r="B264" s="1" t="s">
        <v>318</v>
      </c>
      <c r="C264" s="12" t="b">
        <v>1</v>
      </c>
    </row>
    <row r="265" customFormat="false" ht="12.8" hidden="false" customHeight="false" outlineLevel="0" collapsed="false">
      <c r="A265" s="1" t="n">
        <v>326160</v>
      </c>
      <c r="B265" s="1" t="s">
        <v>319</v>
      </c>
      <c r="C265" s="12" t="b">
        <v>1</v>
      </c>
    </row>
    <row r="266" customFormat="false" ht="12.8" hidden="false" customHeight="false" outlineLevel="0" collapsed="false">
      <c r="A266" s="1" t="n">
        <v>326190</v>
      </c>
      <c r="B266" s="1" t="s">
        <v>320</v>
      </c>
      <c r="C266" s="12" t="b">
        <v>0</v>
      </c>
    </row>
    <row r="267" customFormat="false" ht="12.8" hidden="false" customHeight="false" outlineLevel="0" collapsed="false">
      <c r="A267" s="1" t="n">
        <v>326210</v>
      </c>
      <c r="B267" s="1" t="s">
        <v>321</v>
      </c>
      <c r="C267" s="12" t="b">
        <v>0</v>
      </c>
    </row>
    <row r="268" customFormat="false" ht="12.8" hidden="false" customHeight="false" outlineLevel="0" collapsed="false">
      <c r="A268" s="1" t="n">
        <v>326220</v>
      </c>
      <c r="B268" s="1" t="s">
        <v>322</v>
      </c>
      <c r="C268" s="12" t="b">
        <v>0</v>
      </c>
    </row>
    <row r="269" customFormat="false" ht="12.8" hidden="false" customHeight="false" outlineLevel="0" collapsed="false">
      <c r="A269" s="1" t="n">
        <v>326290</v>
      </c>
      <c r="B269" s="1" t="s">
        <v>323</v>
      </c>
      <c r="C269" s="12" t="b">
        <v>1</v>
      </c>
    </row>
    <row r="270" customFormat="false" ht="12.8" hidden="false" customHeight="false" outlineLevel="0" collapsed="false">
      <c r="A270" s="1" t="n">
        <v>423100</v>
      </c>
      <c r="B270" s="1" t="s">
        <v>324</v>
      </c>
      <c r="C270" s="12" t="b">
        <v>1</v>
      </c>
    </row>
    <row r="271" customFormat="false" ht="12.8" hidden="false" customHeight="false" outlineLevel="0" collapsed="false">
      <c r="A271" s="1" t="n">
        <v>423400</v>
      </c>
      <c r="B271" s="1" t="s">
        <v>325</v>
      </c>
      <c r="C271" s="12" t="b">
        <v>1</v>
      </c>
    </row>
    <row r="272" customFormat="false" ht="12.8" hidden="false" customHeight="false" outlineLevel="0" collapsed="false">
      <c r="A272" s="1" t="n">
        <v>423600</v>
      </c>
      <c r="B272" s="1" t="s">
        <v>326</v>
      </c>
      <c r="C272" s="12" t="b">
        <v>1</v>
      </c>
    </row>
    <row r="273" customFormat="false" ht="12.8" hidden="false" customHeight="false" outlineLevel="0" collapsed="false">
      <c r="A273" s="1" t="n">
        <v>423800</v>
      </c>
      <c r="B273" s="1" t="s">
        <v>327</v>
      </c>
      <c r="C273" s="12" t="b">
        <v>1</v>
      </c>
    </row>
    <row r="274" customFormat="false" ht="12.8" hidden="false" customHeight="false" outlineLevel="0" collapsed="false">
      <c r="A274" s="1" t="s">
        <v>329</v>
      </c>
      <c r="B274" s="1" t="s">
        <v>328</v>
      </c>
      <c r="C274" s="12" t="b">
        <v>0</v>
      </c>
    </row>
    <row r="275" customFormat="false" ht="12.8" hidden="false" customHeight="false" outlineLevel="0" collapsed="false">
      <c r="A275" s="1" t="n">
        <v>424200</v>
      </c>
      <c r="B275" s="1" t="s">
        <v>330</v>
      </c>
      <c r="C275" s="12" t="b">
        <v>1</v>
      </c>
    </row>
    <row r="276" customFormat="false" ht="12.8" hidden="false" customHeight="false" outlineLevel="0" collapsed="false">
      <c r="A276" s="1" t="n">
        <v>424400</v>
      </c>
      <c r="B276" s="1" t="s">
        <v>331</v>
      </c>
      <c r="C276" s="12" t="b">
        <v>1</v>
      </c>
    </row>
    <row r="277" customFormat="false" ht="12.8" hidden="false" customHeight="false" outlineLevel="0" collapsed="false">
      <c r="A277" s="1" t="n">
        <v>424700</v>
      </c>
      <c r="B277" s="1" t="s">
        <v>332</v>
      </c>
      <c r="C277" s="12" t="b">
        <v>1</v>
      </c>
    </row>
    <row r="278" customFormat="false" ht="12.8" hidden="false" customHeight="false" outlineLevel="0" collapsed="false">
      <c r="A278" s="1" t="s">
        <v>334</v>
      </c>
      <c r="B278" s="1" t="s">
        <v>333</v>
      </c>
      <c r="C278" s="12" t="b">
        <v>1</v>
      </c>
    </row>
    <row r="279" customFormat="false" ht="12.8" hidden="false" customHeight="false" outlineLevel="0" collapsed="false">
      <c r="A279" s="1" t="n">
        <v>425000</v>
      </c>
      <c r="B279" s="1" t="s">
        <v>335</v>
      </c>
      <c r="C279" s="12" t="b">
        <v>0</v>
      </c>
    </row>
    <row r="280" customFormat="false" ht="12.8" hidden="false" customHeight="false" outlineLevel="0" collapsed="false">
      <c r="A280" s="1" t="n">
        <v>441000</v>
      </c>
      <c r="B280" s="1" t="s">
        <v>336</v>
      </c>
      <c r="C280" s="12" t="b">
        <v>1</v>
      </c>
    </row>
    <row r="281" customFormat="false" ht="12.8" hidden="false" customHeight="false" outlineLevel="0" collapsed="false">
      <c r="A281" s="1" t="n">
        <v>445000</v>
      </c>
      <c r="B281" s="1" t="s">
        <v>337</v>
      </c>
      <c r="C281" s="12" t="b">
        <v>1</v>
      </c>
    </row>
    <row r="282" customFormat="false" ht="12.8" hidden="false" customHeight="false" outlineLevel="0" collapsed="false">
      <c r="A282" s="1" t="n">
        <v>452000</v>
      </c>
      <c r="B282" s="1" t="s">
        <v>338</v>
      </c>
      <c r="C282" s="12" t="b">
        <v>0</v>
      </c>
    </row>
    <row r="283" customFormat="false" ht="12.8" hidden="false" customHeight="false" outlineLevel="0" collapsed="false">
      <c r="A283" s="1" t="n">
        <v>444000</v>
      </c>
      <c r="B283" s="1" t="s">
        <v>339</v>
      </c>
      <c r="C283" s="12" t="b">
        <v>1</v>
      </c>
    </row>
    <row r="284" customFormat="false" ht="12.8" hidden="false" customHeight="false" outlineLevel="0" collapsed="false">
      <c r="A284" s="1" t="n">
        <v>446000</v>
      </c>
      <c r="B284" s="1" t="s">
        <v>340</v>
      </c>
      <c r="C284" s="12" t="b">
        <v>1</v>
      </c>
    </row>
    <row r="285" customFormat="false" ht="12.8" hidden="false" customHeight="false" outlineLevel="0" collapsed="false">
      <c r="A285" s="1" t="n">
        <v>447000</v>
      </c>
      <c r="B285" s="1" t="s">
        <v>341</v>
      </c>
      <c r="C285" s="12" t="b">
        <v>1</v>
      </c>
    </row>
    <row r="286" customFormat="false" ht="12.8" hidden="false" customHeight="false" outlineLevel="0" collapsed="false">
      <c r="A286" s="1" t="n">
        <v>448000</v>
      </c>
      <c r="B286" s="1" t="s">
        <v>342</v>
      </c>
      <c r="C286" s="12" t="b">
        <v>0</v>
      </c>
    </row>
    <row r="287" customFormat="false" ht="12.8" hidden="false" customHeight="false" outlineLevel="0" collapsed="false">
      <c r="A287" s="1" t="n">
        <v>454000</v>
      </c>
      <c r="B287" s="1" t="s">
        <v>343</v>
      </c>
      <c r="C287" s="12" t="b">
        <v>1</v>
      </c>
    </row>
    <row r="288" customFormat="false" ht="12.8" hidden="false" customHeight="false" outlineLevel="0" collapsed="false">
      <c r="A288" s="1" t="s">
        <v>345</v>
      </c>
      <c r="B288" s="1" t="s">
        <v>344</v>
      </c>
      <c r="C288" s="12" t="b">
        <v>1</v>
      </c>
    </row>
    <row r="289" customFormat="false" ht="12.8" hidden="false" customHeight="false" outlineLevel="0" collapsed="false">
      <c r="A289" s="1" t="n">
        <v>481000</v>
      </c>
      <c r="B289" s="1" t="s">
        <v>346</v>
      </c>
      <c r="C289" s="12" t="b">
        <v>0</v>
      </c>
    </row>
    <row r="290" customFormat="false" ht="12.8" hidden="false" customHeight="false" outlineLevel="0" collapsed="false">
      <c r="A290" s="1" t="n">
        <v>482000</v>
      </c>
      <c r="B290" s="1" t="s">
        <v>347</v>
      </c>
      <c r="C290" s="12" t="b">
        <v>0</v>
      </c>
    </row>
    <row r="291" customFormat="false" ht="12.8" hidden="false" customHeight="false" outlineLevel="0" collapsed="false">
      <c r="A291" s="1" t="n">
        <v>483000</v>
      </c>
      <c r="B291" s="1" t="s">
        <v>348</v>
      </c>
      <c r="C291" s="12" t="b">
        <v>0</v>
      </c>
    </row>
    <row r="292" customFormat="false" ht="12.8" hidden="false" customHeight="false" outlineLevel="0" collapsed="false">
      <c r="A292" s="1" t="n">
        <v>484000</v>
      </c>
      <c r="B292" s="1" t="s">
        <v>349</v>
      </c>
      <c r="C292" s="12" t="b">
        <v>0</v>
      </c>
    </row>
    <row r="293" customFormat="false" ht="12.8" hidden="false" customHeight="false" outlineLevel="0" collapsed="false">
      <c r="A293" s="1" t="n">
        <v>485000</v>
      </c>
      <c r="B293" s="1" t="s">
        <v>350</v>
      </c>
      <c r="C293" s="12" t="b">
        <v>0</v>
      </c>
    </row>
    <row r="294" customFormat="false" ht="12.8" hidden="false" customHeight="false" outlineLevel="0" collapsed="false">
      <c r="A294" s="1" t="n">
        <v>486000</v>
      </c>
      <c r="B294" s="1" t="s">
        <v>351</v>
      </c>
      <c r="C294" s="12" t="b">
        <v>0</v>
      </c>
    </row>
    <row r="295" customFormat="false" ht="12.8" hidden="false" customHeight="false" outlineLevel="0" collapsed="false">
      <c r="A295" s="1" t="s">
        <v>353</v>
      </c>
      <c r="B295" s="1" t="s">
        <v>352</v>
      </c>
      <c r="C295" s="12" t="b">
        <v>1</v>
      </c>
    </row>
    <row r="296" customFormat="false" ht="12.8" hidden="false" customHeight="false" outlineLevel="0" collapsed="false">
      <c r="A296" s="1" t="n">
        <v>492000</v>
      </c>
      <c r="B296" s="1" t="s">
        <v>354</v>
      </c>
      <c r="C296" s="12" t="b">
        <v>1</v>
      </c>
    </row>
    <row r="297" customFormat="false" ht="12.8" hidden="false" customHeight="false" outlineLevel="0" collapsed="false">
      <c r="A297" s="1" t="n">
        <v>493000</v>
      </c>
      <c r="B297" s="1" t="s">
        <v>355</v>
      </c>
      <c r="C297" s="12" t="b">
        <v>1</v>
      </c>
    </row>
    <row r="298" customFormat="false" ht="12.8" hidden="false" customHeight="false" outlineLevel="0" collapsed="false">
      <c r="A298" s="1" t="n">
        <v>511110</v>
      </c>
      <c r="B298" s="1" t="s">
        <v>356</v>
      </c>
      <c r="C298" s="12" t="b">
        <v>1</v>
      </c>
    </row>
    <row r="299" customFormat="false" ht="12.8" hidden="false" customHeight="false" outlineLevel="0" collapsed="false">
      <c r="A299" s="1" t="n">
        <v>511120</v>
      </c>
      <c r="B299" s="1" t="s">
        <v>357</v>
      </c>
      <c r="C299" s="12" t="b">
        <v>1</v>
      </c>
    </row>
    <row r="300" customFormat="false" ht="12.8" hidden="false" customHeight="false" outlineLevel="0" collapsed="false">
      <c r="A300" s="1" t="n">
        <v>511130</v>
      </c>
      <c r="B300" s="1" t="s">
        <v>358</v>
      </c>
      <c r="C300" s="12" t="b">
        <v>1</v>
      </c>
    </row>
    <row r="301" customFormat="false" ht="12.8" hidden="false" customHeight="false" outlineLevel="0" collapsed="false">
      <c r="A301" s="1" t="s">
        <v>360</v>
      </c>
      <c r="B301" s="1" t="s">
        <v>359</v>
      </c>
      <c r="C301" s="12" t="b">
        <v>1</v>
      </c>
    </row>
    <row r="302" customFormat="false" ht="12.8" hidden="false" customHeight="false" outlineLevel="0" collapsed="false">
      <c r="A302" s="1" t="n">
        <v>511200</v>
      </c>
      <c r="B302" s="1" t="s">
        <v>361</v>
      </c>
      <c r="C302" s="12" t="b">
        <v>1</v>
      </c>
    </row>
    <row r="303" customFormat="false" ht="12.8" hidden="false" customHeight="false" outlineLevel="0" collapsed="false">
      <c r="A303" s="1" t="n">
        <v>512100</v>
      </c>
      <c r="B303" s="1" t="s">
        <v>362</v>
      </c>
      <c r="C303" s="12" t="b">
        <v>0</v>
      </c>
    </row>
    <row r="304" customFormat="false" ht="12.8" hidden="false" customHeight="false" outlineLevel="0" collapsed="false">
      <c r="A304" s="1" t="n">
        <v>512200</v>
      </c>
      <c r="B304" s="1" t="s">
        <v>363</v>
      </c>
      <c r="C304" s="12" t="b">
        <v>1</v>
      </c>
    </row>
    <row r="305" customFormat="false" ht="12.8" hidden="false" customHeight="false" outlineLevel="0" collapsed="false">
      <c r="A305" s="1" t="n">
        <v>515100</v>
      </c>
      <c r="B305" s="1" t="s">
        <v>364</v>
      </c>
      <c r="C305" s="12" t="b">
        <v>0</v>
      </c>
    </row>
    <row r="306" customFormat="false" ht="12.8" hidden="false" customHeight="false" outlineLevel="0" collapsed="false">
      <c r="A306" s="1" t="n">
        <v>515200</v>
      </c>
      <c r="B306" s="1" t="s">
        <v>365</v>
      </c>
      <c r="C306" s="12" t="b">
        <v>1</v>
      </c>
    </row>
    <row r="307" customFormat="false" ht="12.8" hidden="false" customHeight="false" outlineLevel="0" collapsed="false">
      <c r="A307" s="1" t="n">
        <v>517110</v>
      </c>
      <c r="B307" s="1" t="s">
        <v>366</v>
      </c>
      <c r="C307" s="12" t="b">
        <v>1</v>
      </c>
    </row>
    <row r="308" customFormat="false" ht="12.8" hidden="false" customHeight="false" outlineLevel="0" collapsed="false">
      <c r="A308" s="1" t="n">
        <v>517210</v>
      </c>
      <c r="B308" s="1" t="s">
        <v>367</v>
      </c>
      <c r="C308" s="12" t="b">
        <v>1</v>
      </c>
    </row>
    <row r="309" customFormat="false" ht="12.8" hidden="false" customHeight="false" outlineLevel="0" collapsed="false">
      <c r="A309" s="1" t="s">
        <v>369</v>
      </c>
      <c r="B309" s="1" t="s">
        <v>368</v>
      </c>
      <c r="C309" s="12" t="b">
        <v>0</v>
      </c>
    </row>
    <row r="310" customFormat="false" ht="12.8" hidden="false" customHeight="false" outlineLevel="0" collapsed="false">
      <c r="A310" s="1" t="n">
        <v>518200</v>
      </c>
      <c r="B310" s="1" t="s">
        <v>370</v>
      </c>
      <c r="C310" s="12" t="b">
        <v>1</v>
      </c>
    </row>
    <row r="311" customFormat="false" ht="12.8" hidden="false" customHeight="false" outlineLevel="0" collapsed="false">
      <c r="A311" s="1" t="n">
        <v>519130</v>
      </c>
      <c r="B311" s="1" t="s">
        <v>371</v>
      </c>
      <c r="C311" s="12" t="b">
        <v>1</v>
      </c>
    </row>
    <row r="312" customFormat="false" ht="12.8" hidden="false" customHeight="false" outlineLevel="0" collapsed="false">
      <c r="A312" s="1" t="s">
        <v>373</v>
      </c>
      <c r="B312" s="1" t="s">
        <v>372</v>
      </c>
      <c r="C312" s="12" t="b">
        <v>1</v>
      </c>
    </row>
    <row r="313" customFormat="false" ht="12.8" hidden="false" customHeight="false" outlineLevel="0" collapsed="false">
      <c r="A313" s="1" t="s">
        <v>375</v>
      </c>
      <c r="B313" s="1" t="s">
        <v>374</v>
      </c>
      <c r="C313" s="12" t="b">
        <v>1</v>
      </c>
    </row>
    <row r="314" customFormat="false" ht="12.8" hidden="false" customHeight="false" outlineLevel="0" collapsed="false">
      <c r="A314" s="1" t="s">
        <v>377</v>
      </c>
      <c r="B314" s="1" t="s">
        <v>376</v>
      </c>
      <c r="C314" s="12" t="b">
        <v>0</v>
      </c>
    </row>
    <row r="315" customFormat="false" ht="12.8" hidden="false" customHeight="false" outlineLevel="0" collapsed="false">
      <c r="A315" s="1" t="n">
        <v>523900</v>
      </c>
      <c r="B315" s="1" t="s">
        <v>378</v>
      </c>
      <c r="C315" s="12" t="b">
        <v>1</v>
      </c>
    </row>
    <row r="316" customFormat="false" ht="12.8" hidden="false" customHeight="false" outlineLevel="0" collapsed="false">
      <c r="A316" s="1" t="s">
        <v>380</v>
      </c>
      <c r="B316" s="1" t="s">
        <v>379</v>
      </c>
      <c r="C316" s="12" t="b">
        <v>1</v>
      </c>
    </row>
    <row r="317" customFormat="false" ht="12.8" hidden="false" customHeight="false" outlineLevel="0" collapsed="false">
      <c r="A317" s="1" t="n">
        <v>524113</v>
      </c>
      <c r="B317" s="1" t="s">
        <v>381</v>
      </c>
      <c r="C317" s="12" t="b">
        <v>0</v>
      </c>
    </row>
    <row r="318" customFormat="false" ht="12.8" hidden="false" customHeight="false" outlineLevel="0" collapsed="false">
      <c r="A318" s="1" t="s">
        <v>383</v>
      </c>
      <c r="B318" s="1" t="s">
        <v>382</v>
      </c>
      <c r="C318" s="12" t="b">
        <v>1</v>
      </c>
    </row>
    <row r="319" customFormat="false" ht="12.8" hidden="false" customHeight="false" outlineLevel="0" collapsed="false">
      <c r="A319" s="1" t="n">
        <v>524200</v>
      </c>
      <c r="B319" s="1" t="s">
        <v>384</v>
      </c>
      <c r="C319" s="12" t="b">
        <v>1</v>
      </c>
    </row>
    <row r="320" customFormat="false" ht="12.8" hidden="false" customHeight="false" outlineLevel="0" collapsed="false">
      <c r="A320" s="1" t="n">
        <v>525000</v>
      </c>
      <c r="B320" s="1" t="s">
        <v>385</v>
      </c>
      <c r="C320" s="12" t="b">
        <v>1</v>
      </c>
    </row>
    <row r="321" customFormat="false" ht="12.8" hidden="false" customHeight="false" outlineLevel="0" collapsed="false">
      <c r="A321" s="1" t="s">
        <v>387</v>
      </c>
      <c r="B321" s="1" t="s">
        <v>386</v>
      </c>
      <c r="C321" s="12" t="b">
        <v>0</v>
      </c>
    </row>
    <row r="322" customFormat="false" ht="12.8" hidden="false" customHeight="false" outlineLevel="0" collapsed="false">
      <c r="A322" s="1" t="s">
        <v>389</v>
      </c>
      <c r="B322" s="1" t="s">
        <v>388</v>
      </c>
      <c r="C322" s="12" t="b">
        <v>1</v>
      </c>
    </row>
    <row r="323" customFormat="false" ht="12.8" hidden="false" customHeight="false" outlineLevel="0" collapsed="false">
      <c r="A323" s="1" t="s">
        <v>391</v>
      </c>
      <c r="B323" s="1" t="s">
        <v>390</v>
      </c>
      <c r="C323" s="12" t="b">
        <v>0</v>
      </c>
    </row>
    <row r="324" customFormat="false" ht="12.8" hidden="false" customHeight="false" outlineLevel="0" collapsed="false">
      <c r="A324" s="1" t="n">
        <v>532100</v>
      </c>
      <c r="B324" s="1" t="s">
        <v>392</v>
      </c>
      <c r="C324" s="12" t="b">
        <v>0</v>
      </c>
    </row>
    <row r="325" customFormat="false" ht="12.8" hidden="false" customHeight="false" outlineLevel="0" collapsed="false">
      <c r="A325" s="1" t="n">
        <v>532400</v>
      </c>
      <c r="B325" s="1" t="s">
        <v>393</v>
      </c>
      <c r="C325" s="12" t="b">
        <v>1</v>
      </c>
    </row>
    <row r="326" customFormat="false" ht="12.8" hidden="false" customHeight="false" outlineLevel="0" collapsed="false">
      <c r="A326" s="1" t="s">
        <v>395</v>
      </c>
      <c r="B326" s="1" t="s">
        <v>394</v>
      </c>
      <c r="C326" s="12" t="b">
        <v>1</v>
      </c>
    </row>
    <row r="327" customFormat="false" ht="12.8" hidden="false" customHeight="false" outlineLevel="0" collapsed="false">
      <c r="A327" s="1" t="n">
        <v>533000</v>
      </c>
      <c r="B327" s="1" t="s">
        <v>396</v>
      </c>
      <c r="C327" s="12" t="b">
        <v>1</v>
      </c>
    </row>
    <row r="328" customFormat="false" ht="12.8" hidden="false" customHeight="false" outlineLevel="0" collapsed="false">
      <c r="A328" s="1" t="n">
        <v>541100</v>
      </c>
      <c r="B328" s="1" t="s">
        <v>397</v>
      </c>
      <c r="C328" s="12" t="b">
        <v>0</v>
      </c>
    </row>
    <row r="329" customFormat="false" ht="12.8" hidden="false" customHeight="false" outlineLevel="0" collapsed="false">
      <c r="A329" s="1" t="n">
        <v>541511</v>
      </c>
      <c r="B329" s="1" t="s">
        <v>398</v>
      </c>
      <c r="C329" s="12" t="b">
        <v>1</v>
      </c>
    </row>
    <row r="330" customFormat="false" ht="12.8" hidden="false" customHeight="false" outlineLevel="0" collapsed="false">
      <c r="A330" s="1" t="n">
        <v>541512</v>
      </c>
      <c r="B330" s="1" t="s">
        <v>399</v>
      </c>
      <c r="C330" s="12" t="b">
        <v>0</v>
      </c>
    </row>
    <row r="331" customFormat="false" ht="12.8" hidden="false" customHeight="false" outlineLevel="0" collapsed="false">
      <c r="A331" s="1" t="s">
        <v>401</v>
      </c>
      <c r="B331" s="1" t="s">
        <v>400</v>
      </c>
      <c r="C331" s="12" t="b">
        <v>1</v>
      </c>
    </row>
    <row r="332" customFormat="false" ht="12.8" hidden="false" customHeight="false" outlineLevel="0" collapsed="false">
      <c r="A332" s="1" t="n">
        <v>541200</v>
      </c>
      <c r="B332" s="1" t="s">
        <v>402</v>
      </c>
      <c r="C332" s="12" t="b">
        <v>1</v>
      </c>
    </row>
    <row r="333" customFormat="false" ht="12.8" hidden="false" customHeight="false" outlineLevel="0" collapsed="false">
      <c r="A333" s="1" t="n">
        <v>541300</v>
      </c>
      <c r="B333" s="1" t="s">
        <v>403</v>
      </c>
      <c r="C333" s="12" t="b">
        <v>0</v>
      </c>
    </row>
    <row r="334" customFormat="false" ht="12.8" hidden="false" customHeight="false" outlineLevel="0" collapsed="false">
      <c r="A334" s="1" t="n">
        <v>541610</v>
      </c>
      <c r="B334" s="1" t="s">
        <v>404</v>
      </c>
      <c r="C334" s="12" t="b">
        <v>1</v>
      </c>
    </row>
    <row r="335" customFormat="false" ht="12.8" hidden="false" customHeight="false" outlineLevel="0" collapsed="false">
      <c r="A335" s="1" t="s">
        <v>406</v>
      </c>
      <c r="B335" s="1" t="s">
        <v>405</v>
      </c>
      <c r="C335" s="12" t="b">
        <v>0</v>
      </c>
    </row>
    <row r="336" customFormat="false" ht="12.8" hidden="false" customHeight="false" outlineLevel="0" collapsed="false">
      <c r="A336" s="1" t="n">
        <v>541700</v>
      </c>
      <c r="B336" s="1" t="s">
        <v>407</v>
      </c>
      <c r="C336" s="12" t="b">
        <v>0</v>
      </c>
    </row>
    <row r="337" customFormat="false" ht="12.8" hidden="false" customHeight="false" outlineLevel="0" collapsed="false">
      <c r="A337" s="1" t="n">
        <v>541800</v>
      </c>
      <c r="B337" s="1" t="s">
        <v>408</v>
      </c>
      <c r="C337" s="12" t="b">
        <v>1</v>
      </c>
    </row>
    <row r="338" customFormat="false" ht="12.8" hidden="false" customHeight="false" outlineLevel="0" collapsed="false">
      <c r="A338" s="1" t="n">
        <v>541400</v>
      </c>
      <c r="B338" s="1" t="s">
        <v>409</v>
      </c>
      <c r="C338" s="12" t="b">
        <v>0</v>
      </c>
    </row>
    <row r="339" customFormat="false" ht="12.8" hidden="false" customHeight="false" outlineLevel="0" collapsed="false">
      <c r="A339" s="1" t="n">
        <v>541920</v>
      </c>
      <c r="B339" s="1" t="s">
        <v>410</v>
      </c>
      <c r="C339" s="12" t="b">
        <v>1</v>
      </c>
    </row>
    <row r="340" customFormat="false" ht="12.8" hidden="false" customHeight="false" outlineLevel="0" collapsed="false">
      <c r="A340" s="1" t="n">
        <v>541940</v>
      </c>
      <c r="B340" s="1" t="s">
        <v>411</v>
      </c>
      <c r="C340" s="12" t="b">
        <v>1</v>
      </c>
    </row>
    <row r="341" customFormat="false" ht="12.8" hidden="false" customHeight="false" outlineLevel="0" collapsed="false">
      <c r="A341" s="1" t="s">
        <v>413</v>
      </c>
      <c r="B341" s="1" t="s">
        <v>412</v>
      </c>
      <c r="C341" s="12" t="b">
        <v>1</v>
      </c>
    </row>
    <row r="342" customFormat="false" ht="12.8" hidden="false" customHeight="false" outlineLevel="0" collapsed="false">
      <c r="A342" s="1" t="n">
        <v>550000</v>
      </c>
      <c r="B342" s="1" t="s">
        <v>414</v>
      </c>
      <c r="C342" s="12" t="b">
        <v>1</v>
      </c>
    </row>
    <row r="343" customFormat="false" ht="12.8" hidden="false" customHeight="false" outlineLevel="0" collapsed="false">
      <c r="A343" s="1" t="n">
        <v>561300</v>
      </c>
      <c r="B343" s="1" t="s">
        <v>415</v>
      </c>
      <c r="C343" s="12" t="b">
        <v>1</v>
      </c>
    </row>
    <row r="344" customFormat="false" ht="12.8" hidden="false" customHeight="false" outlineLevel="0" collapsed="false">
      <c r="A344" s="1" t="n">
        <v>561700</v>
      </c>
      <c r="B344" s="1" t="s">
        <v>416</v>
      </c>
      <c r="C344" s="12" t="b">
        <v>0</v>
      </c>
    </row>
    <row r="345" customFormat="false" ht="12.8" hidden="false" customHeight="false" outlineLevel="0" collapsed="false">
      <c r="A345" s="1" t="n">
        <v>561100</v>
      </c>
      <c r="B345" s="1" t="s">
        <v>417</v>
      </c>
      <c r="C345" s="12" t="b">
        <v>0</v>
      </c>
    </row>
    <row r="346" customFormat="false" ht="12.8" hidden="false" customHeight="false" outlineLevel="0" collapsed="false">
      <c r="A346" s="1" t="n">
        <v>561200</v>
      </c>
      <c r="B346" s="1" t="s">
        <v>418</v>
      </c>
      <c r="C346" s="12" t="b">
        <v>0</v>
      </c>
    </row>
    <row r="347" customFormat="false" ht="12.8" hidden="false" customHeight="false" outlineLevel="0" collapsed="false">
      <c r="A347" s="1" t="n">
        <v>561400</v>
      </c>
      <c r="B347" s="1" t="s">
        <v>419</v>
      </c>
      <c r="C347" s="12" t="b">
        <v>0</v>
      </c>
    </row>
    <row r="348" customFormat="false" ht="12.8" hidden="false" customHeight="false" outlineLevel="0" collapsed="false">
      <c r="A348" s="1" t="n">
        <v>561500</v>
      </c>
      <c r="B348" s="1" t="s">
        <v>420</v>
      </c>
      <c r="C348" s="12" t="b">
        <v>0</v>
      </c>
    </row>
    <row r="349" customFormat="false" ht="12.8" hidden="false" customHeight="false" outlineLevel="0" collapsed="false">
      <c r="A349" s="1" t="n">
        <v>561600</v>
      </c>
      <c r="B349" s="1" t="s">
        <v>421</v>
      </c>
      <c r="C349" s="12" t="b">
        <v>0</v>
      </c>
    </row>
    <row r="350" customFormat="false" ht="12.8" hidden="false" customHeight="false" outlineLevel="0" collapsed="false">
      <c r="A350" s="1" t="n">
        <v>561900</v>
      </c>
      <c r="B350" s="1" t="s">
        <v>422</v>
      </c>
      <c r="C350" s="12" t="b">
        <v>1</v>
      </c>
    </row>
    <row r="351" customFormat="false" ht="12.8" hidden="false" customHeight="false" outlineLevel="0" collapsed="false">
      <c r="A351" s="1" t="n">
        <v>562000</v>
      </c>
      <c r="B351" s="1" t="s">
        <v>423</v>
      </c>
      <c r="C351" s="12" t="b">
        <v>0</v>
      </c>
    </row>
    <row r="352" customFormat="false" ht="12.8" hidden="false" customHeight="false" outlineLevel="0" collapsed="false">
      <c r="A352" s="1" t="n">
        <v>611100</v>
      </c>
      <c r="B352" s="1" t="s">
        <v>424</v>
      </c>
      <c r="C352" s="12" t="b">
        <v>0</v>
      </c>
    </row>
    <row r="353" customFormat="false" ht="12.8" hidden="false" customHeight="false" outlineLevel="0" collapsed="false">
      <c r="A353" s="1" t="s">
        <v>426</v>
      </c>
      <c r="B353" s="1" t="s">
        <v>425</v>
      </c>
      <c r="C353" s="12" t="b">
        <v>1</v>
      </c>
    </row>
    <row r="354" customFormat="false" ht="12.8" hidden="false" customHeight="false" outlineLevel="0" collapsed="false">
      <c r="A354" s="1" t="s">
        <v>428</v>
      </c>
      <c r="B354" s="1" t="s">
        <v>427</v>
      </c>
      <c r="C354" s="12" t="b">
        <v>1</v>
      </c>
    </row>
    <row r="355" customFormat="false" ht="12.8" hidden="false" customHeight="false" outlineLevel="0" collapsed="false">
      <c r="A355" s="1" t="n">
        <v>621100</v>
      </c>
      <c r="B355" s="1" t="s">
        <v>429</v>
      </c>
      <c r="C355" s="12" t="b">
        <v>0</v>
      </c>
    </row>
    <row r="356" customFormat="false" ht="12.8" hidden="false" customHeight="false" outlineLevel="0" collapsed="false">
      <c r="A356" s="1" t="n">
        <v>621200</v>
      </c>
      <c r="B356" s="1" t="s">
        <v>430</v>
      </c>
      <c r="C356" s="12" t="b">
        <v>0</v>
      </c>
    </row>
    <row r="357" customFormat="false" ht="12.8" hidden="false" customHeight="false" outlineLevel="0" collapsed="false">
      <c r="A357" s="1" t="n">
        <v>621300</v>
      </c>
      <c r="B357" s="1" t="s">
        <v>431</v>
      </c>
      <c r="C357" s="12" t="b">
        <v>0</v>
      </c>
    </row>
    <row r="358" customFormat="false" ht="12.8" hidden="false" customHeight="false" outlineLevel="0" collapsed="false">
      <c r="A358" s="1" t="n">
        <v>621400</v>
      </c>
      <c r="B358" s="1" t="s">
        <v>432</v>
      </c>
      <c r="C358" s="12" t="b">
        <v>1</v>
      </c>
    </row>
    <row r="359" customFormat="false" ht="12.8" hidden="false" customHeight="false" outlineLevel="0" collapsed="false">
      <c r="A359" s="1" t="n">
        <v>621500</v>
      </c>
      <c r="B359" s="1" t="s">
        <v>433</v>
      </c>
      <c r="C359" s="12" t="b">
        <v>0</v>
      </c>
    </row>
    <row r="360" customFormat="false" ht="12.8" hidden="false" customHeight="false" outlineLevel="0" collapsed="false">
      <c r="A360" s="1" t="n">
        <v>621600</v>
      </c>
      <c r="B360" s="1" t="s">
        <v>434</v>
      </c>
      <c r="C360" s="12" t="b">
        <v>1</v>
      </c>
    </row>
    <row r="361" customFormat="false" ht="12.8" hidden="false" customHeight="false" outlineLevel="0" collapsed="false">
      <c r="A361" s="1" t="n">
        <v>621900</v>
      </c>
      <c r="B361" s="1" t="s">
        <v>435</v>
      </c>
      <c r="C361" s="12" t="b">
        <v>0</v>
      </c>
    </row>
    <row r="362" customFormat="false" ht="12.8" hidden="false" customHeight="false" outlineLevel="0" collapsed="false">
      <c r="A362" s="1" t="n">
        <v>622000</v>
      </c>
      <c r="B362" s="1" t="s">
        <v>436</v>
      </c>
      <c r="C362" s="12" t="b">
        <v>0</v>
      </c>
    </row>
    <row r="363" customFormat="false" ht="12.8" hidden="false" customHeight="false" outlineLevel="0" collapsed="false">
      <c r="A363" s="1" t="s">
        <v>438</v>
      </c>
      <c r="B363" s="1" t="s">
        <v>437</v>
      </c>
      <c r="C363" s="12" t="b">
        <v>1</v>
      </c>
    </row>
    <row r="364" customFormat="false" ht="12.8" hidden="false" customHeight="false" outlineLevel="0" collapsed="false">
      <c r="A364" s="1" t="s">
        <v>440</v>
      </c>
      <c r="B364" s="1" t="s">
        <v>439</v>
      </c>
      <c r="C364" s="12" t="b">
        <v>0</v>
      </c>
    </row>
    <row r="365" customFormat="false" ht="12.8" hidden="false" customHeight="false" outlineLevel="0" collapsed="false">
      <c r="A365" s="1" t="n">
        <v>624100</v>
      </c>
      <c r="B365" s="1" t="s">
        <v>441</v>
      </c>
      <c r="C365" s="12" t="b">
        <v>0</v>
      </c>
    </row>
    <row r="366" customFormat="false" ht="12.8" hidden="false" customHeight="false" outlineLevel="0" collapsed="false">
      <c r="A366" s="1" t="n">
        <v>624400</v>
      </c>
      <c r="B366" s="1" t="s">
        <v>442</v>
      </c>
      <c r="C366" s="12" t="b">
        <v>0</v>
      </c>
    </row>
    <row r="367" customFormat="false" ht="12.8" hidden="false" customHeight="false" outlineLevel="0" collapsed="false">
      <c r="A367" s="1" t="s">
        <v>444</v>
      </c>
      <c r="B367" s="1" t="s">
        <v>443</v>
      </c>
      <c r="C367" s="12" t="b">
        <v>1</v>
      </c>
    </row>
    <row r="368" customFormat="false" ht="12.8" hidden="false" customHeight="false" outlineLevel="0" collapsed="false">
      <c r="A368" s="1" t="n">
        <v>711100</v>
      </c>
      <c r="B368" s="1" t="s">
        <v>445</v>
      </c>
      <c r="C368" s="12" t="b">
        <v>0</v>
      </c>
    </row>
    <row r="369" customFormat="false" ht="12.8" hidden="false" customHeight="false" outlineLevel="0" collapsed="false">
      <c r="A369" s="1" t="n">
        <v>711200</v>
      </c>
      <c r="B369" s="1" t="s">
        <v>446</v>
      </c>
      <c r="C369" s="12" t="b">
        <v>1</v>
      </c>
    </row>
    <row r="370" customFormat="false" ht="12.8" hidden="false" customHeight="false" outlineLevel="0" collapsed="false">
      <c r="A370" s="1" t="n">
        <v>711500</v>
      </c>
      <c r="B370" s="1" t="s">
        <v>447</v>
      </c>
      <c r="C370" s="12" t="b">
        <v>1</v>
      </c>
    </row>
    <row r="371" customFormat="false" ht="12.8" hidden="false" customHeight="false" outlineLevel="0" collapsed="false">
      <c r="A371" s="1" t="s">
        <v>449</v>
      </c>
      <c r="B371" s="1" t="s">
        <v>448</v>
      </c>
      <c r="C371" s="12" t="b">
        <v>0</v>
      </c>
    </row>
    <row r="372" customFormat="false" ht="12.8" hidden="false" customHeight="false" outlineLevel="0" collapsed="false">
      <c r="A372" s="1" t="n">
        <v>712000</v>
      </c>
      <c r="B372" s="1" t="s">
        <v>450</v>
      </c>
      <c r="C372" s="12" t="b">
        <v>1</v>
      </c>
    </row>
    <row r="373" customFormat="false" ht="12.8" hidden="false" customHeight="false" outlineLevel="0" collapsed="false">
      <c r="A373" s="1" t="n">
        <v>713100</v>
      </c>
      <c r="B373" s="1" t="s">
        <v>451</v>
      </c>
      <c r="C373" s="12" t="b">
        <v>1</v>
      </c>
    </row>
    <row r="374" customFormat="false" ht="12.8" hidden="false" customHeight="false" outlineLevel="0" collapsed="false">
      <c r="A374" s="1" t="n">
        <v>713200</v>
      </c>
      <c r="B374" s="1" t="s">
        <v>452</v>
      </c>
      <c r="C374" s="12" t="b">
        <v>0</v>
      </c>
    </row>
    <row r="375" customFormat="false" ht="12.8" hidden="false" customHeight="false" outlineLevel="0" collapsed="false">
      <c r="A375" s="1" t="n">
        <v>713900</v>
      </c>
      <c r="B375" s="1" t="s">
        <v>453</v>
      </c>
      <c r="C375" s="12" t="b">
        <v>1</v>
      </c>
    </row>
    <row r="376" customFormat="false" ht="12.8" hidden="false" customHeight="false" outlineLevel="0" collapsed="false">
      <c r="A376" s="1" t="n">
        <v>721000</v>
      </c>
      <c r="B376" s="1" t="s">
        <v>454</v>
      </c>
      <c r="C376" s="12" t="b">
        <v>1</v>
      </c>
    </row>
    <row r="377" customFormat="false" ht="12.8" hidden="false" customHeight="false" outlineLevel="0" collapsed="false">
      <c r="A377" s="1" t="n">
        <v>722110</v>
      </c>
      <c r="B377" s="1" t="s">
        <v>455</v>
      </c>
      <c r="C377" s="12" t="b">
        <v>1</v>
      </c>
    </row>
    <row r="378" customFormat="false" ht="12.8" hidden="false" customHeight="false" outlineLevel="0" collapsed="false">
      <c r="A378" s="1" t="n">
        <v>722211</v>
      </c>
      <c r="B378" s="1" t="s">
        <v>456</v>
      </c>
      <c r="C378" s="12" t="b">
        <v>1</v>
      </c>
    </row>
    <row r="379" customFormat="false" ht="12.8" hidden="false" customHeight="false" outlineLevel="0" collapsed="false">
      <c r="A379" s="1" t="s">
        <v>458</v>
      </c>
      <c r="B379" s="1" t="s">
        <v>457</v>
      </c>
      <c r="C379" s="12" t="b">
        <v>1</v>
      </c>
    </row>
    <row r="380" customFormat="false" ht="12.8" hidden="false" customHeight="false" outlineLevel="0" collapsed="false">
      <c r="A380" s="1" t="n">
        <v>811100</v>
      </c>
      <c r="B380" s="1" t="s">
        <v>459</v>
      </c>
      <c r="C380" s="12" t="b">
        <v>0</v>
      </c>
    </row>
    <row r="381" customFormat="false" ht="12.8" hidden="false" customHeight="false" outlineLevel="0" collapsed="false">
      <c r="A381" s="1" t="n">
        <v>811200</v>
      </c>
      <c r="B381" s="1" t="s">
        <v>460</v>
      </c>
      <c r="C381" s="12" t="b">
        <v>0</v>
      </c>
    </row>
    <row r="382" customFormat="false" ht="12.8" hidden="false" customHeight="false" outlineLevel="0" collapsed="false">
      <c r="A382" s="1" t="n">
        <v>811300</v>
      </c>
      <c r="B382" s="1" t="s">
        <v>461</v>
      </c>
      <c r="C382" s="12" t="b">
        <v>0</v>
      </c>
    </row>
    <row r="383" customFormat="false" ht="12.8" hidden="false" customHeight="false" outlineLevel="0" collapsed="false">
      <c r="A383" s="1" t="n">
        <v>811400</v>
      </c>
      <c r="B383" s="1" t="s">
        <v>462</v>
      </c>
      <c r="C383" s="12" t="b">
        <v>0</v>
      </c>
    </row>
    <row r="384" customFormat="false" ht="12.8" hidden="false" customHeight="false" outlineLevel="0" collapsed="false">
      <c r="A384" s="1" t="n">
        <v>812100</v>
      </c>
      <c r="B384" s="1" t="s">
        <v>463</v>
      </c>
      <c r="C384" s="12" t="b">
        <v>1</v>
      </c>
    </row>
    <row r="385" customFormat="false" ht="12.8" hidden="false" customHeight="false" outlineLevel="0" collapsed="false">
      <c r="A385" s="1" t="n">
        <v>812200</v>
      </c>
      <c r="B385" s="1" t="s">
        <v>464</v>
      </c>
      <c r="C385" s="12" t="b">
        <v>0</v>
      </c>
    </row>
    <row r="386" customFormat="false" ht="12.8" hidden="false" customHeight="false" outlineLevel="0" collapsed="false">
      <c r="A386" s="1" t="n">
        <v>812300</v>
      </c>
      <c r="B386" s="1" t="s">
        <v>465</v>
      </c>
      <c r="C386" s="12" t="b">
        <v>0</v>
      </c>
    </row>
    <row r="387" customFormat="false" ht="12.8" hidden="false" customHeight="false" outlineLevel="0" collapsed="false">
      <c r="A387" s="1" t="n">
        <v>812900</v>
      </c>
      <c r="B387" s="1" t="s">
        <v>466</v>
      </c>
      <c r="C387" s="12" t="b">
        <v>1</v>
      </c>
    </row>
    <row r="388" customFormat="false" ht="12.8" hidden="false" customHeight="false" outlineLevel="0" collapsed="false">
      <c r="A388" s="1" t="n">
        <v>813100</v>
      </c>
      <c r="B388" s="1" t="s">
        <v>467</v>
      </c>
      <c r="C388" s="12" t="b">
        <v>1</v>
      </c>
    </row>
    <row r="389" customFormat="false" ht="12.8" hidden="false" customHeight="false" outlineLevel="0" collapsed="false">
      <c r="A389" s="1" t="s">
        <v>469</v>
      </c>
      <c r="B389" s="1" t="s">
        <v>468</v>
      </c>
      <c r="C389" s="12" t="b">
        <v>1</v>
      </c>
    </row>
    <row r="390" customFormat="false" ht="12.8" hidden="false" customHeight="false" outlineLevel="0" collapsed="false">
      <c r="A390" s="1" t="s">
        <v>471</v>
      </c>
      <c r="B390" s="1" t="s">
        <v>470</v>
      </c>
      <c r="C390" s="12" t="b">
        <v>1</v>
      </c>
    </row>
    <row r="391" customFormat="false" ht="12.8" hidden="false" customHeight="false" outlineLevel="0" collapsed="false">
      <c r="A391" s="1" t="n">
        <v>814000</v>
      </c>
      <c r="B391" s="1" t="s">
        <v>472</v>
      </c>
      <c r="C391" s="12" t="b">
        <v>0</v>
      </c>
    </row>
    <row r="392" customFormat="false" ht="12.8" hidden="false" customHeight="false" outlineLevel="0" collapsed="false">
      <c r="A392" s="1" t="s">
        <v>474</v>
      </c>
      <c r="B392" s="1" t="s">
        <v>473</v>
      </c>
      <c r="C392" s="12" t="b">
        <v>0</v>
      </c>
    </row>
    <row r="393" customFormat="false" ht="12.8" hidden="false" customHeight="false" outlineLevel="0" collapsed="false">
      <c r="A393" s="1" t="s">
        <v>476</v>
      </c>
      <c r="B393" s="1" t="s">
        <v>475</v>
      </c>
      <c r="C393" s="12" t="b">
        <v>0</v>
      </c>
    </row>
    <row r="394" customFormat="false" ht="12.8" hidden="false" customHeight="false" outlineLevel="0" collapsed="false">
      <c r="A394" s="1" t="n">
        <v>491000</v>
      </c>
      <c r="B394" s="1" t="s">
        <v>477</v>
      </c>
      <c r="C394" s="12" t="b">
        <v>0</v>
      </c>
    </row>
    <row r="395" customFormat="false" ht="12.8" hidden="false" customHeight="false" outlineLevel="0" collapsed="false">
      <c r="A395" s="1" t="s">
        <v>479</v>
      </c>
      <c r="B395" s="1" t="s">
        <v>478</v>
      </c>
      <c r="C395" s="12" t="b">
        <v>1</v>
      </c>
    </row>
    <row r="396" customFormat="false" ht="12.8" hidden="false" customHeight="false" outlineLevel="0" collapsed="false">
      <c r="A396" s="1" t="s">
        <v>481</v>
      </c>
      <c r="B396" s="1" t="s">
        <v>480</v>
      </c>
      <c r="C396" s="12" t="b">
        <v>1</v>
      </c>
    </row>
    <row r="397" customFormat="false" ht="12.8" hidden="false" customHeight="false" outlineLevel="0" collapsed="false">
      <c r="A397" s="1" t="s">
        <v>483</v>
      </c>
      <c r="B397" s="1" t="s">
        <v>482</v>
      </c>
      <c r="C397" s="12" t="b">
        <v>1</v>
      </c>
    </row>
    <row r="398" customFormat="false" ht="12.8" hidden="false" customHeight="false" outlineLevel="0" collapsed="false">
      <c r="A398" s="1" t="s">
        <v>485</v>
      </c>
      <c r="B398" s="1" t="s">
        <v>484</v>
      </c>
      <c r="C398" s="12" t="b">
        <v>0</v>
      </c>
    </row>
    <row r="399" customFormat="false" ht="12.8" hidden="false" customHeight="false" outlineLevel="0" collapsed="false">
      <c r="A399" s="1" t="s">
        <v>487</v>
      </c>
      <c r="B399" s="1" t="s">
        <v>486</v>
      </c>
      <c r="C399" s="12" t="b">
        <v>0</v>
      </c>
    </row>
    <row r="400" customFormat="false" ht="12.8" hidden="false" customHeight="false" outlineLevel="0" collapsed="false">
      <c r="A400" s="1" t="s">
        <v>489</v>
      </c>
      <c r="B400" s="1" t="s">
        <v>488</v>
      </c>
      <c r="C400" s="12" t="b">
        <v>1</v>
      </c>
    </row>
    <row r="401" customFormat="false" ht="12.8" hidden="false" customHeight="false" outlineLevel="0" collapsed="false">
      <c r="A401" s="1" t="s">
        <v>491</v>
      </c>
      <c r="B401" s="1" t="s">
        <v>490</v>
      </c>
      <c r="C401" s="12" t="b">
        <v>1</v>
      </c>
    </row>
    <row r="402" customFormat="false" ht="12.8" hidden="false" customHeight="false" outlineLevel="0" collapsed="false">
      <c r="A402" s="1" t="s">
        <v>493</v>
      </c>
      <c r="B402" s="1" t="s">
        <v>492</v>
      </c>
      <c r="C402" s="12" t="b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2025-04-03T10:58:56Z</dcterms:created>
  <dc:creator/>
  <dc:description/>
  <dc:language>en-US</dc:language>
  <cp:lastModifiedBy/>
  <dcterms:modified xsi:type="dcterms:W3CDTF">2025-04-10T14:23:18Z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