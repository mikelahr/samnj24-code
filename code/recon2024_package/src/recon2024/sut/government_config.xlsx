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te_local" sheetId="1" state="visible" r:id="rId3"/>
    <sheet name="state_codes" sheetId="2" state="visible" r:id="rId4"/>
    <sheet name="exploration" sheetId="3" state="visible" r:id="rId5"/>
    <sheet name="email"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<sst xmlns="http://schemas.openxmlformats.org/spreadsheetml/2006/main" count="1138" uniqueCount="283">
  <si>
    <t xml:space="preserve">Description</t>
  </si>
  <si>
    <t xml:space="preserve">          Current operations</t>
  </si>
  <si>
    <t xml:space="preserve">               Education</t>
  </si>
  <si>
    <t xml:space="preserve">               Hospitals</t>
  </si>
  <si>
    <t xml:space="preserve">               Health</t>
  </si>
  <si>
    <t xml:space="preserve">United States Total</t>
  </si>
  <si>
    <t xml:space="preserve">State &amp; local</t>
  </si>
  <si>
    <t xml:space="preserve">government</t>
  </si>
  <si>
    <r>
      <rPr>
        <sz val="10"/>
        <rFont val="Arial"/>
        <family val="2"/>
        <charset val="1"/>
      </rPr>
      <t xml:space="preserve">amount</t>
    </r>
    <r>
      <rPr>
        <vertAlign val="superscript"/>
        <sz val="10"/>
        <rFont val="Arial"/>
        <family val="2"/>
        <charset val="1"/>
      </rPr>
      <t xml:space="preserve">1</t>
    </r>
  </si>
  <si>
    <t xml:space="preserve">CV</t>
  </si>
  <si>
    <t xml:space="preserve"> State</t>
  </si>
  <si>
    <t xml:space="preserve">amount</t>
  </si>
  <si>
    <t xml:space="preserve"> Local</t>
  </si>
  <si>
    <t xml:space="preserve">Alabama</t>
  </si>
  <si>
    <t xml:space="preserve">Alaska</t>
  </si>
  <si>
    <t xml:space="preserve">Arizona</t>
  </si>
  <si>
    <t xml:space="preserve">Arkansas</t>
  </si>
  <si>
    <t xml:space="preserve">California</t>
  </si>
  <si>
    <t xml:space="preserve">Colorado</t>
  </si>
  <si>
    <t xml:space="preserve">Connecticut</t>
  </si>
  <si>
    <t xml:space="preserve">Delaware</t>
  </si>
  <si>
    <t xml:space="preserve">District of Columbia</t>
  </si>
  <si>
    <t xml:space="preserve">Florida</t>
  </si>
  <si>
    <t xml:space="preserve">Georgia</t>
  </si>
  <si>
    <t xml:space="preserve">Hawaii</t>
  </si>
  <si>
    <t xml:space="preserve">Idaho</t>
  </si>
  <si>
    <t xml:space="preserve">Illinois</t>
  </si>
  <si>
    <t xml:space="preserve">Indiana</t>
  </si>
  <si>
    <t xml:space="preserve">Iowa</t>
  </si>
  <si>
    <t xml:space="preserve">Kansas</t>
  </si>
  <si>
    <t xml:space="preserve">Kentucky</t>
  </si>
  <si>
    <t xml:space="preserve">Louisiana</t>
  </si>
  <si>
    <t xml:space="preserve">Maine</t>
  </si>
  <si>
    <t xml:space="preserve">Maryland</t>
  </si>
  <si>
    <t xml:space="preserve">Massachusetts</t>
  </si>
  <si>
    <t xml:space="preserve">Michigan</t>
  </si>
  <si>
    <t xml:space="preserve">Minnesota</t>
  </si>
  <si>
    <t xml:space="preserve">Mississippi</t>
  </si>
  <si>
    <t xml:space="preserve">Missouri</t>
  </si>
  <si>
    <t xml:space="preserve">Montana</t>
  </si>
  <si>
    <t xml:space="preserve">Nebraska</t>
  </si>
  <si>
    <t xml:space="preserve">Nevada</t>
  </si>
  <si>
    <t xml:space="preserve">New Hampshire</t>
  </si>
  <si>
    <t xml:space="preserve">New Jersey</t>
  </si>
  <si>
    <t xml:space="preserve">New Mexico</t>
  </si>
  <si>
    <t xml:space="preserve">New York</t>
  </si>
  <si>
    <t xml:space="preserve">North Carolina</t>
  </si>
  <si>
    <t xml:space="preserve">North Dakota</t>
  </si>
  <si>
    <t xml:space="preserve">Ohio</t>
  </si>
  <si>
    <t xml:space="preserve">Oklahoma</t>
  </si>
  <si>
    <t xml:space="preserve">Oregon</t>
  </si>
  <si>
    <t xml:space="preserve">Pennsylvania</t>
  </si>
  <si>
    <t xml:space="preserve">Rhode Island</t>
  </si>
  <si>
    <t xml:space="preserve">South Carolina</t>
  </si>
  <si>
    <t xml:space="preserve">South Dakota</t>
  </si>
  <si>
    <t xml:space="preserve">Tennessee</t>
  </si>
  <si>
    <t xml:space="preserve">Texas</t>
  </si>
  <si>
    <t xml:space="preserve">Utah</t>
  </si>
  <si>
    <t xml:space="preserve">Vermont</t>
  </si>
  <si>
    <t xml:space="preserve">Virginia</t>
  </si>
  <si>
    <t xml:space="preserve">Washington</t>
  </si>
  <si>
    <t xml:space="preserve">West Virginia</t>
  </si>
  <si>
    <t xml:space="preserve">Wisconsin</t>
  </si>
  <si>
    <t xml:space="preserve">Wyoming</t>
  </si>
  <si>
    <t xml:space="preserve">code</t>
  </si>
  <si>
    <t xml:space="preserve">two_letter</t>
  </si>
  <si>
    <t xml:space="preserve">title</t>
  </si>
  <si>
    <t xml:space="preserve">01000</t>
  </si>
  <si>
    <t xml:space="preserve">AL</t>
  </si>
  <si>
    <t xml:space="preserve">02000</t>
  </si>
  <si>
    <t xml:space="preserve">AK</t>
  </si>
  <si>
    <t xml:space="preserve">04000</t>
  </si>
  <si>
    <t xml:space="preserve">AZ</t>
  </si>
  <si>
    <t xml:space="preserve">05000</t>
  </si>
  <si>
    <t xml:space="preserve">AR</t>
  </si>
  <si>
    <t xml:space="preserve">06000</t>
  </si>
  <si>
    <t xml:space="preserve">CA</t>
  </si>
  <si>
    <t xml:space="preserve">08000</t>
  </si>
  <si>
    <t xml:space="preserve">CO</t>
  </si>
  <si>
    <t xml:space="preserve">09000</t>
  </si>
  <si>
    <t xml:space="preserve">CT</t>
  </si>
  <si>
    <t xml:space="preserve">10000</t>
  </si>
  <si>
    <t xml:space="preserve">DE</t>
  </si>
  <si>
    <t xml:space="preserve">11000</t>
  </si>
  <si>
    <t xml:space="preserve">DC</t>
  </si>
  <si>
    <t xml:space="preserve">12000</t>
  </si>
  <si>
    <t xml:space="preserve">FL</t>
  </si>
  <si>
    <t xml:space="preserve">13000</t>
  </si>
  <si>
    <t xml:space="preserve">GA</t>
  </si>
  <si>
    <t xml:space="preserve">15000</t>
  </si>
  <si>
    <t xml:space="preserve">HI</t>
  </si>
  <si>
    <t xml:space="preserve">16000</t>
  </si>
  <si>
    <t xml:space="preserve">ID</t>
  </si>
  <si>
    <t xml:space="preserve">17000</t>
  </si>
  <si>
    <t xml:space="preserve">IL</t>
  </si>
  <si>
    <t xml:space="preserve">18000</t>
  </si>
  <si>
    <t xml:space="preserve">IN</t>
  </si>
  <si>
    <t xml:space="preserve">19000</t>
  </si>
  <si>
    <t xml:space="preserve">IA</t>
  </si>
  <si>
    <t xml:space="preserve">20000</t>
  </si>
  <si>
    <t xml:space="preserve">KS</t>
  </si>
  <si>
    <t xml:space="preserve">21000</t>
  </si>
  <si>
    <t xml:space="preserve">KY</t>
  </si>
  <si>
    <t xml:space="preserve">22000</t>
  </si>
  <si>
    <t xml:space="preserve">LA</t>
  </si>
  <si>
    <t xml:space="preserve">23000</t>
  </si>
  <si>
    <t xml:space="preserve">ME</t>
  </si>
  <si>
    <t xml:space="preserve">24000</t>
  </si>
  <si>
    <t xml:space="preserve">MD</t>
  </si>
  <si>
    <t xml:space="preserve">25000</t>
  </si>
  <si>
    <t xml:space="preserve">MA</t>
  </si>
  <si>
    <t xml:space="preserve">26000</t>
  </si>
  <si>
    <t xml:space="preserve">MI</t>
  </si>
  <si>
    <t xml:space="preserve">27000</t>
  </si>
  <si>
    <t xml:space="preserve">MN</t>
  </si>
  <si>
    <t xml:space="preserve">28000</t>
  </si>
  <si>
    <t xml:space="preserve">MS</t>
  </si>
  <si>
    <t xml:space="preserve">29000</t>
  </si>
  <si>
    <t xml:space="preserve">MO</t>
  </si>
  <si>
    <t xml:space="preserve">30000</t>
  </si>
  <si>
    <t xml:space="preserve">MT</t>
  </si>
  <si>
    <t xml:space="preserve">31000</t>
  </si>
  <si>
    <t xml:space="preserve">NE</t>
  </si>
  <si>
    <t xml:space="preserve">32000</t>
  </si>
  <si>
    <t xml:space="preserve">NV</t>
  </si>
  <si>
    <t xml:space="preserve">33000</t>
  </si>
  <si>
    <t xml:space="preserve">NH</t>
  </si>
  <si>
    <t xml:space="preserve">34000</t>
  </si>
  <si>
    <t xml:space="preserve">NJ</t>
  </si>
  <si>
    <t xml:space="preserve">35000</t>
  </si>
  <si>
    <t xml:space="preserve">NM</t>
  </si>
  <si>
    <t xml:space="preserve">36000</t>
  </si>
  <si>
    <t xml:space="preserve">NY</t>
  </si>
  <si>
    <t xml:space="preserve">37000</t>
  </si>
  <si>
    <t xml:space="preserve">NC</t>
  </si>
  <si>
    <t xml:space="preserve">38000</t>
  </si>
  <si>
    <t xml:space="preserve">ND</t>
  </si>
  <si>
    <t xml:space="preserve">39000</t>
  </si>
  <si>
    <t xml:space="preserve">OH</t>
  </si>
  <si>
    <t xml:space="preserve">40000</t>
  </si>
  <si>
    <t xml:space="preserve">OK</t>
  </si>
  <si>
    <t xml:space="preserve">41000</t>
  </si>
  <si>
    <t xml:space="preserve">OR</t>
  </si>
  <si>
    <t xml:space="preserve">42000</t>
  </si>
  <si>
    <t xml:space="preserve">PA</t>
  </si>
  <si>
    <t xml:space="preserve">44000</t>
  </si>
  <si>
    <t xml:space="preserve">RI</t>
  </si>
  <si>
    <t xml:space="preserve">45000</t>
  </si>
  <si>
    <t xml:space="preserve">SC</t>
  </si>
  <si>
    <t xml:space="preserve">46000</t>
  </si>
  <si>
    <t xml:space="preserve">SD</t>
  </si>
  <si>
    <t xml:space="preserve">47000</t>
  </si>
  <si>
    <t xml:space="preserve">TN</t>
  </si>
  <si>
    <t xml:space="preserve">48000</t>
  </si>
  <si>
    <t xml:space="preserve">TX</t>
  </si>
  <si>
    <t xml:space="preserve">49000</t>
  </si>
  <si>
    <t xml:space="preserve">UT</t>
  </si>
  <si>
    <t xml:space="preserve">50000</t>
  </si>
  <si>
    <t xml:space="preserve">VT</t>
  </si>
  <si>
    <t xml:space="preserve">51000</t>
  </si>
  <si>
    <t xml:space="preserve">VA</t>
  </si>
  <si>
    <t xml:space="preserve">53000</t>
  </si>
  <si>
    <t xml:space="preserve">WA</t>
  </si>
  <si>
    <t xml:space="preserve">54000</t>
  </si>
  <si>
    <t xml:space="preserve">WV</t>
  </si>
  <si>
    <t xml:space="preserve">55000</t>
  </si>
  <si>
    <t xml:space="preserve">WI</t>
  </si>
  <si>
    <t xml:space="preserve">56000</t>
  </si>
  <si>
    <t xml:space="preserve">WY</t>
  </si>
  <si>
    <t xml:space="preserve">federal</t>
  </si>
  <si>
    <t xml:space="preserve">fraction</t>
  </si>
  <si>
    <t xml:space="preserve">S00500</t>
  </si>
  <si>
    <t xml:space="preserve">Federal general government (defense)</t>
  </si>
  <si>
    <t xml:space="preserve">S00600</t>
  </si>
  <si>
    <t xml:space="preserve">Federal general government (nondefense)</t>
  </si>
  <si>
    <t xml:space="preserve">           Expenditure1</t>
  </si>
  <si>
    <t xml:space="preserve">total</t>
  </si>
  <si>
    <t xml:space="preserve">By character and object:</t>
  </si>
  <si>
    <t xml:space="preserve">state and local</t>
  </si>
  <si>
    <t xml:space="preserve">     Intergovernmental expenditure1</t>
  </si>
  <si>
    <t xml:space="preserve">     Direct expenditure</t>
  </si>
  <si>
    <t xml:space="preserve">GSLGO</t>
  </si>
  <si>
    <t xml:space="preserve">State and local government (other services)</t>
  </si>
  <si>
    <t xml:space="preserve">GSLGE</t>
  </si>
  <si>
    <t xml:space="preserve">State and local government (educational services)</t>
  </si>
  <si>
    <t xml:space="preserve">          Capital outlay</t>
  </si>
  <si>
    <t xml:space="preserve">GSLGH</t>
  </si>
  <si>
    <t xml:space="preserve">State and local government (hospitals and health services)</t>
  </si>
  <si>
    <t xml:space="preserve">               Construction</t>
  </si>
  <si>
    <t xml:space="preserve">          Assistance and subsidies</t>
  </si>
  <si>
    <t xml:space="preserve">          Interest on debt</t>
  </si>
  <si>
    <t xml:space="preserve">          Insurance benefits and repayments</t>
  </si>
  <si>
    <t xml:space="preserve">other</t>
  </si>
  <si>
    <t xml:space="preserve">          Exhibit: Salaries and wages</t>
  </si>
  <si>
    <t xml:space="preserve">81, 83</t>
  </si>
  <si>
    <t xml:space="preserve">hospitals and health</t>
  </si>
  <si>
    <t xml:space="preserve">Direct expenditure by function</t>
  </si>
  <si>
    <t xml:space="preserve">     Direct general expenditure</t>
  </si>
  <si>
    <t xml:space="preserve">          Other direct general expenditure</t>
  </si>
  <si>
    <t xml:space="preserve">     Education services:</t>
  </si>
  <si>
    <t xml:space="preserve">                    Capital outlay</t>
  </si>
  <si>
    <t xml:space="preserve">                 Higher education</t>
  </si>
  <si>
    <t xml:space="preserve">                 Elementary &amp; secondary</t>
  </si>
  <si>
    <t xml:space="preserve">domestic</t>
  </si>
  <si>
    <t xml:space="preserve">overseas</t>
  </si>
  <si>
    <t xml:space="preserve">gdp_code</t>
  </si>
  <si>
    <t xml:space="preserve">gdp_title</t>
  </si>
  <si>
    <t xml:space="preserve">base_code</t>
  </si>
  <si>
    <t xml:space="preserve">base_title</t>
  </si>
  <si>
    <t xml:space="preserve">value_wages</t>
  </si>
  <si>
    <t xml:space="preserve">value_nettax</t>
  </si>
  <si>
    <t xml:space="preserve">value_surplus</t>
  </si>
  <si>
    <t xml:space="preserve">                 Other education</t>
  </si>
  <si>
    <t xml:space="preserve">GC</t>
  </si>
  <si>
    <t xml:space="preserve">Federal civilian</t>
  </si>
  <si>
    <t xml:space="preserve">               Libraries</t>
  </si>
  <si>
    <t xml:space="preserve">GM</t>
  </si>
  <si>
    <t xml:space="preserve">Military</t>
  </si>
  <si>
    <t xml:space="preserve">     Social services and income maintenance:</t>
  </si>
  <si>
    <t xml:space="preserve">               Public welfare</t>
  </si>
  <si>
    <t xml:space="preserve">                    Other public welfare</t>
  </si>
  <si>
    <t xml:space="preserve">               Employment security administration</t>
  </si>
  <si>
    <t xml:space="preserve">state_local sheet is transpose of raw table with selected columns: 57, 69, 81, 83</t>
  </si>
  <si>
    <t xml:space="preserve">               Veterans' services</t>
  </si>
  <si>
    <t xml:space="preserve">     Transportation:</t>
  </si>
  <si>
    <t xml:space="preserve">               Highways</t>
  </si>
  <si>
    <t xml:space="preserve">               Air transportation (airports)</t>
  </si>
  <si>
    <t xml:space="preserve">               Parking facilities</t>
  </si>
  <si>
    <t xml:space="preserve">               Sea and inland port facilities</t>
  </si>
  <si>
    <t xml:space="preserve">     Public safety:</t>
  </si>
  <si>
    <t xml:space="preserve">               Police protection</t>
  </si>
  <si>
    <t xml:space="preserve">               Fire protection</t>
  </si>
  <si>
    <t xml:space="preserve">               Correction</t>
  </si>
  <si>
    <t xml:space="preserve">               Protective inspection and regulation</t>
  </si>
  <si>
    <t xml:space="preserve">     Environment and housing:</t>
  </si>
  <si>
    <t xml:space="preserve">               Natural resources</t>
  </si>
  <si>
    <t xml:space="preserve">               Parks and recreation</t>
  </si>
  <si>
    <t xml:space="preserve">               Housing and community development</t>
  </si>
  <si>
    <t xml:space="preserve">               Sewerage</t>
  </si>
  <si>
    <t xml:space="preserve">               Solid waste management</t>
  </si>
  <si>
    <t xml:space="preserve">     Governmental administration:</t>
  </si>
  <si>
    <t xml:space="preserve">               Financial administration</t>
  </si>
  <si>
    <t xml:space="preserve">               Judicial and legal</t>
  </si>
  <si>
    <t xml:space="preserve">               General public buildings</t>
  </si>
  <si>
    <t xml:space="preserve">               Other governmental administration</t>
  </si>
  <si>
    <t xml:space="preserve">     Interest on general debt</t>
  </si>
  <si>
    <t xml:space="preserve">     General expenditure, n.e.c.:</t>
  </si>
  <si>
    <t xml:space="preserve">               Miscellaneous commercial activities</t>
  </si>
  <si>
    <t xml:space="preserve">               Other and unallocable</t>
  </si>
  <si>
    <t xml:space="preserve">     Utility expenditure</t>
  </si>
  <si>
    <t xml:space="preserve">               Capital outlay</t>
  </si>
  <si>
    <t xml:space="preserve">          Water supply</t>
  </si>
  <si>
    <t xml:space="preserve">          Electric power</t>
  </si>
  <si>
    <t xml:space="preserve">          Gas supply</t>
  </si>
  <si>
    <t xml:space="preserve">          Transit</t>
  </si>
  <si>
    <t xml:space="preserve">     Liquor store expenditure</t>
  </si>
  <si>
    <t xml:space="preserve">     Insurance trust expenditure</t>
  </si>
  <si>
    <t xml:space="preserve">          Unemployment compensation</t>
  </si>
  <si>
    <t xml:space="preserve">          Employee retirement</t>
  </si>
  <si>
    <t xml:space="preserve">          Workers' compensation</t>
  </si>
  <si>
    <t xml:space="preserve">          Other insurance trust</t>
  </si>
  <si>
    <t xml:space="preserve">            Debt outstanding</t>
  </si>
  <si>
    <t xml:space="preserve">Short-term</t>
  </si>
  <si>
    <t xml:space="preserve">Long-term</t>
  </si>
  <si>
    <t xml:space="preserve">Long-term debt issued</t>
  </si>
  <si>
    <t xml:space="preserve">Long-term debt retired</t>
  </si>
  <si>
    <t xml:space="preserve">            Cash and security holdings</t>
  </si>
  <si>
    <t xml:space="preserve">Insurance trust funds</t>
  </si>
  <si>
    <t xml:space="preserve">     Unemployment compensation</t>
  </si>
  <si>
    <t xml:space="preserve">     Employee retirement</t>
  </si>
  <si>
    <t xml:space="preserve">     Workers' compensation</t>
  </si>
  <si>
    <t xml:space="preserve">     Miscellaneous</t>
  </si>
  <si>
    <t xml:space="preserve">Here is the link to the webpage of files on State and Local Government Finances for 2022.</t>
  </si>
  <si>
    <t xml:space="preserve">https://www.census.gov/data/datasets/2022/econ/local/public-use-datasets.html</t>
  </si>
  <si>
    <t xml:space="preserve">I attach the file on that page labeled "US Summary &amp; State Estimates Tables". It is actually "22slstab1.xlsx".  </t>
  </si>
  <si>
    <t xml:space="preserve">https://www2.census.gov/programs-surveys/gov-finances/tables/2022/22slsstab1.xlsx</t>
  </si>
  <si>
    <t xml:space="preserve">The pertinent row in the file is 77, which is labeled line 54. The proper columns to use are those labeled "State and local government amount". Unfortunately the states only have state names as their labels;  that is, their are no FIPs codes.</t>
  </si>
  <si>
    <t xml:space="preserve">There are clearly other data (by government function) we could use to further specify the S&amp;L Government expenditures column. But I lack both the time or funds to see this through.</t>
  </si>
  <si>
    <t xml:space="preserve"> Maybe line 54 less line 58 (Capital Outlay) would be better?</t>
  </si>
  <si>
    <t xml:space="preserve"> </t>
  </si>
  <si>
    <t xml:space="preserve">OK, federal government outlays by state are much tougher to find, presumably because Congress doesn't want us to know the imbalances (rich blue states send more to DC than they receive); we can certainly track most federal government revenues by state. In any case, here is the best I can do...</t>
  </si>
  <si>
    <t xml:space="preserve">https://www.usaspending.gov/state</t>
  </si>
  <si>
    <t xml:space="preserve">I am unsure of the fiscal year that is reported, but I cannot imagine that the shares of spending across states change much from one year to the next. Notice these are obligations rather than outlays, where the latter are the payments actually dispersed in a fiscal year.</t>
  </si>
</sst>
</file>

<file path=xl/styles.xml><?xml version="1.0" encoding="utf-8"?>
<styleSheet xmlns="http://schemas.openxmlformats.org/spreadsheetml/2006/main">
  <numFmts count="6">
    <numFmt numFmtId="164" formatCode="General"/>
    <numFmt numFmtId="165" formatCode="#,##0"/>
    <numFmt numFmtId="166" formatCode="#,##0.00"/>
    <numFmt numFmtId="167" formatCode="&quot;TRUE&quot;;&quot;TRUE&quot;;&quot;FALSE&quot;"/>
    <numFmt numFmtId="168" formatCode="0.0"/>
    <numFmt numFmtId="169" formatCode="0"/>
  </numFmts>
  <fonts count="7">
    <font>
      <sz val="10"/>
      <name val="Arial"/>
      <family val="2"/>
      <charset val="1"/>
    </font>
    <font>
      <sz val="10"/>
      <name val="Arial"/>
      <family val="0"/>
    </font>
    <font>
      <sz val="10"/>
      <name val="Arial"/>
      <family val="0"/>
    </font>
    <font>
      <sz val="10"/>
      <name val="Arial"/>
      <family val="0"/>
    </font>
    <font>
      <vertAlign val="superscript"/>
      <sz val="10"/>
      <name val="Arial"/>
      <family val="2"/>
      <charset val="1"/>
    </font>
    <font>
      <b val="true"/>
      <sz val="11"/>
      <name val="Cambria"/>
      <family val="0"/>
      <charset val="1"/>
    </font>
    <font>
      <b val="true"/>
      <sz val="11"/>
      <color theme="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true">
      <alignment horizontal="center" vertical="top"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8" fontId="6" fillId="0" borderId="1" xfId="0" applyFont="true" applyBorder="true" applyAlignment="true" applyProtection="true">
      <alignment horizontal="center" vertical="top"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53515625" defaultRowHeight="12.8" zeroHeight="false" outlineLevelRow="0" outlineLevelCol="0"/>
  <sheetData>
    <row r="1" customFormat="false" ht="12.8" hidden="false" customHeight="false" outlineLevel="0" collapsed="false">
      <c r="A1" s="1" t="s">
        <v>0</v>
      </c>
      <c r="F1" s="1" t="s">
        <v>1</v>
      </c>
      <c r="G1" s="1" t="s">
        <v>2</v>
      </c>
      <c r="H1" s="1" t="s">
        <v>3</v>
      </c>
      <c r="I1" s="1" t="s">
        <v>4</v>
      </c>
    </row>
    <row r="2" customFormat="false" ht="12.8" hidden="false" customHeight="false" outlineLevel="0" collapsed="false">
      <c r="A2" s="1" t="s">
        <v>5</v>
      </c>
      <c r="B2" s="1" t="s">
        <v>6</v>
      </c>
      <c r="C2" s="1" t="s">
        <v>7</v>
      </c>
      <c r="D2" s="1" t="s">
        <v>8</v>
      </c>
      <c r="E2" s="1" t="n">
        <v>1</v>
      </c>
      <c r="F2" s="2" t="n">
        <v>3681450227</v>
      </c>
      <c r="G2" s="1" t="n">
        <v>1264379072</v>
      </c>
      <c r="H2" s="1" t="n">
        <v>261242199</v>
      </c>
      <c r="I2" s="1" t="n">
        <v>154260904</v>
      </c>
    </row>
    <row r="3" customFormat="false" ht="12.8" hidden="false" customHeight="false" outlineLevel="0" collapsed="false">
      <c r="B3" s="1" t="s">
        <v>6</v>
      </c>
      <c r="C3" s="1" t="s">
        <v>7</v>
      </c>
      <c r="D3" s="1" t="s">
        <v>9</v>
      </c>
      <c r="E3" s="1" t="n">
        <v>2</v>
      </c>
      <c r="F3" s="3" t="n">
        <v>0</v>
      </c>
      <c r="G3" s="1" t="n">
        <v>0</v>
      </c>
      <c r="H3" s="1" t="n">
        <v>0</v>
      </c>
      <c r="I3" s="1" t="n">
        <v>0</v>
      </c>
    </row>
    <row r="4" customFormat="false" ht="12.8" hidden="false" customHeight="false" outlineLevel="0" collapsed="false">
      <c r="B4" s="1" t="s">
        <v>10</v>
      </c>
      <c r="C4" s="1" t="s">
        <v>7</v>
      </c>
      <c r="D4" s="1" t="s">
        <v>11</v>
      </c>
      <c r="E4" s="1" t="n">
        <v>3</v>
      </c>
      <c r="F4" s="2" t="n">
        <v>1793987596</v>
      </c>
      <c r="G4" s="1" t="n">
        <v>401035184</v>
      </c>
      <c r="H4" s="1" t="n">
        <v>119930145</v>
      </c>
      <c r="I4" s="1" t="n">
        <v>77152340</v>
      </c>
    </row>
    <row r="5" customFormat="false" ht="12.8" hidden="false" customHeight="false" outlineLevel="0" collapsed="false">
      <c r="B5" s="1" t="s">
        <v>12</v>
      </c>
      <c r="C5" s="1" t="s">
        <v>7</v>
      </c>
      <c r="D5" s="1" t="s">
        <v>8</v>
      </c>
      <c r="E5" s="1" t="n">
        <v>4</v>
      </c>
      <c r="F5" s="2" t="n">
        <v>1887462631</v>
      </c>
      <c r="G5" s="1" t="n">
        <v>863343888</v>
      </c>
      <c r="H5" s="1" t="n">
        <v>141312054</v>
      </c>
      <c r="I5" s="1" t="n">
        <v>77108564</v>
      </c>
    </row>
    <row r="6" customFormat="false" ht="12.8" hidden="false" customHeight="false" outlineLevel="0" collapsed="false">
      <c r="B6" s="1" t="s">
        <v>12</v>
      </c>
      <c r="C6" s="1" t="s">
        <v>7</v>
      </c>
      <c r="D6" s="1" t="s">
        <v>9</v>
      </c>
      <c r="E6" s="1" t="n">
        <v>5</v>
      </c>
      <c r="F6" s="3" t="n">
        <v>0</v>
      </c>
      <c r="G6" s="1" t="n">
        <v>0</v>
      </c>
      <c r="H6" s="1" t="n">
        <v>0</v>
      </c>
      <c r="I6" s="1" t="n">
        <v>0</v>
      </c>
    </row>
    <row r="7" customFormat="false" ht="12.8" hidden="false" customHeight="false" outlineLevel="0" collapsed="false">
      <c r="A7" s="1" t="s">
        <v>13</v>
      </c>
      <c r="B7" s="1" t="s">
        <v>6</v>
      </c>
      <c r="C7" s="1" t="s">
        <v>7</v>
      </c>
      <c r="D7" s="1" t="s">
        <v>8</v>
      </c>
      <c r="E7" s="1" t="n">
        <v>1</v>
      </c>
      <c r="F7" s="2" t="n">
        <v>46929379</v>
      </c>
      <c r="G7" s="1" t="n">
        <v>17984312</v>
      </c>
      <c r="H7" s="1" t="n">
        <v>9480291</v>
      </c>
      <c r="I7" s="1" t="n">
        <v>1146534</v>
      </c>
    </row>
    <row r="8" customFormat="false" ht="12.8" hidden="false" customHeight="false" outlineLevel="0" collapsed="false">
      <c r="B8" s="1" t="s">
        <v>6</v>
      </c>
      <c r="C8" s="1" t="s">
        <v>7</v>
      </c>
      <c r="D8" s="1" t="s">
        <v>9</v>
      </c>
      <c r="E8" s="1" t="n">
        <v>2</v>
      </c>
      <c r="F8" s="3" t="n">
        <v>0</v>
      </c>
      <c r="G8" s="1" t="n">
        <v>0</v>
      </c>
      <c r="H8" s="1" t="n">
        <v>0</v>
      </c>
      <c r="I8" s="1" t="n">
        <v>0</v>
      </c>
    </row>
    <row r="9" customFormat="false" ht="12.8" hidden="false" customHeight="false" outlineLevel="0" collapsed="false">
      <c r="B9" s="1" t="s">
        <v>10</v>
      </c>
      <c r="C9" s="1" t="s">
        <v>7</v>
      </c>
      <c r="D9" s="1" t="s">
        <v>11</v>
      </c>
      <c r="E9" s="1" t="n">
        <v>3</v>
      </c>
      <c r="F9" s="2" t="n">
        <v>22638071</v>
      </c>
      <c r="G9" s="1" t="n">
        <v>8036979</v>
      </c>
      <c r="H9" s="1" t="n">
        <v>3465977</v>
      </c>
      <c r="I9" s="1" t="n">
        <v>561626</v>
      </c>
    </row>
    <row r="10" customFormat="false" ht="12.8" hidden="false" customHeight="false" outlineLevel="0" collapsed="false">
      <c r="B10" s="1" t="s">
        <v>12</v>
      </c>
      <c r="C10" s="1" t="s">
        <v>7</v>
      </c>
      <c r="D10" s="1" t="s">
        <v>8</v>
      </c>
      <c r="E10" s="1" t="n">
        <v>4</v>
      </c>
      <c r="F10" s="2" t="n">
        <v>24291308</v>
      </c>
      <c r="G10" s="1" t="n">
        <v>9947333</v>
      </c>
      <c r="H10" s="1" t="n">
        <v>6014314</v>
      </c>
      <c r="I10" s="1" t="n">
        <v>584908</v>
      </c>
    </row>
    <row r="11" customFormat="false" ht="12.8" hidden="false" customHeight="false" outlineLevel="0" collapsed="false">
      <c r="B11" s="1" t="s">
        <v>12</v>
      </c>
      <c r="C11" s="1" t="s">
        <v>7</v>
      </c>
      <c r="D11" s="1" t="s">
        <v>9</v>
      </c>
      <c r="E11" s="1" t="n">
        <v>5</v>
      </c>
      <c r="F11" s="3" t="n">
        <v>0</v>
      </c>
      <c r="G11" s="1" t="n">
        <v>0</v>
      </c>
      <c r="H11" s="1" t="n">
        <v>0</v>
      </c>
      <c r="I11" s="1" t="n">
        <v>0</v>
      </c>
    </row>
    <row r="12" customFormat="false" ht="12.8" hidden="false" customHeight="false" outlineLevel="0" collapsed="false">
      <c r="A12" s="1" t="s">
        <v>14</v>
      </c>
      <c r="B12" s="1" t="s">
        <v>6</v>
      </c>
      <c r="C12" s="1" t="s">
        <v>7</v>
      </c>
      <c r="D12" s="1" t="s">
        <v>8</v>
      </c>
      <c r="E12" s="1" t="n">
        <v>1</v>
      </c>
      <c r="F12" s="2" t="n">
        <v>12984732</v>
      </c>
      <c r="G12" s="1" t="n">
        <v>3544375</v>
      </c>
      <c r="H12" s="1" t="n">
        <v>557329</v>
      </c>
      <c r="I12" s="1" t="n">
        <v>577095</v>
      </c>
    </row>
    <row r="13" customFormat="false" ht="12.8" hidden="false" customHeight="false" outlineLevel="0" collapsed="false">
      <c r="B13" s="1" t="s">
        <v>6</v>
      </c>
      <c r="C13" s="1" t="s">
        <v>7</v>
      </c>
      <c r="D13" s="1" t="s">
        <v>9</v>
      </c>
      <c r="E13" s="1" t="n">
        <v>2</v>
      </c>
      <c r="F13" s="3" t="n">
        <v>0</v>
      </c>
      <c r="G13" s="1" t="n">
        <v>0</v>
      </c>
      <c r="H13" s="1" t="n">
        <v>0</v>
      </c>
      <c r="I13" s="1" t="n">
        <v>0</v>
      </c>
    </row>
    <row r="14" customFormat="false" ht="12.8" hidden="false" customHeight="false" outlineLevel="0" collapsed="false">
      <c r="B14" s="1" t="s">
        <v>10</v>
      </c>
      <c r="C14" s="1" t="s">
        <v>7</v>
      </c>
      <c r="D14" s="1" t="s">
        <v>11</v>
      </c>
      <c r="E14" s="1" t="n">
        <v>3</v>
      </c>
      <c r="F14" s="2" t="n">
        <v>7891453</v>
      </c>
      <c r="G14" s="1" t="n">
        <v>1423558</v>
      </c>
      <c r="H14" s="1" t="n">
        <v>38023</v>
      </c>
      <c r="I14" s="1" t="n">
        <v>368829</v>
      </c>
    </row>
    <row r="15" customFormat="false" ht="12.8" hidden="false" customHeight="false" outlineLevel="0" collapsed="false">
      <c r="B15" s="1" t="s">
        <v>12</v>
      </c>
      <c r="C15" s="1" t="s">
        <v>7</v>
      </c>
      <c r="D15" s="1" t="s">
        <v>8</v>
      </c>
      <c r="E15" s="1" t="n">
        <v>4</v>
      </c>
      <c r="F15" s="2" t="n">
        <v>5093279</v>
      </c>
      <c r="G15" s="1" t="n">
        <v>2120817</v>
      </c>
      <c r="H15" s="1" t="n">
        <v>519306</v>
      </c>
      <c r="I15" s="1" t="n">
        <v>208266</v>
      </c>
    </row>
    <row r="16" customFormat="false" ht="12.8" hidden="false" customHeight="false" outlineLevel="0" collapsed="false">
      <c r="B16" s="1" t="s">
        <v>12</v>
      </c>
      <c r="C16" s="1" t="s">
        <v>7</v>
      </c>
      <c r="D16" s="1" t="s">
        <v>9</v>
      </c>
      <c r="E16" s="1" t="n">
        <v>5</v>
      </c>
      <c r="F16" s="3" t="n">
        <v>0</v>
      </c>
      <c r="G16" s="1" t="n">
        <v>0</v>
      </c>
      <c r="H16" s="1" t="n">
        <v>0</v>
      </c>
      <c r="I16" s="1" t="n">
        <v>0</v>
      </c>
    </row>
    <row r="17" customFormat="false" ht="12.8" hidden="false" customHeight="false" outlineLevel="0" collapsed="false">
      <c r="A17" s="1" t="s">
        <v>15</v>
      </c>
      <c r="B17" s="1" t="s">
        <v>6</v>
      </c>
      <c r="C17" s="1" t="s">
        <v>7</v>
      </c>
      <c r="D17" s="1" t="s">
        <v>8</v>
      </c>
      <c r="E17" s="1" t="n">
        <v>1</v>
      </c>
      <c r="F17" s="2" t="n">
        <v>64039377</v>
      </c>
      <c r="G17" s="1" t="n">
        <v>22558878</v>
      </c>
      <c r="H17" s="1" t="n">
        <v>1018737</v>
      </c>
      <c r="I17" s="1" t="n">
        <v>1461970</v>
      </c>
    </row>
    <row r="18" customFormat="false" ht="12.8" hidden="false" customHeight="false" outlineLevel="0" collapsed="false">
      <c r="B18" s="1" t="s">
        <v>6</v>
      </c>
      <c r="C18" s="1" t="s">
        <v>7</v>
      </c>
      <c r="D18" s="1" t="s">
        <v>9</v>
      </c>
      <c r="E18" s="1" t="n">
        <v>2</v>
      </c>
      <c r="F18" s="3" t="n">
        <v>0</v>
      </c>
      <c r="G18" s="1" t="n">
        <v>0</v>
      </c>
      <c r="H18" s="1" t="n">
        <v>0</v>
      </c>
      <c r="I18" s="1" t="n">
        <v>0</v>
      </c>
    </row>
    <row r="19" customFormat="false" ht="12.8" hidden="false" customHeight="false" outlineLevel="0" collapsed="false">
      <c r="B19" s="1" t="s">
        <v>10</v>
      </c>
      <c r="C19" s="1" t="s">
        <v>7</v>
      </c>
      <c r="D19" s="1" t="s">
        <v>11</v>
      </c>
      <c r="E19" s="1" t="n">
        <v>3</v>
      </c>
      <c r="F19" s="2" t="n">
        <v>35782989</v>
      </c>
      <c r="G19" s="1" t="n">
        <v>9833956</v>
      </c>
      <c r="H19" s="1" t="n">
        <v>309</v>
      </c>
      <c r="I19" s="1" t="n">
        <v>950196</v>
      </c>
    </row>
    <row r="20" customFormat="false" ht="12.8" hidden="false" customHeight="false" outlineLevel="0" collapsed="false">
      <c r="B20" s="1" t="s">
        <v>12</v>
      </c>
      <c r="C20" s="1" t="s">
        <v>7</v>
      </c>
      <c r="D20" s="1" t="s">
        <v>8</v>
      </c>
      <c r="E20" s="1" t="n">
        <v>4</v>
      </c>
      <c r="F20" s="2" t="n">
        <v>28256388</v>
      </c>
      <c r="G20" s="1" t="n">
        <v>12724922</v>
      </c>
      <c r="H20" s="1" t="n">
        <v>1018428</v>
      </c>
      <c r="I20" s="1" t="n">
        <v>511774</v>
      </c>
    </row>
    <row r="21" customFormat="false" ht="12.8" hidden="false" customHeight="false" outlineLevel="0" collapsed="false">
      <c r="B21" s="1" t="s">
        <v>12</v>
      </c>
      <c r="C21" s="1" t="s">
        <v>7</v>
      </c>
      <c r="D21" s="1" t="s">
        <v>9</v>
      </c>
      <c r="E21" s="1" t="n">
        <v>5</v>
      </c>
      <c r="F21" s="3" t="n">
        <v>0</v>
      </c>
      <c r="G21" s="1" t="n">
        <v>0</v>
      </c>
      <c r="H21" s="1" t="n">
        <v>0</v>
      </c>
      <c r="I21" s="1" t="n">
        <v>0</v>
      </c>
    </row>
    <row r="22" customFormat="false" ht="12.8" hidden="false" customHeight="false" outlineLevel="0" collapsed="false">
      <c r="A22" s="1" t="s">
        <v>16</v>
      </c>
      <c r="B22" s="1" t="s">
        <v>6</v>
      </c>
      <c r="C22" s="1" t="s">
        <v>7</v>
      </c>
      <c r="D22" s="1" t="s">
        <v>8</v>
      </c>
      <c r="E22" s="1" t="n">
        <v>1</v>
      </c>
      <c r="F22" s="2" t="n">
        <v>26733952</v>
      </c>
      <c r="G22" s="1" t="n">
        <v>9833133</v>
      </c>
      <c r="H22" s="1" t="n">
        <v>1591881</v>
      </c>
      <c r="I22" s="1" t="n">
        <v>429563</v>
      </c>
    </row>
    <row r="23" customFormat="false" ht="12.8" hidden="false" customHeight="false" outlineLevel="0" collapsed="false">
      <c r="B23" s="1" t="s">
        <v>6</v>
      </c>
      <c r="C23" s="1" t="s">
        <v>7</v>
      </c>
      <c r="D23" s="1" t="s">
        <v>9</v>
      </c>
      <c r="E23" s="1" t="n">
        <v>2</v>
      </c>
      <c r="F23" s="3" t="n">
        <v>0</v>
      </c>
      <c r="G23" s="1" t="n">
        <v>0</v>
      </c>
      <c r="H23" s="1" t="n">
        <v>0</v>
      </c>
      <c r="I23" s="1" t="n">
        <v>0</v>
      </c>
    </row>
    <row r="24" customFormat="false" ht="12.8" hidden="false" customHeight="false" outlineLevel="0" collapsed="false">
      <c r="B24" s="1" t="s">
        <v>10</v>
      </c>
      <c r="C24" s="1" t="s">
        <v>7</v>
      </c>
      <c r="D24" s="1" t="s">
        <v>11</v>
      </c>
      <c r="E24" s="1" t="n">
        <v>3</v>
      </c>
      <c r="F24" s="2" t="n">
        <v>16743897</v>
      </c>
      <c r="G24" s="1" t="n">
        <v>3741354</v>
      </c>
      <c r="H24" s="1" t="n">
        <v>1372651</v>
      </c>
      <c r="I24" s="1" t="n">
        <v>339195</v>
      </c>
    </row>
    <row r="25" customFormat="false" ht="12.8" hidden="false" customHeight="false" outlineLevel="0" collapsed="false">
      <c r="B25" s="1" t="s">
        <v>12</v>
      </c>
      <c r="C25" s="1" t="s">
        <v>7</v>
      </c>
      <c r="D25" s="1" t="s">
        <v>8</v>
      </c>
      <c r="E25" s="1" t="n">
        <v>4</v>
      </c>
      <c r="F25" s="2" t="n">
        <v>9990055</v>
      </c>
      <c r="G25" s="1" t="n">
        <v>6091779</v>
      </c>
      <c r="H25" s="1" t="n">
        <v>219230</v>
      </c>
      <c r="I25" s="1" t="n">
        <v>90368</v>
      </c>
    </row>
    <row r="26" customFormat="false" ht="12.8" hidden="false" customHeight="false" outlineLevel="0" collapsed="false">
      <c r="B26" s="1" t="s">
        <v>12</v>
      </c>
      <c r="C26" s="1" t="s">
        <v>7</v>
      </c>
      <c r="D26" s="1" t="s">
        <v>9</v>
      </c>
      <c r="E26" s="1" t="n">
        <v>5</v>
      </c>
      <c r="F26" s="3" t="n">
        <v>0</v>
      </c>
      <c r="G26" s="1" t="n">
        <v>0</v>
      </c>
      <c r="H26" s="1" t="n">
        <v>0</v>
      </c>
      <c r="I26" s="1" t="n">
        <v>0</v>
      </c>
    </row>
    <row r="27" customFormat="false" ht="12.8" hidden="false" customHeight="false" outlineLevel="0" collapsed="false">
      <c r="A27" s="1" t="s">
        <v>17</v>
      </c>
      <c r="B27" s="1" t="s">
        <v>6</v>
      </c>
      <c r="C27" s="1" t="s">
        <v>7</v>
      </c>
      <c r="D27" s="1" t="s">
        <v>8</v>
      </c>
      <c r="E27" s="1" t="n">
        <v>1</v>
      </c>
      <c r="F27" s="2" t="n">
        <v>601641916</v>
      </c>
      <c r="G27" s="1" t="n">
        <v>182485881</v>
      </c>
      <c r="H27" s="1" t="n">
        <v>39161318</v>
      </c>
      <c r="I27" s="1" t="n">
        <v>37764753</v>
      </c>
    </row>
    <row r="28" customFormat="false" ht="12.8" hidden="false" customHeight="false" outlineLevel="0" collapsed="false">
      <c r="B28" s="1" t="s">
        <v>6</v>
      </c>
      <c r="C28" s="1" t="s">
        <v>7</v>
      </c>
      <c r="D28" s="1" t="s">
        <v>9</v>
      </c>
      <c r="E28" s="1" t="n">
        <v>2</v>
      </c>
      <c r="F28" s="3" t="n">
        <v>0</v>
      </c>
      <c r="G28" s="1" t="n">
        <v>0</v>
      </c>
      <c r="H28" s="1" t="n">
        <v>0</v>
      </c>
      <c r="I28" s="1" t="n">
        <v>0</v>
      </c>
    </row>
    <row r="29" customFormat="false" ht="12.8" hidden="false" customHeight="false" outlineLevel="0" collapsed="false">
      <c r="B29" s="1" t="s">
        <v>10</v>
      </c>
      <c r="C29" s="1" t="s">
        <v>7</v>
      </c>
      <c r="D29" s="1" t="s">
        <v>11</v>
      </c>
      <c r="E29" s="1" t="n">
        <v>3</v>
      </c>
      <c r="F29" s="2" t="n">
        <v>262109552</v>
      </c>
      <c r="G29" s="1" t="n">
        <v>58719965</v>
      </c>
      <c r="H29" s="1" t="n">
        <v>20513730</v>
      </c>
      <c r="I29" s="1" t="n">
        <v>4745357</v>
      </c>
    </row>
    <row r="30" customFormat="false" ht="12.8" hidden="false" customHeight="false" outlineLevel="0" collapsed="false">
      <c r="B30" s="1" t="s">
        <v>12</v>
      </c>
      <c r="C30" s="1" t="s">
        <v>7</v>
      </c>
      <c r="D30" s="1" t="s">
        <v>8</v>
      </c>
      <c r="E30" s="1" t="n">
        <v>4</v>
      </c>
      <c r="F30" s="2" t="n">
        <v>339532364</v>
      </c>
      <c r="G30" s="1" t="n">
        <v>123765916</v>
      </c>
      <c r="H30" s="1" t="n">
        <v>18647588</v>
      </c>
      <c r="I30" s="1" t="n">
        <v>33019396</v>
      </c>
    </row>
    <row r="31" customFormat="false" ht="12.8" hidden="false" customHeight="false" outlineLevel="0" collapsed="false">
      <c r="B31" s="1" t="s">
        <v>12</v>
      </c>
      <c r="C31" s="1" t="s">
        <v>7</v>
      </c>
      <c r="D31" s="1" t="s">
        <v>9</v>
      </c>
      <c r="E31" s="1" t="n">
        <v>5</v>
      </c>
      <c r="F31" s="3" t="n">
        <v>0</v>
      </c>
      <c r="G31" s="1" t="n">
        <v>0</v>
      </c>
      <c r="H31" s="1" t="n">
        <v>0</v>
      </c>
      <c r="I31" s="1" t="n">
        <v>0</v>
      </c>
    </row>
    <row r="32" customFormat="false" ht="12.8" hidden="false" customHeight="false" outlineLevel="0" collapsed="false">
      <c r="A32" s="1" t="s">
        <v>18</v>
      </c>
      <c r="B32" s="1" t="s">
        <v>6</v>
      </c>
      <c r="C32" s="1" t="s">
        <v>7</v>
      </c>
      <c r="D32" s="1" t="s">
        <v>8</v>
      </c>
      <c r="E32" s="1" t="n">
        <v>1</v>
      </c>
      <c r="F32" s="2" t="n">
        <v>60199329</v>
      </c>
      <c r="G32" s="1" t="n">
        <v>21978846</v>
      </c>
      <c r="H32" s="1" t="n">
        <v>3898634</v>
      </c>
      <c r="I32" s="1" t="n">
        <v>1810359</v>
      </c>
    </row>
    <row r="33" customFormat="false" ht="12.8" hidden="false" customHeight="false" outlineLevel="0" collapsed="false">
      <c r="B33" s="1" t="s">
        <v>6</v>
      </c>
      <c r="C33" s="1" t="s">
        <v>7</v>
      </c>
      <c r="D33" s="1" t="s">
        <v>9</v>
      </c>
      <c r="E33" s="1" t="n">
        <v>2</v>
      </c>
      <c r="F33" s="3" t="n">
        <v>0</v>
      </c>
      <c r="G33" s="1" t="n">
        <v>0</v>
      </c>
      <c r="H33" s="1" t="n">
        <v>0</v>
      </c>
      <c r="I33" s="1" t="n">
        <v>0</v>
      </c>
    </row>
    <row r="34" customFormat="false" ht="12.8" hidden="false" customHeight="false" outlineLevel="0" collapsed="false">
      <c r="B34" s="1" t="s">
        <v>10</v>
      </c>
      <c r="C34" s="1" t="s">
        <v>7</v>
      </c>
      <c r="D34" s="1" t="s">
        <v>11</v>
      </c>
      <c r="E34" s="1" t="n">
        <v>3</v>
      </c>
      <c r="F34" s="2" t="n">
        <v>27002496</v>
      </c>
      <c r="G34" s="1" t="n">
        <v>8205899</v>
      </c>
      <c r="H34" s="1" t="n">
        <v>1559716</v>
      </c>
      <c r="I34" s="1" t="n">
        <v>1259712</v>
      </c>
    </row>
    <row r="35" customFormat="false" ht="12.8" hidden="false" customHeight="false" outlineLevel="0" collapsed="false">
      <c r="B35" s="1" t="s">
        <v>12</v>
      </c>
      <c r="C35" s="1" t="s">
        <v>7</v>
      </c>
      <c r="D35" s="1" t="s">
        <v>8</v>
      </c>
      <c r="E35" s="1" t="n">
        <v>4</v>
      </c>
      <c r="F35" s="2" t="n">
        <v>33196833</v>
      </c>
      <c r="G35" s="1" t="n">
        <v>13772947</v>
      </c>
      <c r="H35" s="1" t="n">
        <v>2338918</v>
      </c>
      <c r="I35" s="1" t="n">
        <v>550647</v>
      </c>
    </row>
    <row r="36" customFormat="false" ht="12.8" hidden="false" customHeight="false" outlineLevel="0" collapsed="false">
      <c r="B36" s="1" t="s">
        <v>12</v>
      </c>
      <c r="C36" s="1" t="s">
        <v>7</v>
      </c>
      <c r="D36" s="1" t="s">
        <v>9</v>
      </c>
      <c r="E36" s="1" t="n">
        <v>5</v>
      </c>
      <c r="F36" s="3" t="n">
        <v>0</v>
      </c>
      <c r="G36" s="1" t="n">
        <v>0</v>
      </c>
      <c r="H36" s="1" t="n">
        <v>0</v>
      </c>
      <c r="I36" s="1" t="n">
        <v>0</v>
      </c>
    </row>
    <row r="37" customFormat="false" ht="12.8" hidden="false" customHeight="false" outlineLevel="0" collapsed="false">
      <c r="A37" s="1" t="s">
        <v>19</v>
      </c>
      <c r="B37" s="1" t="s">
        <v>6</v>
      </c>
      <c r="C37" s="1" t="s">
        <v>7</v>
      </c>
      <c r="D37" s="1" t="s">
        <v>8</v>
      </c>
      <c r="E37" s="1" t="n">
        <v>1</v>
      </c>
      <c r="F37" s="2" t="n">
        <v>39153272</v>
      </c>
      <c r="G37" s="1" t="n">
        <v>15938234</v>
      </c>
      <c r="H37" s="1" t="n">
        <v>1869681</v>
      </c>
      <c r="I37" s="1" t="n">
        <v>1398717</v>
      </c>
    </row>
    <row r="38" customFormat="false" ht="12.8" hidden="false" customHeight="false" outlineLevel="0" collapsed="false">
      <c r="B38" s="1" t="s">
        <v>6</v>
      </c>
      <c r="C38" s="1" t="s">
        <v>7</v>
      </c>
      <c r="D38" s="1" t="s">
        <v>9</v>
      </c>
      <c r="E38" s="1" t="n">
        <v>2</v>
      </c>
      <c r="F38" s="3" t="n">
        <v>0</v>
      </c>
      <c r="G38" s="1" t="n">
        <v>0</v>
      </c>
      <c r="H38" s="1" t="n">
        <v>0</v>
      </c>
      <c r="I38" s="1" t="n">
        <v>0</v>
      </c>
    </row>
    <row r="39" customFormat="false" ht="12.8" hidden="false" customHeight="false" outlineLevel="0" collapsed="false">
      <c r="B39" s="1" t="s">
        <v>10</v>
      </c>
      <c r="C39" s="1" t="s">
        <v>7</v>
      </c>
      <c r="D39" s="1" t="s">
        <v>11</v>
      </c>
      <c r="E39" s="1" t="n">
        <v>3</v>
      </c>
      <c r="F39" s="2" t="n">
        <v>20077646</v>
      </c>
      <c r="G39" s="1" t="n">
        <v>4727218</v>
      </c>
      <c r="H39" s="1" t="n">
        <v>1869681</v>
      </c>
      <c r="I39" s="1" t="n">
        <v>1218916</v>
      </c>
    </row>
    <row r="40" customFormat="false" ht="12.8" hidden="false" customHeight="false" outlineLevel="0" collapsed="false">
      <c r="B40" s="1" t="s">
        <v>12</v>
      </c>
      <c r="C40" s="1" t="s">
        <v>7</v>
      </c>
      <c r="D40" s="1" t="s">
        <v>8</v>
      </c>
      <c r="E40" s="1" t="n">
        <v>4</v>
      </c>
      <c r="F40" s="2" t="n">
        <v>19075626</v>
      </c>
      <c r="G40" s="1" t="n">
        <v>11211016</v>
      </c>
      <c r="H40" s="1" t="n">
        <v>0</v>
      </c>
      <c r="I40" s="1" t="n">
        <v>179801</v>
      </c>
    </row>
    <row r="41" customFormat="false" ht="12.8" hidden="false" customHeight="false" outlineLevel="0" collapsed="false">
      <c r="B41" s="1" t="s">
        <v>12</v>
      </c>
      <c r="C41" s="1" t="s">
        <v>7</v>
      </c>
      <c r="D41" s="1" t="s">
        <v>9</v>
      </c>
      <c r="E41" s="1" t="n">
        <v>5</v>
      </c>
      <c r="F41" s="3" t="n">
        <v>0</v>
      </c>
      <c r="G41" s="1" t="n">
        <v>0</v>
      </c>
      <c r="H41" s="1" t="n">
        <v>0</v>
      </c>
      <c r="I41" s="1" t="n">
        <v>0</v>
      </c>
    </row>
    <row r="42" customFormat="false" ht="12.8" hidden="false" customHeight="false" outlineLevel="0" collapsed="false">
      <c r="A42" s="1" t="s">
        <v>20</v>
      </c>
      <c r="B42" s="1" t="s">
        <v>6</v>
      </c>
      <c r="C42" s="1" t="s">
        <v>7</v>
      </c>
      <c r="D42" s="1" t="s">
        <v>8</v>
      </c>
      <c r="E42" s="1" t="n">
        <v>1</v>
      </c>
      <c r="F42" s="2" t="n">
        <v>12074746</v>
      </c>
      <c r="G42" s="1" t="n">
        <v>4690623</v>
      </c>
      <c r="H42" s="1" t="n">
        <v>80300</v>
      </c>
      <c r="I42" s="1" t="n">
        <v>634701</v>
      </c>
    </row>
    <row r="43" customFormat="false" ht="12.8" hidden="false" customHeight="false" outlineLevel="0" collapsed="false">
      <c r="B43" s="1" t="s">
        <v>6</v>
      </c>
      <c r="C43" s="1" t="s">
        <v>7</v>
      </c>
      <c r="D43" s="1" t="s">
        <v>9</v>
      </c>
      <c r="E43" s="1" t="n">
        <v>2</v>
      </c>
      <c r="F43" s="3" t="n">
        <v>0</v>
      </c>
      <c r="G43" s="1" t="n">
        <v>0</v>
      </c>
      <c r="H43" s="1" t="n">
        <v>0</v>
      </c>
      <c r="I43" s="1" t="n">
        <v>0</v>
      </c>
    </row>
    <row r="44" customFormat="false" ht="12.8" hidden="false" customHeight="false" outlineLevel="0" collapsed="false">
      <c r="B44" s="1" t="s">
        <v>10</v>
      </c>
      <c r="C44" s="1" t="s">
        <v>7</v>
      </c>
      <c r="D44" s="1" t="s">
        <v>11</v>
      </c>
      <c r="E44" s="1" t="n">
        <v>3</v>
      </c>
      <c r="F44" s="2" t="n">
        <v>8336997</v>
      </c>
      <c r="G44" s="1" t="n">
        <v>2130768</v>
      </c>
      <c r="H44" s="1" t="n">
        <v>80300</v>
      </c>
      <c r="I44" s="1" t="n">
        <v>586559</v>
      </c>
    </row>
    <row r="45" customFormat="false" ht="12.8" hidden="false" customHeight="false" outlineLevel="0" collapsed="false">
      <c r="B45" s="1" t="s">
        <v>12</v>
      </c>
      <c r="C45" s="1" t="s">
        <v>7</v>
      </c>
      <c r="D45" s="1" t="s">
        <v>8</v>
      </c>
      <c r="E45" s="1" t="n">
        <v>4</v>
      </c>
      <c r="F45" s="2" t="n">
        <v>3737749</v>
      </c>
      <c r="G45" s="1" t="n">
        <v>2559855</v>
      </c>
      <c r="H45" s="1" t="n">
        <v>0</v>
      </c>
      <c r="I45" s="1" t="n">
        <v>48142</v>
      </c>
    </row>
    <row r="46" customFormat="false" ht="12.8" hidden="false" customHeight="false" outlineLevel="0" collapsed="false">
      <c r="B46" s="1" t="s">
        <v>12</v>
      </c>
      <c r="C46" s="1" t="s">
        <v>7</v>
      </c>
      <c r="D46" s="1" t="s">
        <v>9</v>
      </c>
      <c r="E46" s="1" t="n">
        <v>5</v>
      </c>
      <c r="F46" s="3" t="n">
        <v>0</v>
      </c>
      <c r="G46" s="1" t="n">
        <v>0</v>
      </c>
      <c r="H46" s="1" t="n">
        <v>0</v>
      </c>
      <c r="I46" s="1" t="n">
        <v>0</v>
      </c>
    </row>
    <row r="47" customFormat="false" ht="12.8" hidden="false" customHeight="false" outlineLevel="0" collapsed="false">
      <c r="A47" s="1" t="s">
        <v>21</v>
      </c>
      <c r="B47" s="1" t="s">
        <v>6</v>
      </c>
      <c r="C47" s="1" t="s">
        <v>7</v>
      </c>
      <c r="D47" s="1" t="s">
        <v>8</v>
      </c>
      <c r="E47" s="1" t="n">
        <v>1</v>
      </c>
      <c r="F47" s="2" t="n">
        <v>18968267</v>
      </c>
      <c r="G47" s="1" t="n">
        <v>3827423</v>
      </c>
      <c r="H47" s="1" t="n">
        <v>281660</v>
      </c>
      <c r="I47" s="1" t="n">
        <v>999819</v>
      </c>
    </row>
    <row r="48" customFormat="false" ht="12.8" hidden="false" customHeight="false" outlineLevel="0" collapsed="false">
      <c r="B48" s="1" t="s">
        <v>6</v>
      </c>
      <c r="C48" s="1" t="s">
        <v>7</v>
      </c>
      <c r="D48" s="1" t="s">
        <v>9</v>
      </c>
      <c r="E48" s="1" t="n">
        <v>2</v>
      </c>
      <c r="F48" s="3" t="n">
        <v>0</v>
      </c>
      <c r="G48" s="1" t="n">
        <v>0</v>
      </c>
      <c r="H48" s="1" t="n">
        <v>0</v>
      </c>
      <c r="I48" s="1" t="n">
        <v>0</v>
      </c>
    </row>
    <row r="49" customFormat="false" ht="12.8" hidden="false" customHeight="false" outlineLevel="0" collapsed="false">
      <c r="B49" s="1" t="s">
        <v>10</v>
      </c>
      <c r="C49" s="1" t="s">
        <v>7</v>
      </c>
      <c r="D49" s="1" t="s">
        <v>11</v>
      </c>
      <c r="E49" s="1" t="n">
        <v>3</v>
      </c>
      <c r="F49" s="2" t="n">
        <v>0</v>
      </c>
      <c r="G49" s="1" t="n">
        <v>0</v>
      </c>
      <c r="H49" s="1" t="n">
        <v>0</v>
      </c>
      <c r="I49" s="1" t="n">
        <v>0</v>
      </c>
    </row>
    <row r="50" customFormat="false" ht="12.8" hidden="false" customHeight="false" outlineLevel="0" collapsed="false">
      <c r="B50" s="1" t="s">
        <v>12</v>
      </c>
      <c r="C50" s="1" t="s">
        <v>7</v>
      </c>
      <c r="D50" s="1" t="s">
        <v>8</v>
      </c>
      <c r="E50" s="1" t="n">
        <v>4</v>
      </c>
      <c r="F50" s="2" t="n">
        <v>18968267</v>
      </c>
      <c r="G50" s="1" t="n">
        <v>3827423</v>
      </c>
      <c r="H50" s="1" t="n">
        <v>281660</v>
      </c>
      <c r="I50" s="1" t="n">
        <v>999819</v>
      </c>
    </row>
    <row r="51" customFormat="false" ht="12.8" hidden="false" customHeight="false" outlineLevel="0" collapsed="false">
      <c r="B51" s="1" t="s">
        <v>12</v>
      </c>
      <c r="C51" s="1" t="s">
        <v>7</v>
      </c>
      <c r="D51" s="1" t="s">
        <v>9</v>
      </c>
      <c r="E51" s="1" t="n">
        <v>5</v>
      </c>
      <c r="F51" s="3" t="n">
        <v>0</v>
      </c>
      <c r="G51" s="1" t="n">
        <v>0</v>
      </c>
      <c r="H51" s="1" t="n">
        <v>0</v>
      </c>
      <c r="I51" s="1" t="n">
        <v>0</v>
      </c>
    </row>
    <row r="52" customFormat="false" ht="12.8" hidden="false" customHeight="false" outlineLevel="0" collapsed="false">
      <c r="A52" s="1" t="s">
        <v>22</v>
      </c>
      <c r="B52" s="1" t="s">
        <v>6</v>
      </c>
      <c r="C52" s="1" t="s">
        <v>7</v>
      </c>
      <c r="D52" s="1" t="s">
        <v>8</v>
      </c>
      <c r="E52" s="1" t="n">
        <v>1</v>
      </c>
      <c r="F52" s="2" t="n">
        <v>182473280</v>
      </c>
      <c r="G52" s="1" t="n">
        <v>55113394</v>
      </c>
      <c r="H52" s="1" t="n">
        <v>13220481</v>
      </c>
      <c r="I52" s="1" t="n">
        <v>9756500</v>
      </c>
    </row>
    <row r="53" customFormat="false" ht="12.8" hidden="false" customHeight="false" outlineLevel="0" collapsed="false">
      <c r="B53" s="1" t="s">
        <v>6</v>
      </c>
      <c r="C53" s="1" t="s">
        <v>7</v>
      </c>
      <c r="D53" s="1" t="s">
        <v>9</v>
      </c>
      <c r="E53" s="1" t="n">
        <v>2</v>
      </c>
      <c r="F53" s="3" t="n">
        <v>0</v>
      </c>
      <c r="G53" s="1" t="n">
        <v>0</v>
      </c>
      <c r="H53" s="1" t="n">
        <v>0</v>
      </c>
      <c r="I53" s="1" t="n">
        <v>0</v>
      </c>
    </row>
    <row r="54" customFormat="false" ht="12.8" hidden="false" customHeight="false" outlineLevel="0" collapsed="false">
      <c r="B54" s="1" t="s">
        <v>10</v>
      </c>
      <c r="C54" s="1" t="s">
        <v>7</v>
      </c>
      <c r="D54" s="1" t="s">
        <v>11</v>
      </c>
      <c r="E54" s="1" t="n">
        <v>3</v>
      </c>
      <c r="F54" s="2" t="n">
        <v>74828711</v>
      </c>
      <c r="G54" s="1" t="n">
        <v>16282195</v>
      </c>
      <c r="H54" s="1" t="n">
        <v>1615139</v>
      </c>
      <c r="I54" s="1" t="n">
        <v>7671023</v>
      </c>
    </row>
    <row r="55" customFormat="false" ht="12.8" hidden="false" customHeight="false" outlineLevel="0" collapsed="false">
      <c r="B55" s="1" t="s">
        <v>12</v>
      </c>
      <c r="C55" s="1" t="s">
        <v>7</v>
      </c>
      <c r="D55" s="1" t="s">
        <v>8</v>
      </c>
      <c r="E55" s="1" t="n">
        <v>4</v>
      </c>
      <c r="F55" s="2" t="n">
        <v>107644569</v>
      </c>
      <c r="G55" s="1" t="n">
        <v>38831199</v>
      </c>
      <c r="H55" s="1" t="n">
        <v>11605342</v>
      </c>
      <c r="I55" s="1" t="n">
        <v>2085477</v>
      </c>
    </row>
    <row r="56" customFormat="false" ht="12.8" hidden="false" customHeight="false" outlineLevel="0" collapsed="false">
      <c r="B56" s="1" t="s">
        <v>12</v>
      </c>
      <c r="C56" s="1" t="s">
        <v>7</v>
      </c>
      <c r="D56" s="1" t="s">
        <v>9</v>
      </c>
      <c r="E56" s="1" t="n">
        <v>5</v>
      </c>
      <c r="F56" s="3" t="n">
        <v>0</v>
      </c>
      <c r="G56" s="1" t="n">
        <v>0</v>
      </c>
      <c r="H56" s="1" t="n">
        <v>0</v>
      </c>
      <c r="I56" s="1" t="n">
        <v>0</v>
      </c>
    </row>
    <row r="57" customFormat="false" ht="12.8" hidden="false" customHeight="false" outlineLevel="0" collapsed="false">
      <c r="A57" s="1" t="s">
        <v>23</v>
      </c>
      <c r="B57" s="1" t="s">
        <v>6</v>
      </c>
      <c r="C57" s="1" t="s">
        <v>7</v>
      </c>
      <c r="D57" s="1" t="s">
        <v>8</v>
      </c>
      <c r="E57" s="1" t="n">
        <v>1</v>
      </c>
      <c r="F57" s="2" t="n">
        <v>87879229</v>
      </c>
      <c r="G57" s="1" t="n">
        <v>36393429</v>
      </c>
      <c r="H57" s="1" t="n">
        <v>7998354</v>
      </c>
      <c r="I57" s="1" t="n">
        <v>3021112</v>
      </c>
    </row>
    <row r="58" customFormat="false" ht="12.8" hidden="false" customHeight="false" outlineLevel="0" collapsed="false">
      <c r="B58" s="1" t="s">
        <v>6</v>
      </c>
      <c r="C58" s="1" t="s">
        <v>7</v>
      </c>
      <c r="D58" s="1" t="s">
        <v>9</v>
      </c>
      <c r="E58" s="1" t="n">
        <v>2</v>
      </c>
      <c r="F58" s="3" t="n">
        <v>0</v>
      </c>
      <c r="G58" s="1" t="n">
        <v>0</v>
      </c>
      <c r="H58" s="1" t="n">
        <v>0</v>
      </c>
      <c r="I58" s="1" t="n">
        <v>0</v>
      </c>
    </row>
    <row r="59" customFormat="false" ht="12.8" hidden="false" customHeight="false" outlineLevel="0" collapsed="false">
      <c r="B59" s="1" t="s">
        <v>10</v>
      </c>
      <c r="C59" s="1" t="s">
        <v>7</v>
      </c>
      <c r="D59" s="1" t="s">
        <v>11</v>
      </c>
      <c r="E59" s="1" t="n">
        <v>3</v>
      </c>
      <c r="F59" s="2" t="n">
        <v>36269215</v>
      </c>
      <c r="G59" s="1" t="n">
        <v>11001659</v>
      </c>
      <c r="H59" s="1" t="n">
        <v>1409544</v>
      </c>
      <c r="I59" s="1" t="n">
        <v>1788148</v>
      </c>
    </row>
    <row r="60" customFormat="false" ht="12.8" hidden="false" customHeight="false" outlineLevel="0" collapsed="false">
      <c r="B60" s="1" t="s">
        <v>12</v>
      </c>
      <c r="C60" s="1" t="s">
        <v>7</v>
      </c>
      <c r="D60" s="1" t="s">
        <v>8</v>
      </c>
      <c r="E60" s="1" t="n">
        <v>4</v>
      </c>
      <c r="F60" s="2" t="n">
        <v>51610014</v>
      </c>
      <c r="G60" s="1" t="n">
        <v>25391770</v>
      </c>
      <c r="H60" s="1" t="n">
        <v>6588810</v>
      </c>
      <c r="I60" s="1" t="n">
        <v>1232964</v>
      </c>
    </row>
    <row r="61" customFormat="false" ht="12.8" hidden="false" customHeight="false" outlineLevel="0" collapsed="false">
      <c r="B61" s="1" t="s">
        <v>12</v>
      </c>
      <c r="C61" s="1" t="s">
        <v>7</v>
      </c>
      <c r="D61" s="1" t="s">
        <v>9</v>
      </c>
      <c r="E61" s="1" t="n">
        <v>5</v>
      </c>
      <c r="F61" s="3" t="n">
        <v>0</v>
      </c>
      <c r="G61" s="1" t="n">
        <v>0</v>
      </c>
      <c r="H61" s="1" t="n">
        <v>0</v>
      </c>
      <c r="I61" s="1" t="n">
        <v>0</v>
      </c>
    </row>
    <row r="62" customFormat="false" ht="12.8" hidden="false" customHeight="false" outlineLevel="0" collapsed="false">
      <c r="A62" s="1" t="s">
        <v>24</v>
      </c>
      <c r="B62" s="1" t="s">
        <v>6</v>
      </c>
      <c r="C62" s="1" t="s">
        <v>7</v>
      </c>
      <c r="D62" s="1" t="s">
        <v>8</v>
      </c>
      <c r="E62" s="1" t="n">
        <v>1</v>
      </c>
      <c r="F62" s="2" t="n">
        <v>17615444</v>
      </c>
      <c r="G62" s="1" t="n">
        <v>4307862</v>
      </c>
      <c r="H62" s="1" t="n">
        <v>473857</v>
      </c>
      <c r="I62" s="1" t="n">
        <v>794241</v>
      </c>
    </row>
    <row r="63" customFormat="false" ht="12.8" hidden="false" customHeight="false" outlineLevel="0" collapsed="false">
      <c r="B63" s="1" t="s">
        <v>6</v>
      </c>
      <c r="C63" s="1" t="s">
        <v>7</v>
      </c>
      <c r="D63" s="1" t="s">
        <v>9</v>
      </c>
      <c r="E63" s="1" t="n">
        <v>2</v>
      </c>
      <c r="F63" s="3" t="n">
        <v>0</v>
      </c>
      <c r="G63" s="1" t="n">
        <v>0</v>
      </c>
      <c r="H63" s="1" t="n">
        <v>0</v>
      </c>
      <c r="I63" s="1" t="n">
        <v>0</v>
      </c>
    </row>
    <row r="64" customFormat="false" ht="12.8" hidden="false" customHeight="false" outlineLevel="0" collapsed="false">
      <c r="B64" s="1" t="s">
        <v>10</v>
      </c>
      <c r="C64" s="1" t="s">
        <v>7</v>
      </c>
      <c r="D64" s="1" t="s">
        <v>11</v>
      </c>
      <c r="E64" s="1" t="n">
        <v>3</v>
      </c>
      <c r="F64" s="2" t="n">
        <v>14077935</v>
      </c>
      <c r="G64" s="1" t="n">
        <v>4307862</v>
      </c>
      <c r="H64" s="1" t="n">
        <v>473857</v>
      </c>
      <c r="I64" s="1" t="n">
        <v>752525</v>
      </c>
    </row>
    <row r="65" customFormat="false" ht="12.8" hidden="false" customHeight="false" outlineLevel="0" collapsed="false">
      <c r="B65" s="1" t="s">
        <v>12</v>
      </c>
      <c r="C65" s="1" t="s">
        <v>7</v>
      </c>
      <c r="D65" s="1" t="s">
        <v>8</v>
      </c>
      <c r="E65" s="1" t="n">
        <v>4</v>
      </c>
      <c r="F65" s="2" t="n">
        <v>3537509</v>
      </c>
      <c r="G65" s="1" t="n">
        <v>0</v>
      </c>
      <c r="H65" s="1" t="n">
        <v>0</v>
      </c>
      <c r="I65" s="1" t="n">
        <v>41716</v>
      </c>
    </row>
    <row r="66" customFormat="false" ht="12.8" hidden="false" customHeight="false" outlineLevel="0" collapsed="false">
      <c r="B66" s="1" t="s">
        <v>12</v>
      </c>
      <c r="C66" s="1" t="s">
        <v>7</v>
      </c>
      <c r="D66" s="1" t="s">
        <v>9</v>
      </c>
      <c r="E66" s="1" t="n">
        <v>5</v>
      </c>
      <c r="F66" s="3" t="n">
        <v>0</v>
      </c>
      <c r="G66" s="1" t="n">
        <v>0</v>
      </c>
      <c r="H66" s="1" t="n">
        <v>0</v>
      </c>
      <c r="I66" s="1" t="n">
        <v>0</v>
      </c>
    </row>
    <row r="67" customFormat="false" ht="12.8" hidden="false" customHeight="false" outlineLevel="0" collapsed="false">
      <c r="A67" s="1" t="s">
        <v>25</v>
      </c>
      <c r="B67" s="1" t="s">
        <v>6</v>
      </c>
      <c r="C67" s="1" t="s">
        <v>7</v>
      </c>
      <c r="D67" s="1" t="s">
        <v>8</v>
      </c>
      <c r="E67" s="1" t="n">
        <v>1</v>
      </c>
      <c r="F67" s="2" t="n">
        <v>15146283</v>
      </c>
      <c r="G67" s="1" t="n">
        <v>4714253</v>
      </c>
      <c r="H67" s="1" t="n">
        <v>1111590</v>
      </c>
      <c r="I67" s="1" t="n">
        <v>462665</v>
      </c>
    </row>
    <row r="68" customFormat="false" ht="12.8" hidden="false" customHeight="false" outlineLevel="0" collapsed="false">
      <c r="B68" s="1" t="s">
        <v>6</v>
      </c>
      <c r="C68" s="1" t="s">
        <v>7</v>
      </c>
      <c r="D68" s="1" t="s">
        <v>9</v>
      </c>
      <c r="E68" s="1" t="n">
        <v>2</v>
      </c>
      <c r="F68" s="3" t="n">
        <v>0</v>
      </c>
      <c r="G68" s="1" t="n">
        <v>0</v>
      </c>
      <c r="H68" s="1" t="n">
        <v>0</v>
      </c>
      <c r="I68" s="1" t="n">
        <v>0</v>
      </c>
    </row>
    <row r="69" customFormat="false" ht="12.8" hidden="false" customHeight="false" outlineLevel="0" collapsed="false">
      <c r="B69" s="1" t="s">
        <v>10</v>
      </c>
      <c r="C69" s="1" t="s">
        <v>7</v>
      </c>
      <c r="D69" s="1" t="s">
        <v>11</v>
      </c>
      <c r="E69" s="1" t="n">
        <v>3</v>
      </c>
      <c r="F69" s="2" t="n">
        <v>7990216</v>
      </c>
      <c r="G69" s="1" t="n">
        <v>1553218</v>
      </c>
      <c r="H69" s="1" t="n">
        <v>81850</v>
      </c>
      <c r="I69" s="1" t="n">
        <v>312359</v>
      </c>
    </row>
    <row r="70" customFormat="false" ht="12.8" hidden="false" customHeight="false" outlineLevel="0" collapsed="false">
      <c r="B70" s="1" t="s">
        <v>12</v>
      </c>
      <c r="C70" s="1" t="s">
        <v>7</v>
      </c>
      <c r="D70" s="1" t="s">
        <v>8</v>
      </c>
      <c r="E70" s="1" t="n">
        <v>4</v>
      </c>
      <c r="F70" s="2" t="n">
        <v>7156067</v>
      </c>
      <c r="G70" s="1" t="n">
        <v>3161035</v>
      </c>
      <c r="H70" s="1" t="n">
        <v>1029740</v>
      </c>
      <c r="I70" s="1" t="n">
        <v>150306</v>
      </c>
    </row>
    <row r="71" customFormat="false" ht="12.8" hidden="false" customHeight="false" outlineLevel="0" collapsed="false">
      <c r="B71" s="1" t="s">
        <v>12</v>
      </c>
      <c r="C71" s="1" t="s">
        <v>7</v>
      </c>
      <c r="D71" s="1" t="s">
        <v>9</v>
      </c>
      <c r="E71" s="1" t="n">
        <v>5</v>
      </c>
      <c r="F71" s="3" t="n">
        <v>0</v>
      </c>
      <c r="G71" s="1" t="n">
        <v>0</v>
      </c>
      <c r="H71" s="1" t="n">
        <v>0</v>
      </c>
      <c r="I71" s="1" t="n">
        <v>0</v>
      </c>
    </row>
    <row r="72" customFormat="false" ht="12.8" hidden="false" customHeight="false" outlineLevel="0" collapsed="false">
      <c r="A72" s="1" t="s">
        <v>26</v>
      </c>
      <c r="B72" s="1" t="s">
        <v>6</v>
      </c>
      <c r="C72" s="1" t="s">
        <v>7</v>
      </c>
      <c r="D72" s="1" t="s">
        <v>8</v>
      </c>
      <c r="E72" s="1" t="n">
        <v>1</v>
      </c>
      <c r="F72" s="2" t="n">
        <v>143346089</v>
      </c>
      <c r="G72" s="1" t="n">
        <v>52783868</v>
      </c>
      <c r="H72" s="1" t="n">
        <v>6194680</v>
      </c>
      <c r="I72" s="1" t="n">
        <v>3292981</v>
      </c>
    </row>
    <row r="73" customFormat="false" ht="12.8" hidden="false" customHeight="false" outlineLevel="0" collapsed="false">
      <c r="B73" s="1" t="s">
        <v>6</v>
      </c>
      <c r="C73" s="1" t="s">
        <v>7</v>
      </c>
      <c r="D73" s="1" t="s">
        <v>9</v>
      </c>
      <c r="E73" s="1" t="n">
        <v>2</v>
      </c>
      <c r="F73" s="3" t="n">
        <v>0</v>
      </c>
      <c r="G73" s="1" t="n">
        <v>0</v>
      </c>
      <c r="H73" s="1" t="n">
        <v>0</v>
      </c>
      <c r="I73" s="1" t="n">
        <v>0</v>
      </c>
    </row>
    <row r="74" customFormat="false" ht="12.8" hidden="false" customHeight="false" outlineLevel="0" collapsed="false">
      <c r="B74" s="1" t="s">
        <v>10</v>
      </c>
      <c r="C74" s="1" t="s">
        <v>7</v>
      </c>
      <c r="D74" s="1" t="s">
        <v>11</v>
      </c>
      <c r="E74" s="1" t="n">
        <v>3</v>
      </c>
      <c r="F74" s="2" t="n">
        <v>69057244</v>
      </c>
      <c r="G74" s="1" t="n">
        <v>16284370</v>
      </c>
      <c r="H74" s="1" t="n">
        <v>1364853</v>
      </c>
      <c r="I74" s="1" t="n">
        <v>2257567</v>
      </c>
    </row>
    <row r="75" customFormat="false" ht="12.8" hidden="false" customHeight="false" outlineLevel="0" collapsed="false">
      <c r="B75" s="1" t="s">
        <v>12</v>
      </c>
      <c r="C75" s="1" t="s">
        <v>7</v>
      </c>
      <c r="D75" s="1" t="s">
        <v>8</v>
      </c>
      <c r="E75" s="1" t="n">
        <v>4</v>
      </c>
      <c r="F75" s="2" t="n">
        <v>74288845</v>
      </c>
      <c r="G75" s="1" t="n">
        <v>36499498</v>
      </c>
      <c r="H75" s="1" t="n">
        <v>4829827</v>
      </c>
      <c r="I75" s="1" t="n">
        <v>1035414</v>
      </c>
    </row>
    <row r="76" customFormat="false" ht="12.8" hidden="false" customHeight="false" outlineLevel="0" collapsed="false">
      <c r="B76" s="1" t="s">
        <v>12</v>
      </c>
      <c r="C76" s="1" t="s">
        <v>7</v>
      </c>
      <c r="D76" s="1" t="s">
        <v>9</v>
      </c>
      <c r="E76" s="1" t="n">
        <v>5</v>
      </c>
      <c r="F76" s="3" t="n">
        <v>0</v>
      </c>
      <c r="G76" s="1" t="n">
        <v>0</v>
      </c>
      <c r="H76" s="1" t="n">
        <v>0</v>
      </c>
      <c r="I76" s="1" t="n">
        <v>0</v>
      </c>
    </row>
    <row r="77" customFormat="false" ht="12.8" hidden="false" customHeight="false" outlineLevel="0" collapsed="false">
      <c r="A77" s="1" t="s">
        <v>27</v>
      </c>
      <c r="B77" s="1" t="s">
        <v>6</v>
      </c>
      <c r="C77" s="1" t="s">
        <v>7</v>
      </c>
      <c r="D77" s="1" t="s">
        <v>8</v>
      </c>
      <c r="E77" s="1" t="n">
        <v>1</v>
      </c>
      <c r="F77" s="2" t="n">
        <v>61591820</v>
      </c>
      <c r="G77" s="1" t="n">
        <v>21602990</v>
      </c>
      <c r="H77" s="1" t="n">
        <v>5907199</v>
      </c>
      <c r="I77" s="1" t="n">
        <v>1342315</v>
      </c>
    </row>
    <row r="78" customFormat="false" ht="12.8" hidden="false" customHeight="false" outlineLevel="0" collapsed="false">
      <c r="B78" s="1" t="s">
        <v>6</v>
      </c>
      <c r="C78" s="1" t="s">
        <v>7</v>
      </c>
      <c r="D78" s="1" t="s">
        <v>9</v>
      </c>
      <c r="E78" s="1" t="n">
        <v>2</v>
      </c>
      <c r="F78" s="3" t="n">
        <v>0</v>
      </c>
      <c r="G78" s="1" t="n">
        <v>0</v>
      </c>
      <c r="H78" s="1" t="n">
        <v>0</v>
      </c>
      <c r="I78" s="1" t="n">
        <v>0</v>
      </c>
    </row>
    <row r="79" customFormat="false" ht="12.8" hidden="false" customHeight="false" outlineLevel="0" collapsed="false">
      <c r="B79" s="1" t="s">
        <v>10</v>
      </c>
      <c r="C79" s="1" t="s">
        <v>7</v>
      </c>
      <c r="D79" s="1" t="s">
        <v>11</v>
      </c>
      <c r="E79" s="1" t="n">
        <v>3</v>
      </c>
      <c r="F79" s="2" t="n">
        <v>31835282</v>
      </c>
      <c r="G79" s="1" t="n">
        <v>8484430</v>
      </c>
      <c r="H79" s="1" t="n">
        <v>146519</v>
      </c>
      <c r="I79" s="1" t="n">
        <v>914402</v>
      </c>
    </row>
    <row r="80" customFormat="false" ht="12.8" hidden="false" customHeight="false" outlineLevel="0" collapsed="false">
      <c r="B80" s="1" t="s">
        <v>12</v>
      </c>
      <c r="C80" s="1" t="s">
        <v>7</v>
      </c>
      <c r="D80" s="1" t="s">
        <v>8</v>
      </c>
      <c r="E80" s="1" t="n">
        <v>4</v>
      </c>
      <c r="F80" s="2" t="n">
        <v>29756538</v>
      </c>
      <c r="G80" s="1" t="n">
        <v>13118560</v>
      </c>
      <c r="H80" s="1" t="n">
        <v>5760680</v>
      </c>
      <c r="I80" s="1" t="n">
        <v>427913</v>
      </c>
    </row>
    <row r="81" customFormat="false" ht="12.8" hidden="false" customHeight="false" outlineLevel="0" collapsed="false">
      <c r="B81" s="1" t="s">
        <v>12</v>
      </c>
      <c r="C81" s="1" t="s">
        <v>7</v>
      </c>
      <c r="D81" s="1" t="s">
        <v>9</v>
      </c>
      <c r="E81" s="1" t="n">
        <v>5</v>
      </c>
      <c r="F81" s="3" t="n">
        <v>0</v>
      </c>
      <c r="G81" s="1" t="n">
        <v>0</v>
      </c>
      <c r="H81" s="1" t="n">
        <v>0</v>
      </c>
      <c r="I81" s="1" t="n">
        <v>0</v>
      </c>
    </row>
    <row r="82" customFormat="false" ht="12.8" hidden="false" customHeight="false" outlineLevel="0" collapsed="false">
      <c r="A82" s="1" t="s">
        <v>28</v>
      </c>
      <c r="B82" s="1" t="s">
        <v>6</v>
      </c>
      <c r="C82" s="1" t="s">
        <v>7</v>
      </c>
      <c r="D82" s="1" t="s">
        <v>8</v>
      </c>
      <c r="E82" s="1" t="n">
        <v>1</v>
      </c>
      <c r="F82" s="2" t="n">
        <v>34760983</v>
      </c>
      <c r="G82" s="1" t="n">
        <v>12382358</v>
      </c>
      <c r="H82" s="1" t="n">
        <v>5574727</v>
      </c>
      <c r="I82" s="1" t="n">
        <v>606835</v>
      </c>
    </row>
    <row r="83" customFormat="false" ht="12.8" hidden="false" customHeight="false" outlineLevel="0" collapsed="false">
      <c r="B83" s="1" t="s">
        <v>6</v>
      </c>
      <c r="C83" s="1" t="s">
        <v>7</v>
      </c>
      <c r="D83" s="1" t="s">
        <v>9</v>
      </c>
      <c r="E83" s="1" t="n">
        <v>2</v>
      </c>
      <c r="F83" s="3" t="n">
        <v>0</v>
      </c>
      <c r="G83" s="1" t="n">
        <v>0</v>
      </c>
      <c r="H83" s="1" t="n">
        <v>0</v>
      </c>
      <c r="I83" s="1" t="n">
        <v>0</v>
      </c>
    </row>
    <row r="84" customFormat="false" ht="12.8" hidden="false" customHeight="false" outlineLevel="0" collapsed="false">
      <c r="B84" s="1" t="s">
        <v>10</v>
      </c>
      <c r="C84" s="1" t="s">
        <v>7</v>
      </c>
      <c r="D84" s="1" t="s">
        <v>11</v>
      </c>
      <c r="E84" s="1" t="n">
        <v>3</v>
      </c>
      <c r="F84" s="2" t="n">
        <v>16924968</v>
      </c>
      <c r="G84" s="1" t="n">
        <v>3347582</v>
      </c>
      <c r="H84" s="1" t="n">
        <v>2953908</v>
      </c>
      <c r="I84" s="1" t="n">
        <v>178324</v>
      </c>
    </row>
    <row r="85" customFormat="false" ht="12.8" hidden="false" customHeight="false" outlineLevel="0" collapsed="false">
      <c r="B85" s="1" t="s">
        <v>12</v>
      </c>
      <c r="C85" s="1" t="s">
        <v>7</v>
      </c>
      <c r="D85" s="1" t="s">
        <v>8</v>
      </c>
      <c r="E85" s="1" t="n">
        <v>4</v>
      </c>
      <c r="F85" s="2" t="n">
        <v>17836015</v>
      </c>
      <c r="G85" s="1" t="n">
        <v>9034776</v>
      </c>
      <c r="H85" s="1" t="n">
        <v>2620819</v>
      </c>
      <c r="I85" s="1" t="n">
        <v>428511</v>
      </c>
    </row>
    <row r="86" customFormat="false" ht="12.8" hidden="false" customHeight="false" outlineLevel="0" collapsed="false">
      <c r="B86" s="1" t="s">
        <v>12</v>
      </c>
      <c r="C86" s="1" t="s">
        <v>7</v>
      </c>
      <c r="D86" s="1" t="s">
        <v>9</v>
      </c>
      <c r="E86" s="1" t="n">
        <v>5</v>
      </c>
      <c r="F86" s="3" t="n">
        <v>0</v>
      </c>
      <c r="G86" s="1" t="n">
        <v>0</v>
      </c>
      <c r="H86" s="1" t="n">
        <v>0</v>
      </c>
      <c r="I86" s="1" t="n">
        <v>0</v>
      </c>
    </row>
    <row r="87" customFormat="false" ht="12.8" hidden="false" customHeight="false" outlineLevel="0" collapsed="false">
      <c r="A87" s="1" t="s">
        <v>29</v>
      </c>
      <c r="B87" s="1" t="s">
        <v>6</v>
      </c>
      <c r="C87" s="1" t="s">
        <v>7</v>
      </c>
      <c r="D87" s="1" t="s">
        <v>8</v>
      </c>
      <c r="E87" s="1" t="n">
        <v>1</v>
      </c>
      <c r="F87" s="2" t="n">
        <v>30399487</v>
      </c>
      <c r="G87" s="1" t="n">
        <v>11447505</v>
      </c>
      <c r="H87" s="1" t="n">
        <v>4658047</v>
      </c>
      <c r="I87" s="1" t="n">
        <v>1066591</v>
      </c>
    </row>
    <row r="88" customFormat="false" ht="12.8" hidden="false" customHeight="false" outlineLevel="0" collapsed="false">
      <c r="B88" s="1" t="s">
        <v>6</v>
      </c>
      <c r="C88" s="1" t="s">
        <v>7</v>
      </c>
      <c r="D88" s="1" t="s">
        <v>9</v>
      </c>
      <c r="E88" s="1" t="n">
        <v>2</v>
      </c>
      <c r="F88" s="3" t="n">
        <v>0</v>
      </c>
      <c r="G88" s="1" t="n">
        <v>0</v>
      </c>
      <c r="H88" s="1" t="n">
        <v>0</v>
      </c>
      <c r="I88" s="1" t="n">
        <v>0</v>
      </c>
    </row>
    <row r="89" customFormat="false" ht="12.8" hidden="false" customHeight="false" outlineLevel="0" collapsed="false">
      <c r="B89" s="1" t="s">
        <v>10</v>
      </c>
      <c r="C89" s="1" t="s">
        <v>7</v>
      </c>
      <c r="D89" s="1" t="s">
        <v>11</v>
      </c>
      <c r="E89" s="1" t="n">
        <v>3</v>
      </c>
      <c r="F89" s="2" t="n">
        <v>15321715</v>
      </c>
      <c r="G89" s="1" t="n">
        <v>3183265</v>
      </c>
      <c r="H89" s="1" t="n">
        <v>3440194</v>
      </c>
      <c r="I89" s="1" t="n">
        <v>722236</v>
      </c>
    </row>
    <row r="90" customFormat="false" ht="12.8" hidden="false" customHeight="false" outlineLevel="0" collapsed="false">
      <c r="B90" s="1" t="s">
        <v>12</v>
      </c>
      <c r="C90" s="1" t="s">
        <v>7</v>
      </c>
      <c r="D90" s="1" t="s">
        <v>8</v>
      </c>
      <c r="E90" s="1" t="n">
        <v>4</v>
      </c>
      <c r="F90" s="2" t="n">
        <v>15077772</v>
      </c>
      <c r="G90" s="1" t="n">
        <v>8264240</v>
      </c>
      <c r="H90" s="1" t="n">
        <v>1217853</v>
      </c>
      <c r="I90" s="1" t="n">
        <v>344355</v>
      </c>
    </row>
    <row r="91" customFormat="false" ht="12.8" hidden="false" customHeight="false" outlineLevel="0" collapsed="false">
      <c r="B91" s="1" t="s">
        <v>12</v>
      </c>
      <c r="C91" s="1" t="s">
        <v>7</v>
      </c>
      <c r="D91" s="1" t="s">
        <v>9</v>
      </c>
      <c r="E91" s="1" t="n">
        <v>5</v>
      </c>
      <c r="F91" s="3" t="n">
        <v>0</v>
      </c>
      <c r="G91" s="1" t="n">
        <v>0</v>
      </c>
      <c r="H91" s="1" t="n">
        <v>0</v>
      </c>
      <c r="I91" s="1" t="n">
        <v>0</v>
      </c>
    </row>
    <row r="92" customFormat="false" ht="12.8" hidden="false" customHeight="false" outlineLevel="0" collapsed="false">
      <c r="A92" s="1" t="s">
        <v>30</v>
      </c>
      <c r="B92" s="1" t="s">
        <v>6</v>
      </c>
      <c r="C92" s="1" t="s">
        <v>7</v>
      </c>
      <c r="D92" s="1" t="s">
        <v>8</v>
      </c>
      <c r="E92" s="1" t="n">
        <v>1</v>
      </c>
      <c r="F92" s="2" t="n">
        <v>45190015</v>
      </c>
      <c r="G92" s="1" t="n">
        <v>14563148</v>
      </c>
      <c r="H92" s="1" t="n">
        <v>3221475</v>
      </c>
      <c r="I92" s="1" t="n">
        <v>1399003</v>
      </c>
    </row>
    <row r="93" customFormat="false" ht="12.8" hidden="false" customHeight="false" outlineLevel="0" collapsed="false">
      <c r="B93" s="1" t="s">
        <v>6</v>
      </c>
      <c r="C93" s="1" t="s">
        <v>7</v>
      </c>
      <c r="D93" s="1" t="s">
        <v>9</v>
      </c>
      <c r="E93" s="1" t="n">
        <v>2</v>
      </c>
      <c r="F93" s="3" t="n">
        <v>0</v>
      </c>
      <c r="G93" s="1" t="n">
        <v>0</v>
      </c>
      <c r="H93" s="1" t="n">
        <v>0</v>
      </c>
      <c r="I93" s="1" t="n">
        <v>0</v>
      </c>
    </row>
    <row r="94" customFormat="false" ht="12.8" hidden="false" customHeight="false" outlineLevel="0" collapsed="false">
      <c r="B94" s="1" t="s">
        <v>10</v>
      </c>
      <c r="C94" s="1" t="s">
        <v>7</v>
      </c>
      <c r="D94" s="1" t="s">
        <v>11</v>
      </c>
      <c r="E94" s="1" t="n">
        <v>3</v>
      </c>
      <c r="F94" s="2" t="n">
        <v>30276018</v>
      </c>
      <c r="G94" s="1" t="n">
        <v>6382446</v>
      </c>
      <c r="H94" s="1" t="n">
        <v>2862376</v>
      </c>
      <c r="I94" s="1" t="n">
        <v>829072</v>
      </c>
    </row>
    <row r="95" customFormat="false" ht="12.8" hidden="false" customHeight="false" outlineLevel="0" collapsed="false">
      <c r="B95" s="1" t="s">
        <v>12</v>
      </c>
      <c r="C95" s="1" t="s">
        <v>7</v>
      </c>
      <c r="D95" s="1" t="s">
        <v>8</v>
      </c>
      <c r="E95" s="1" t="n">
        <v>4</v>
      </c>
      <c r="F95" s="2" t="n">
        <v>14913997</v>
      </c>
      <c r="G95" s="1" t="n">
        <v>8180702</v>
      </c>
      <c r="H95" s="1" t="n">
        <v>359099</v>
      </c>
      <c r="I95" s="1" t="n">
        <v>569931</v>
      </c>
    </row>
    <row r="96" customFormat="false" ht="12.8" hidden="false" customHeight="false" outlineLevel="0" collapsed="false">
      <c r="B96" s="1" t="s">
        <v>12</v>
      </c>
      <c r="C96" s="1" t="s">
        <v>7</v>
      </c>
      <c r="D96" s="1" t="s">
        <v>9</v>
      </c>
      <c r="E96" s="1" t="n">
        <v>5</v>
      </c>
      <c r="F96" s="3" t="n">
        <v>0</v>
      </c>
      <c r="G96" s="1" t="n">
        <v>0</v>
      </c>
      <c r="H96" s="1" t="n">
        <v>0</v>
      </c>
      <c r="I96" s="1" t="n">
        <v>0</v>
      </c>
    </row>
    <row r="97" customFormat="false" ht="12.8" hidden="false" customHeight="false" outlineLevel="0" collapsed="false">
      <c r="A97" s="1" t="s">
        <v>31</v>
      </c>
      <c r="B97" s="1" t="s">
        <v>6</v>
      </c>
      <c r="C97" s="1" t="s">
        <v>7</v>
      </c>
      <c r="D97" s="1" t="s">
        <v>8</v>
      </c>
      <c r="E97" s="1" t="n">
        <v>1</v>
      </c>
      <c r="F97" s="2" t="n">
        <v>48759608</v>
      </c>
      <c r="G97" s="1" t="n">
        <v>15502917</v>
      </c>
      <c r="H97" s="1" t="n">
        <v>3162400</v>
      </c>
      <c r="I97" s="1" t="n">
        <v>1204334</v>
      </c>
    </row>
    <row r="98" customFormat="false" ht="12.8" hidden="false" customHeight="false" outlineLevel="0" collapsed="false">
      <c r="B98" s="1" t="s">
        <v>6</v>
      </c>
      <c r="C98" s="1" t="s">
        <v>7</v>
      </c>
      <c r="D98" s="1" t="s">
        <v>9</v>
      </c>
      <c r="E98" s="1" t="n">
        <v>2</v>
      </c>
      <c r="F98" s="3" t="n">
        <v>0</v>
      </c>
      <c r="G98" s="1" t="n">
        <v>0</v>
      </c>
      <c r="H98" s="1" t="n">
        <v>0</v>
      </c>
      <c r="I98" s="1" t="n">
        <v>0</v>
      </c>
    </row>
    <row r="99" customFormat="false" ht="12.8" hidden="false" customHeight="false" outlineLevel="0" collapsed="false">
      <c r="B99" s="1" t="s">
        <v>10</v>
      </c>
      <c r="C99" s="1" t="s">
        <v>7</v>
      </c>
      <c r="D99" s="1" t="s">
        <v>11</v>
      </c>
      <c r="E99" s="1" t="n">
        <v>3</v>
      </c>
      <c r="F99" s="2" t="n">
        <v>27944302</v>
      </c>
      <c r="G99" s="1" t="n">
        <v>5747373</v>
      </c>
      <c r="H99" s="1" t="n">
        <v>441871</v>
      </c>
      <c r="I99" s="1" t="n">
        <v>927967</v>
      </c>
    </row>
    <row r="100" customFormat="false" ht="12.8" hidden="false" customHeight="false" outlineLevel="0" collapsed="false">
      <c r="B100" s="1" t="s">
        <v>12</v>
      </c>
      <c r="C100" s="1" t="s">
        <v>7</v>
      </c>
      <c r="D100" s="1" t="s">
        <v>8</v>
      </c>
      <c r="E100" s="1" t="n">
        <v>4</v>
      </c>
      <c r="F100" s="2" t="n">
        <v>20815306</v>
      </c>
      <c r="G100" s="1" t="n">
        <v>9755544</v>
      </c>
      <c r="H100" s="1" t="n">
        <v>2720529</v>
      </c>
      <c r="I100" s="1" t="n">
        <v>276367</v>
      </c>
    </row>
    <row r="101" customFormat="false" ht="12.8" hidden="false" customHeight="false" outlineLevel="0" collapsed="false">
      <c r="B101" s="1" t="s">
        <v>12</v>
      </c>
      <c r="C101" s="1" t="s">
        <v>7</v>
      </c>
      <c r="D101" s="1" t="s">
        <v>9</v>
      </c>
      <c r="E101" s="1" t="n">
        <v>5</v>
      </c>
      <c r="F101" s="3" t="n">
        <v>0</v>
      </c>
      <c r="G101" s="1" t="n">
        <v>0</v>
      </c>
      <c r="H101" s="1" t="n">
        <v>0</v>
      </c>
      <c r="I101" s="1" t="n">
        <v>0</v>
      </c>
    </row>
    <row r="102" customFormat="false" ht="12.8" hidden="false" customHeight="false" outlineLevel="0" collapsed="false">
      <c r="A102" s="1" t="s">
        <v>32</v>
      </c>
      <c r="B102" s="1" t="s">
        <v>6</v>
      </c>
      <c r="C102" s="1" t="s">
        <v>7</v>
      </c>
      <c r="D102" s="1" t="s">
        <v>8</v>
      </c>
      <c r="E102" s="1" t="n">
        <v>1</v>
      </c>
      <c r="F102" s="2" t="n">
        <v>14912394</v>
      </c>
      <c r="G102" s="1" t="n">
        <v>4496746</v>
      </c>
      <c r="H102" s="1" t="n">
        <v>171867</v>
      </c>
      <c r="I102" s="1" t="n">
        <v>358951</v>
      </c>
    </row>
    <row r="103" customFormat="false" ht="12.8" hidden="false" customHeight="false" outlineLevel="0" collapsed="false">
      <c r="B103" s="1" t="s">
        <v>6</v>
      </c>
      <c r="C103" s="1" t="s">
        <v>7</v>
      </c>
      <c r="D103" s="1" t="s">
        <v>9</v>
      </c>
      <c r="E103" s="1" t="n">
        <v>2</v>
      </c>
      <c r="F103" s="3" t="n">
        <v>0</v>
      </c>
      <c r="G103" s="1" t="n">
        <v>0</v>
      </c>
      <c r="H103" s="1" t="n">
        <v>0</v>
      </c>
      <c r="I103" s="1" t="n">
        <v>0</v>
      </c>
    </row>
    <row r="104" customFormat="false" ht="12.8" hidden="false" customHeight="false" outlineLevel="0" collapsed="false">
      <c r="B104" s="1" t="s">
        <v>10</v>
      </c>
      <c r="C104" s="1" t="s">
        <v>7</v>
      </c>
      <c r="D104" s="1" t="s">
        <v>11</v>
      </c>
      <c r="E104" s="1" t="n">
        <v>3</v>
      </c>
      <c r="F104" s="2" t="n">
        <v>9546632</v>
      </c>
      <c r="G104" s="1" t="n">
        <v>1395189</v>
      </c>
      <c r="H104" s="1" t="n">
        <v>108676</v>
      </c>
      <c r="I104" s="1" t="n">
        <v>301994</v>
      </c>
    </row>
    <row r="105" customFormat="false" ht="12.8" hidden="false" customHeight="false" outlineLevel="0" collapsed="false">
      <c r="B105" s="1" t="s">
        <v>12</v>
      </c>
      <c r="C105" s="1" t="s">
        <v>7</v>
      </c>
      <c r="D105" s="1" t="s">
        <v>8</v>
      </c>
      <c r="E105" s="1" t="n">
        <v>4</v>
      </c>
      <c r="F105" s="2" t="n">
        <v>5365762</v>
      </c>
      <c r="G105" s="1" t="n">
        <v>3101557</v>
      </c>
      <c r="H105" s="1" t="n">
        <v>63191</v>
      </c>
      <c r="I105" s="1" t="n">
        <v>56957</v>
      </c>
    </row>
    <row r="106" customFormat="false" ht="12.8" hidden="false" customHeight="false" outlineLevel="0" collapsed="false">
      <c r="B106" s="1" t="s">
        <v>12</v>
      </c>
      <c r="C106" s="1" t="s">
        <v>7</v>
      </c>
      <c r="D106" s="1" t="s">
        <v>9</v>
      </c>
      <c r="E106" s="1" t="n">
        <v>5</v>
      </c>
      <c r="F106" s="3" t="n">
        <v>0</v>
      </c>
      <c r="G106" s="1" t="n">
        <v>0</v>
      </c>
      <c r="H106" s="1" t="n">
        <v>0</v>
      </c>
      <c r="I106" s="1" t="n">
        <v>0</v>
      </c>
    </row>
    <row r="107" customFormat="false" ht="12.8" hidden="false" customHeight="false" outlineLevel="0" collapsed="false">
      <c r="A107" s="1" t="s">
        <v>33</v>
      </c>
      <c r="B107" s="1" t="s">
        <v>6</v>
      </c>
      <c r="C107" s="1" t="s">
        <v>7</v>
      </c>
      <c r="D107" s="1" t="s">
        <v>8</v>
      </c>
      <c r="E107" s="1" t="n">
        <v>1</v>
      </c>
      <c r="F107" s="2" t="n">
        <v>73747251</v>
      </c>
      <c r="G107" s="1" t="n">
        <v>26625134</v>
      </c>
      <c r="H107" s="1" t="n">
        <v>505236</v>
      </c>
      <c r="I107" s="1" t="n">
        <v>3246455</v>
      </c>
    </row>
    <row r="108" customFormat="false" ht="12.8" hidden="false" customHeight="false" outlineLevel="0" collapsed="false">
      <c r="B108" s="1" t="s">
        <v>6</v>
      </c>
      <c r="C108" s="1" t="s">
        <v>7</v>
      </c>
      <c r="D108" s="1" t="s">
        <v>9</v>
      </c>
      <c r="E108" s="1" t="n">
        <v>2</v>
      </c>
      <c r="F108" s="3" t="n">
        <v>0</v>
      </c>
      <c r="G108" s="1" t="n">
        <v>0</v>
      </c>
      <c r="H108" s="1" t="n">
        <v>0</v>
      </c>
      <c r="I108" s="1" t="n">
        <v>0</v>
      </c>
    </row>
    <row r="109" customFormat="false" ht="12.8" hidden="false" customHeight="false" outlineLevel="0" collapsed="false">
      <c r="B109" s="1" t="s">
        <v>10</v>
      </c>
      <c r="C109" s="1" t="s">
        <v>7</v>
      </c>
      <c r="D109" s="1" t="s">
        <v>11</v>
      </c>
      <c r="E109" s="1" t="n">
        <v>3</v>
      </c>
      <c r="F109" s="2" t="n">
        <v>40273936</v>
      </c>
      <c r="G109" s="1" t="n">
        <v>8511952</v>
      </c>
      <c r="H109" s="1" t="n">
        <v>442368</v>
      </c>
      <c r="I109" s="1" t="n">
        <v>2374400</v>
      </c>
    </row>
    <row r="110" customFormat="false" ht="12.8" hidden="false" customHeight="false" outlineLevel="0" collapsed="false">
      <c r="B110" s="1" t="s">
        <v>12</v>
      </c>
      <c r="C110" s="1" t="s">
        <v>7</v>
      </c>
      <c r="D110" s="1" t="s">
        <v>8</v>
      </c>
      <c r="E110" s="1" t="n">
        <v>4</v>
      </c>
      <c r="F110" s="2" t="n">
        <v>33473315</v>
      </c>
      <c r="G110" s="1" t="n">
        <v>18113182</v>
      </c>
      <c r="H110" s="1" t="n">
        <v>62868</v>
      </c>
      <c r="I110" s="1" t="n">
        <v>872055</v>
      </c>
    </row>
    <row r="111" customFormat="false" ht="12.8" hidden="false" customHeight="false" outlineLevel="0" collapsed="false">
      <c r="B111" s="1" t="s">
        <v>12</v>
      </c>
      <c r="C111" s="1" t="s">
        <v>7</v>
      </c>
      <c r="D111" s="1" t="s">
        <v>9</v>
      </c>
      <c r="E111" s="1" t="n">
        <v>5</v>
      </c>
      <c r="F111" s="3" t="n">
        <v>0</v>
      </c>
      <c r="G111" s="1" t="n">
        <v>0</v>
      </c>
      <c r="H111" s="1" t="n">
        <v>0</v>
      </c>
      <c r="I111" s="1" t="n">
        <v>0</v>
      </c>
    </row>
    <row r="112" customFormat="false" ht="12.8" hidden="false" customHeight="false" outlineLevel="0" collapsed="false">
      <c r="A112" s="1" t="s">
        <v>34</v>
      </c>
      <c r="B112" s="1" t="s">
        <v>6</v>
      </c>
      <c r="C112" s="1" t="s">
        <v>7</v>
      </c>
      <c r="D112" s="1" t="s">
        <v>8</v>
      </c>
      <c r="E112" s="1" t="n">
        <v>1</v>
      </c>
      <c r="F112" s="2" t="n">
        <v>92545484</v>
      </c>
      <c r="G112" s="1" t="n">
        <v>28137317</v>
      </c>
      <c r="H112" s="1" t="n">
        <v>2140407</v>
      </c>
      <c r="I112" s="1" t="n">
        <v>2249837</v>
      </c>
    </row>
    <row r="113" customFormat="false" ht="12.8" hidden="false" customHeight="false" outlineLevel="0" collapsed="false">
      <c r="B113" s="1" t="s">
        <v>6</v>
      </c>
      <c r="C113" s="1" t="s">
        <v>7</v>
      </c>
      <c r="D113" s="1" t="s">
        <v>9</v>
      </c>
      <c r="E113" s="1" t="n">
        <v>2</v>
      </c>
      <c r="F113" s="3" t="n">
        <v>0</v>
      </c>
      <c r="G113" s="1" t="n">
        <v>0</v>
      </c>
      <c r="H113" s="1" t="n">
        <v>0</v>
      </c>
      <c r="I113" s="1" t="n">
        <v>0</v>
      </c>
    </row>
    <row r="114" customFormat="false" ht="12.8" hidden="false" customHeight="false" outlineLevel="0" collapsed="false">
      <c r="B114" s="1" t="s">
        <v>10</v>
      </c>
      <c r="C114" s="1" t="s">
        <v>7</v>
      </c>
      <c r="D114" s="1" t="s">
        <v>11</v>
      </c>
      <c r="E114" s="1" t="n">
        <v>3</v>
      </c>
      <c r="F114" s="2" t="n">
        <v>54583165</v>
      </c>
      <c r="G114" s="1" t="n">
        <v>8127656</v>
      </c>
      <c r="H114" s="1" t="n">
        <v>906703</v>
      </c>
      <c r="I114" s="1" t="n">
        <v>2049351</v>
      </c>
    </row>
    <row r="115" customFormat="false" ht="12.8" hidden="false" customHeight="false" outlineLevel="0" collapsed="false">
      <c r="B115" s="1" t="s">
        <v>12</v>
      </c>
      <c r="C115" s="1" t="s">
        <v>7</v>
      </c>
      <c r="D115" s="1" t="s">
        <v>8</v>
      </c>
      <c r="E115" s="1" t="n">
        <v>4</v>
      </c>
      <c r="F115" s="2" t="n">
        <v>37962319</v>
      </c>
      <c r="G115" s="1" t="n">
        <v>20009661</v>
      </c>
      <c r="H115" s="1" t="n">
        <v>1233704</v>
      </c>
      <c r="I115" s="1" t="n">
        <v>200486</v>
      </c>
    </row>
    <row r="116" customFormat="false" ht="12.8" hidden="false" customHeight="false" outlineLevel="0" collapsed="false">
      <c r="B116" s="1" t="s">
        <v>12</v>
      </c>
      <c r="C116" s="1" t="s">
        <v>7</v>
      </c>
      <c r="D116" s="1" t="s">
        <v>9</v>
      </c>
      <c r="E116" s="1" t="n">
        <v>5</v>
      </c>
      <c r="F116" s="3" t="n">
        <v>0</v>
      </c>
      <c r="G116" s="1" t="n">
        <v>0</v>
      </c>
      <c r="H116" s="1" t="n">
        <v>0</v>
      </c>
      <c r="I116" s="1" t="n">
        <v>0</v>
      </c>
    </row>
    <row r="117" customFormat="false" ht="12.8" hidden="false" customHeight="false" outlineLevel="0" collapsed="false">
      <c r="A117" s="1" t="s">
        <v>35</v>
      </c>
      <c r="B117" s="1" t="s">
        <v>6</v>
      </c>
      <c r="C117" s="1" t="s">
        <v>7</v>
      </c>
      <c r="D117" s="1" t="s">
        <v>8</v>
      </c>
      <c r="E117" s="1" t="n">
        <v>1</v>
      </c>
      <c r="F117" s="2" t="n">
        <v>97961790</v>
      </c>
      <c r="G117" s="1" t="n">
        <v>37257018</v>
      </c>
      <c r="H117" s="1" t="n">
        <v>6679518</v>
      </c>
      <c r="I117" s="1" t="n">
        <v>4898871</v>
      </c>
    </row>
    <row r="118" customFormat="false" ht="12.8" hidden="false" customHeight="false" outlineLevel="0" collapsed="false">
      <c r="B118" s="1" t="s">
        <v>6</v>
      </c>
      <c r="C118" s="1" t="s">
        <v>7</v>
      </c>
      <c r="D118" s="1" t="s">
        <v>9</v>
      </c>
      <c r="E118" s="1" t="n">
        <v>2</v>
      </c>
      <c r="F118" s="3" t="n">
        <v>0</v>
      </c>
      <c r="G118" s="1" t="n">
        <v>0</v>
      </c>
      <c r="H118" s="1" t="n">
        <v>0</v>
      </c>
      <c r="I118" s="1" t="n">
        <v>0</v>
      </c>
    </row>
    <row r="119" customFormat="false" ht="12.8" hidden="false" customHeight="false" outlineLevel="0" collapsed="false">
      <c r="B119" s="1" t="s">
        <v>10</v>
      </c>
      <c r="C119" s="1" t="s">
        <v>7</v>
      </c>
      <c r="D119" s="1" t="s">
        <v>11</v>
      </c>
      <c r="E119" s="1" t="n">
        <v>3</v>
      </c>
      <c r="F119" s="2" t="n">
        <v>49956813</v>
      </c>
      <c r="G119" s="1" t="n">
        <v>13160711</v>
      </c>
      <c r="H119" s="1" t="n">
        <v>5777758</v>
      </c>
      <c r="I119" s="1" t="n">
        <v>2202213</v>
      </c>
    </row>
    <row r="120" customFormat="false" ht="12.8" hidden="false" customHeight="false" outlineLevel="0" collapsed="false">
      <c r="B120" s="1" t="s">
        <v>12</v>
      </c>
      <c r="C120" s="1" t="s">
        <v>7</v>
      </c>
      <c r="D120" s="1" t="s">
        <v>8</v>
      </c>
      <c r="E120" s="1" t="n">
        <v>4</v>
      </c>
      <c r="F120" s="2" t="n">
        <v>48004977</v>
      </c>
      <c r="G120" s="1" t="n">
        <v>24096307</v>
      </c>
      <c r="H120" s="1" t="n">
        <v>901760</v>
      </c>
      <c r="I120" s="1" t="n">
        <v>2696658</v>
      </c>
    </row>
    <row r="121" customFormat="false" ht="12.8" hidden="false" customHeight="false" outlineLevel="0" collapsed="false">
      <c r="B121" s="1" t="s">
        <v>12</v>
      </c>
      <c r="C121" s="1" t="s">
        <v>7</v>
      </c>
      <c r="D121" s="1" t="s">
        <v>9</v>
      </c>
      <c r="E121" s="1" t="n">
        <v>5</v>
      </c>
      <c r="F121" s="3" t="n">
        <v>0</v>
      </c>
      <c r="G121" s="1" t="n">
        <v>0</v>
      </c>
      <c r="H121" s="1" t="n">
        <v>0</v>
      </c>
      <c r="I121" s="1" t="n">
        <v>0</v>
      </c>
    </row>
    <row r="122" customFormat="false" ht="12.8" hidden="false" customHeight="false" outlineLevel="0" collapsed="false">
      <c r="A122" s="1" t="s">
        <v>36</v>
      </c>
      <c r="B122" s="1" t="s">
        <v>6</v>
      </c>
      <c r="C122" s="1" t="s">
        <v>7</v>
      </c>
      <c r="D122" s="1" t="s">
        <v>8</v>
      </c>
      <c r="E122" s="1" t="n">
        <v>1</v>
      </c>
      <c r="F122" s="2" t="n">
        <v>64886091</v>
      </c>
      <c r="G122" s="1" t="n">
        <v>21894075</v>
      </c>
      <c r="H122" s="1" t="n">
        <v>2449362</v>
      </c>
      <c r="I122" s="1" t="n">
        <v>2233350</v>
      </c>
    </row>
    <row r="123" customFormat="false" ht="12.8" hidden="false" customHeight="false" outlineLevel="0" collapsed="false">
      <c r="B123" s="1" t="s">
        <v>6</v>
      </c>
      <c r="C123" s="1" t="s">
        <v>7</v>
      </c>
      <c r="D123" s="1" t="s">
        <v>9</v>
      </c>
      <c r="E123" s="1" t="n">
        <v>2</v>
      </c>
      <c r="F123" s="3" t="n">
        <v>0</v>
      </c>
      <c r="G123" s="1" t="n">
        <v>0</v>
      </c>
      <c r="H123" s="1" t="n">
        <v>0</v>
      </c>
      <c r="I123" s="1" t="n">
        <v>0</v>
      </c>
    </row>
    <row r="124" customFormat="false" ht="12.8" hidden="false" customHeight="false" outlineLevel="0" collapsed="false">
      <c r="B124" s="1" t="s">
        <v>10</v>
      </c>
      <c r="C124" s="1" t="s">
        <v>7</v>
      </c>
      <c r="D124" s="1" t="s">
        <v>11</v>
      </c>
      <c r="E124" s="1" t="n">
        <v>3</v>
      </c>
      <c r="F124" s="2" t="n">
        <v>32870885</v>
      </c>
      <c r="G124" s="1" t="n">
        <v>6764731</v>
      </c>
      <c r="H124" s="1" t="n">
        <v>261024</v>
      </c>
      <c r="I124" s="1" t="n">
        <v>1287752</v>
      </c>
    </row>
    <row r="125" customFormat="false" ht="12.8" hidden="false" customHeight="false" outlineLevel="0" collapsed="false">
      <c r="B125" s="1" t="s">
        <v>12</v>
      </c>
      <c r="C125" s="1" t="s">
        <v>7</v>
      </c>
      <c r="D125" s="1" t="s">
        <v>8</v>
      </c>
      <c r="E125" s="1" t="n">
        <v>4</v>
      </c>
      <c r="F125" s="2" t="n">
        <v>32015206</v>
      </c>
      <c r="G125" s="1" t="n">
        <v>15129344</v>
      </c>
      <c r="H125" s="1" t="n">
        <v>2188338</v>
      </c>
      <c r="I125" s="1" t="n">
        <v>945598</v>
      </c>
    </row>
    <row r="126" customFormat="false" ht="12.8" hidden="false" customHeight="false" outlineLevel="0" collapsed="false">
      <c r="B126" s="1" t="s">
        <v>12</v>
      </c>
      <c r="C126" s="1" t="s">
        <v>7</v>
      </c>
      <c r="D126" s="1" t="s">
        <v>9</v>
      </c>
      <c r="E126" s="1" t="n">
        <v>5</v>
      </c>
      <c r="F126" s="3" t="n">
        <v>0</v>
      </c>
      <c r="G126" s="1" t="n">
        <v>0</v>
      </c>
      <c r="H126" s="1" t="n">
        <v>0</v>
      </c>
      <c r="I126" s="1" t="n">
        <v>0</v>
      </c>
    </row>
    <row r="127" customFormat="false" ht="12.8" hidden="false" customHeight="false" outlineLevel="0" collapsed="false">
      <c r="A127" s="1" t="s">
        <v>37</v>
      </c>
      <c r="B127" s="1" t="s">
        <v>6</v>
      </c>
      <c r="C127" s="1" t="s">
        <v>7</v>
      </c>
      <c r="D127" s="1" t="s">
        <v>8</v>
      </c>
      <c r="E127" s="1" t="n">
        <v>1</v>
      </c>
      <c r="F127" s="2" t="n">
        <v>27209885</v>
      </c>
      <c r="G127" s="1" t="n">
        <v>9179939</v>
      </c>
      <c r="H127" s="1" t="n">
        <v>4819182</v>
      </c>
      <c r="I127" s="1" t="n">
        <v>468918</v>
      </c>
    </row>
    <row r="128" customFormat="false" ht="12.8" hidden="false" customHeight="false" outlineLevel="0" collapsed="false">
      <c r="B128" s="1" t="s">
        <v>6</v>
      </c>
      <c r="C128" s="1" t="s">
        <v>7</v>
      </c>
      <c r="D128" s="1" t="s">
        <v>9</v>
      </c>
      <c r="E128" s="1" t="n">
        <v>2</v>
      </c>
      <c r="F128" s="3" t="n">
        <v>0</v>
      </c>
      <c r="G128" s="1" t="n">
        <v>0</v>
      </c>
      <c r="H128" s="1" t="n">
        <v>0</v>
      </c>
      <c r="I128" s="1" t="n">
        <v>0</v>
      </c>
    </row>
    <row r="129" customFormat="false" ht="12.8" hidden="false" customHeight="false" outlineLevel="0" collapsed="false">
      <c r="B129" s="1" t="s">
        <v>10</v>
      </c>
      <c r="C129" s="1" t="s">
        <v>7</v>
      </c>
      <c r="D129" s="1" t="s">
        <v>11</v>
      </c>
      <c r="E129" s="1" t="n">
        <v>3</v>
      </c>
      <c r="F129" s="2" t="n">
        <v>14158170</v>
      </c>
      <c r="G129" s="1" t="n">
        <v>3005922</v>
      </c>
      <c r="H129" s="1" t="n">
        <v>1746116</v>
      </c>
      <c r="I129" s="1" t="n">
        <v>374454</v>
      </c>
    </row>
    <row r="130" customFormat="false" ht="12.8" hidden="false" customHeight="false" outlineLevel="0" collapsed="false">
      <c r="B130" s="1" t="s">
        <v>12</v>
      </c>
      <c r="C130" s="1" t="s">
        <v>7</v>
      </c>
      <c r="D130" s="1" t="s">
        <v>8</v>
      </c>
      <c r="E130" s="1" t="n">
        <v>4</v>
      </c>
      <c r="F130" s="2" t="n">
        <v>13051715</v>
      </c>
      <c r="G130" s="1" t="n">
        <v>6174017</v>
      </c>
      <c r="H130" s="1" t="n">
        <v>3073066</v>
      </c>
      <c r="I130" s="1" t="n">
        <v>94464</v>
      </c>
    </row>
    <row r="131" customFormat="false" ht="12.8" hidden="false" customHeight="false" outlineLevel="0" collapsed="false">
      <c r="B131" s="1" t="s">
        <v>12</v>
      </c>
      <c r="C131" s="1" t="s">
        <v>7</v>
      </c>
      <c r="D131" s="1" t="s">
        <v>9</v>
      </c>
      <c r="E131" s="1" t="n">
        <v>5</v>
      </c>
      <c r="F131" s="3" t="n">
        <v>0</v>
      </c>
      <c r="G131" s="1" t="n">
        <v>0</v>
      </c>
      <c r="H131" s="1" t="n">
        <v>0</v>
      </c>
      <c r="I131" s="1" t="n">
        <v>0</v>
      </c>
    </row>
    <row r="132" customFormat="false" ht="12.8" hidden="false" customHeight="false" outlineLevel="0" collapsed="false">
      <c r="A132" s="1" t="s">
        <v>38</v>
      </c>
      <c r="B132" s="1" t="s">
        <v>6</v>
      </c>
      <c r="C132" s="1" t="s">
        <v>7</v>
      </c>
      <c r="D132" s="1" t="s">
        <v>8</v>
      </c>
      <c r="E132" s="1" t="n">
        <v>1</v>
      </c>
      <c r="F132" s="2" t="n">
        <v>53298592</v>
      </c>
      <c r="G132" s="1" t="n">
        <v>18259264</v>
      </c>
      <c r="H132" s="1" t="n">
        <v>5657201</v>
      </c>
      <c r="I132" s="1" t="n">
        <v>3087383</v>
      </c>
    </row>
    <row r="133" customFormat="false" ht="12.8" hidden="false" customHeight="false" outlineLevel="0" collapsed="false">
      <c r="B133" s="1" t="s">
        <v>6</v>
      </c>
      <c r="C133" s="1" t="s">
        <v>7</v>
      </c>
      <c r="D133" s="1" t="s">
        <v>9</v>
      </c>
      <c r="E133" s="1" t="n">
        <v>2</v>
      </c>
      <c r="F133" s="3" t="n">
        <v>0</v>
      </c>
      <c r="G133" s="1" t="n">
        <v>0</v>
      </c>
      <c r="H133" s="1" t="n">
        <v>0</v>
      </c>
      <c r="I133" s="1" t="n">
        <v>0</v>
      </c>
    </row>
    <row r="134" customFormat="false" ht="12.8" hidden="false" customHeight="false" outlineLevel="0" collapsed="false">
      <c r="B134" s="1" t="s">
        <v>10</v>
      </c>
      <c r="C134" s="1" t="s">
        <v>7</v>
      </c>
      <c r="D134" s="1" t="s">
        <v>11</v>
      </c>
      <c r="E134" s="1" t="n">
        <v>3</v>
      </c>
      <c r="F134" s="2" t="n">
        <v>27122775</v>
      </c>
      <c r="G134" s="1" t="n">
        <v>4801613</v>
      </c>
      <c r="H134" s="1" t="n">
        <v>3092181</v>
      </c>
      <c r="I134" s="1" t="n">
        <v>2471754</v>
      </c>
    </row>
    <row r="135" customFormat="false" ht="12.8" hidden="false" customHeight="false" outlineLevel="0" collapsed="false">
      <c r="B135" s="1" t="s">
        <v>12</v>
      </c>
      <c r="C135" s="1" t="s">
        <v>7</v>
      </c>
      <c r="D135" s="1" t="s">
        <v>8</v>
      </c>
      <c r="E135" s="1" t="n">
        <v>4</v>
      </c>
      <c r="F135" s="2" t="n">
        <v>26175817</v>
      </c>
      <c r="G135" s="1" t="n">
        <v>13457651</v>
      </c>
      <c r="H135" s="1" t="n">
        <v>2565020</v>
      </c>
      <c r="I135" s="1" t="n">
        <v>615629</v>
      </c>
    </row>
    <row r="136" customFormat="false" ht="12.8" hidden="false" customHeight="false" outlineLevel="0" collapsed="false">
      <c r="B136" s="1" t="s">
        <v>12</v>
      </c>
      <c r="C136" s="1" t="s">
        <v>7</v>
      </c>
      <c r="D136" s="1" t="s">
        <v>9</v>
      </c>
      <c r="E136" s="1" t="n">
        <v>5</v>
      </c>
      <c r="F136" s="3" t="n">
        <v>0</v>
      </c>
      <c r="G136" s="1" t="n">
        <v>0</v>
      </c>
      <c r="H136" s="1" t="n">
        <v>0</v>
      </c>
      <c r="I136" s="1" t="n">
        <v>0</v>
      </c>
    </row>
    <row r="137" customFormat="false" ht="12.8" hidden="false" customHeight="false" outlineLevel="0" collapsed="false">
      <c r="A137" s="1" t="s">
        <v>39</v>
      </c>
      <c r="B137" s="1" t="s">
        <v>6</v>
      </c>
      <c r="C137" s="1" t="s">
        <v>7</v>
      </c>
      <c r="D137" s="1" t="s">
        <v>8</v>
      </c>
      <c r="E137" s="1" t="n">
        <v>1</v>
      </c>
      <c r="F137" s="2" t="n">
        <v>10211359</v>
      </c>
      <c r="G137" s="1" t="n">
        <v>3510471</v>
      </c>
      <c r="H137" s="1" t="n">
        <v>189622</v>
      </c>
      <c r="I137" s="1" t="n">
        <v>489238</v>
      </c>
    </row>
    <row r="138" customFormat="false" ht="12.8" hidden="false" customHeight="false" outlineLevel="0" collapsed="false">
      <c r="B138" s="1" t="s">
        <v>6</v>
      </c>
      <c r="C138" s="1" t="s">
        <v>7</v>
      </c>
      <c r="D138" s="1" t="s">
        <v>9</v>
      </c>
      <c r="E138" s="1" t="n">
        <v>2</v>
      </c>
      <c r="F138" s="3" t="n">
        <v>0</v>
      </c>
      <c r="G138" s="1" t="n">
        <v>0</v>
      </c>
      <c r="H138" s="1" t="n">
        <v>0</v>
      </c>
      <c r="I138" s="1" t="n">
        <v>0</v>
      </c>
    </row>
    <row r="139" customFormat="false" ht="12.8" hidden="false" customHeight="false" outlineLevel="0" collapsed="false">
      <c r="B139" s="1" t="s">
        <v>10</v>
      </c>
      <c r="C139" s="1" t="s">
        <v>7</v>
      </c>
      <c r="D139" s="1" t="s">
        <v>11</v>
      </c>
      <c r="E139" s="1" t="n">
        <v>3</v>
      </c>
      <c r="F139" s="2" t="n">
        <v>6033847</v>
      </c>
      <c r="G139" s="1" t="n">
        <v>1169868</v>
      </c>
      <c r="H139" s="1" t="n">
        <v>78980</v>
      </c>
      <c r="I139" s="1" t="n">
        <v>317641</v>
      </c>
    </row>
    <row r="140" customFormat="false" ht="12.8" hidden="false" customHeight="false" outlineLevel="0" collapsed="false">
      <c r="B140" s="1" t="s">
        <v>12</v>
      </c>
      <c r="C140" s="1" t="s">
        <v>7</v>
      </c>
      <c r="D140" s="1" t="s">
        <v>8</v>
      </c>
      <c r="E140" s="1" t="n">
        <v>4</v>
      </c>
      <c r="F140" s="2" t="n">
        <v>4177512</v>
      </c>
      <c r="G140" s="1" t="n">
        <v>2340603</v>
      </c>
      <c r="H140" s="1" t="n">
        <v>110642</v>
      </c>
      <c r="I140" s="1" t="n">
        <v>171597</v>
      </c>
    </row>
    <row r="141" customFormat="false" ht="12.8" hidden="false" customHeight="false" outlineLevel="0" collapsed="false">
      <c r="B141" s="1" t="s">
        <v>12</v>
      </c>
      <c r="C141" s="1" t="s">
        <v>7</v>
      </c>
      <c r="D141" s="1" t="s">
        <v>9</v>
      </c>
      <c r="E141" s="1" t="n">
        <v>5</v>
      </c>
      <c r="F141" s="3" t="n">
        <v>0</v>
      </c>
      <c r="G141" s="1" t="n">
        <v>0</v>
      </c>
      <c r="H141" s="1" t="n">
        <v>0</v>
      </c>
      <c r="I141" s="1" t="n">
        <v>0</v>
      </c>
    </row>
    <row r="142" customFormat="false" ht="12.8" hidden="false" customHeight="false" outlineLevel="0" collapsed="false">
      <c r="A142" s="1" t="s">
        <v>40</v>
      </c>
      <c r="B142" s="1" t="s">
        <v>6</v>
      </c>
      <c r="C142" s="1" t="s">
        <v>7</v>
      </c>
      <c r="D142" s="1" t="s">
        <v>8</v>
      </c>
      <c r="E142" s="1" t="n">
        <v>1</v>
      </c>
      <c r="F142" s="2" t="n">
        <v>22276164</v>
      </c>
      <c r="G142" s="1" t="n">
        <v>8484885</v>
      </c>
      <c r="H142" s="1" t="n">
        <v>916700</v>
      </c>
      <c r="I142" s="1" t="n">
        <v>400290</v>
      </c>
    </row>
    <row r="143" customFormat="false" ht="12.8" hidden="false" customHeight="false" outlineLevel="0" collapsed="false">
      <c r="B143" s="1" t="s">
        <v>6</v>
      </c>
      <c r="C143" s="1" t="s">
        <v>7</v>
      </c>
      <c r="D143" s="1" t="s">
        <v>9</v>
      </c>
      <c r="E143" s="1" t="n">
        <v>2</v>
      </c>
      <c r="F143" s="3" t="n">
        <v>0</v>
      </c>
      <c r="G143" s="1" t="n">
        <v>0</v>
      </c>
      <c r="H143" s="1" t="n">
        <v>0</v>
      </c>
      <c r="I143" s="1" t="n">
        <v>0</v>
      </c>
    </row>
    <row r="144" customFormat="false" ht="12.8" hidden="false" customHeight="false" outlineLevel="0" collapsed="false">
      <c r="B144" s="1" t="s">
        <v>10</v>
      </c>
      <c r="C144" s="1" t="s">
        <v>7</v>
      </c>
      <c r="D144" s="1" t="s">
        <v>11</v>
      </c>
      <c r="E144" s="1" t="n">
        <v>3</v>
      </c>
      <c r="F144" s="2" t="n">
        <v>8905854</v>
      </c>
      <c r="G144" s="1" t="n">
        <v>2602431</v>
      </c>
      <c r="H144" s="1" t="n">
        <v>207384</v>
      </c>
      <c r="I144" s="1" t="n">
        <v>332176</v>
      </c>
    </row>
    <row r="145" customFormat="false" ht="12.8" hidden="false" customHeight="false" outlineLevel="0" collapsed="false">
      <c r="B145" s="1" t="s">
        <v>12</v>
      </c>
      <c r="C145" s="1" t="s">
        <v>7</v>
      </c>
      <c r="D145" s="1" t="s">
        <v>8</v>
      </c>
      <c r="E145" s="1" t="n">
        <v>4</v>
      </c>
      <c r="F145" s="2" t="n">
        <v>13370310</v>
      </c>
      <c r="G145" s="1" t="n">
        <v>5882454</v>
      </c>
      <c r="H145" s="1" t="n">
        <v>709316</v>
      </c>
      <c r="I145" s="1" t="n">
        <v>68114</v>
      </c>
    </row>
    <row r="146" customFormat="false" ht="12.8" hidden="false" customHeight="false" outlineLevel="0" collapsed="false">
      <c r="B146" s="1" t="s">
        <v>12</v>
      </c>
      <c r="C146" s="1" t="s">
        <v>7</v>
      </c>
      <c r="D146" s="1" t="s">
        <v>9</v>
      </c>
      <c r="E146" s="1" t="n">
        <v>5</v>
      </c>
      <c r="F146" s="3" t="n">
        <v>0</v>
      </c>
      <c r="G146" s="1" t="n">
        <v>0</v>
      </c>
      <c r="H146" s="1" t="n">
        <v>0</v>
      </c>
      <c r="I146" s="1" t="n">
        <v>0</v>
      </c>
    </row>
    <row r="147" customFormat="false" ht="12.8" hidden="false" customHeight="false" outlineLevel="0" collapsed="false">
      <c r="A147" s="1" t="s">
        <v>41</v>
      </c>
      <c r="B147" s="1" t="s">
        <v>6</v>
      </c>
      <c r="C147" s="1" t="s">
        <v>7</v>
      </c>
      <c r="D147" s="1" t="s">
        <v>8</v>
      </c>
      <c r="E147" s="1" t="n">
        <v>1</v>
      </c>
      <c r="F147" s="2" t="n">
        <v>24839364</v>
      </c>
      <c r="G147" s="1" t="n">
        <v>8726038</v>
      </c>
      <c r="H147" s="1" t="n">
        <v>1234108</v>
      </c>
      <c r="I147" s="1" t="n">
        <v>907634</v>
      </c>
    </row>
    <row r="148" customFormat="false" ht="12.8" hidden="false" customHeight="false" outlineLevel="0" collapsed="false">
      <c r="B148" s="1" t="s">
        <v>6</v>
      </c>
      <c r="C148" s="1" t="s">
        <v>7</v>
      </c>
      <c r="D148" s="1" t="s">
        <v>9</v>
      </c>
      <c r="E148" s="1" t="n">
        <v>2</v>
      </c>
      <c r="F148" s="3" t="n">
        <v>0</v>
      </c>
      <c r="G148" s="1" t="n">
        <v>0</v>
      </c>
      <c r="H148" s="1" t="n">
        <v>0</v>
      </c>
      <c r="I148" s="1" t="n">
        <v>0</v>
      </c>
    </row>
    <row r="149" customFormat="false" ht="12.8" hidden="false" customHeight="false" outlineLevel="0" collapsed="false">
      <c r="B149" s="1" t="s">
        <v>10</v>
      </c>
      <c r="C149" s="1" t="s">
        <v>7</v>
      </c>
      <c r="D149" s="1" t="s">
        <v>11</v>
      </c>
      <c r="E149" s="1" t="n">
        <v>3</v>
      </c>
      <c r="F149" s="2" t="n">
        <v>10356036</v>
      </c>
      <c r="G149" s="1" t="n">
        <v>3006802</v>
      </c>
      <c r="H149" s="1" t="n">
        <v>331442</v>
      </c>
      <c r="I149" s="1" t="n">
        <v>385352</v>
      </c>
    </row>
    <row r="150" customFormat="false" ht="12.8" hidden="false" customHeight="false" outlineLevel="0" collapsed="false">
      <c r="B150" s="1" t="s">
        <v>12</v>
      </c>
      <c r="C150" s="1" t="s">
        <v>7</v>
      </c>
      <c r="D150" s="1" t="s">
        <v>8</v>
      </c>
      <c r="E150" s="1" t="n">
        <v>4</v>
      </c>
      <c r="F150" s="2" t="n">
        <v>14483328</v>
      </c>
      <c r="G150" s="1" t="n">
        <v>5719236</v>
      </c>
      <c r="H150" s="1" t="n">
        <v>902666</v>
      </c>
      <c r="I150" s="1" t="n">
        <v>522282</v>
      </c>
    </row>
    <row r="151" customFormat="false" ht="12.8" hidden="false" customHeight="false" outlineLevel="0" collapsed="false">
      <c r="B151" s="1" t="s">
        <v>12</v>
      </c>
      <c r="C151" s="1" t="s">
        <v>7</v>
      </c>
      <c r="D151" s="1" t="s">
        <v>9</v>
      </c>
      <c r="E151" s="1" t="n">
        <v>5</v>
      </c>
      <c r="F151" s="3" t="n">
        <v>0</v>
      </c>
      <c r="G151" s="1" t="n">
        <v>0</v>
      </c>
      <c r="H151" s="1" t="n">
        <v>0</v>
      </c>
      <c r="I151" s="1" t="n">
        <v>0</v>
      </c>
    </row>
    <row r="152" customFormat="false" ht="12.8" hidden="false" customHeight="false" outlineLevel="0" collapsed="false">
      <c r="A152" s="1" t="s">
        <v>42</v>
      </c>
      <c r="B152" s="1" t="s">
        <v>6</v>
      </c>
      <c r="C152" s="1" t="s">
        <v>7</v>
      </c>
      <c r="D152" s="1" t="s">
        <v>8</v>
      </c>
      <c r="E152" s="1" t="n">
        <v>1</v>
      </c>
      <c r="F152" s="2" t="n">
        <v>13206348</v>
      </c>
      <c r="G152" s="1" t="n">
        <v>4919021</v>
      </c>
      <c r="H152" s="1" t="n">
        <v>114964</v>
      </c>
      <c r="I152" s="1" t="n">
        <v>233710</v>
      </c>
    </row>
    <row r="153" customFormat="false" ht="12.8" hidden="false" customHeight="false" outlineLevel="0" collapsed="false">
      <c r="B153" s="1" t="s">
        <v>6</v>
      </c>
      <c r="C153" s="1" t="s">
        <v>7</v>
      </c>
      <c r="D153" s="1" t="s">
        <v>9</v>
      </c>
      <c r="E153" s="1" t="n">
        <v>2</v>
      </c>
      <c r="F153" s="3" t="n">
        <v>0</v>
      </c>
      <c r="G153" s="1" t="n">
        <v>0</v>
      </c>
      <c r="H153" s="1" t="n">
        <v>0</v>
      </c>
      <c r="I153" s="1" t="n">
        <v>0</v>
      </c>
    </row>
    <row r="154" customFormat="false" ht="12.8" hidden="false" customHeight="false" outlineLevel="0" collapsed="false">
      <c r="B154" s="1" t="s">
        <v>10</v>
      </c>
      <c r="C154" s="1" t="s">
        <v>7</v>
      </c>
      <c r="D154" s="1" t="s">
        <v>11</v>
      </c>
      <c r="E154" s="1" t="n">
        <v>3</v>
      </c>
      <c r="F154" s="2" t="n">
        <v>7049941</v>
      </c>
      <c r="G154" s="1" t="n">
        <v>1251365</v>
      </c>
      <c r="H154" s="1" t="n">
        <v>114962</v>
      </c>
      <c r="I154" s="1" t="n">
        <v>209389</v>
      </c>
    </row>
    <row r="155" customFormat="false" ht="12.8" hidden="false" customHeight="false" outlineLevel="0" collapsed="false">
      <c r="B155" s="1" t="s">
        <v>12</v>
      </c>
      <c r="C155" s="1" t="s">
        <v>7</v>
      </c>
      <c r="D155" s="1" t="s">
        <v>8</v>
      </c>
      <c r="E155" s="1" t="n">
        <v>4</v>
      </c>
      <c r="F155" s="2" t="n">
        <v>6156407</v>
      </c>
      <c r="G155" s="1" t="n">
        <v>3667656</v>
      </c>
      <c r="H155" s="1" t="n">
        <v>2</v>
      </c>
      <c r="I155" s="1" t="n">
        <v>24321</v>
      </c>
    </row>
    <row r="156" customFormat="false" ht="12.8" hidden="false" customHeight="false" outlineLevel="0" collapsed="false">
      <c r="B156" s="1" t="s">
        <v>12</v>
      </c>
      <c r="C156" s="1" t="s">
        <v>7</v>
      </c>
      <c r="D156" s="1" t="s">
        <v>9</v>
      </c>
      <c r="E156" s="1" t="n">
        <v>5</v>
      </c>
      <c r="F156" s="3" t="n">
        <v>0</v>
      </c>
      <c r="G156" s="1" t="n">
        <v>0</v>
      </c>
      <c r="H156" s="1" t="n">
        <v>0</v>
      </c>
      <c r="I156" s="1" t="n">
        <v>0</v>
      </c>
    </row>
    <row r="157" customFormat="false" ht="12.8" hidden="false" customHeight="false" outlineLevel="0" collapsed="false">
      <c r="A157" s="1" t="s">
        <v>43</v>
      </c>
      <c r="B157" s="1" t="s">
        <v>6</v>
      </c>
      <c r="C157" s="1" t="s">
        <v>7</v>
      </c>
      <c r="D157" s="1" t="s">
        <v>8</v>
      </c>
      <c r="E157" s="1" t="n">
        <v>1</v>
      </c>
      <c r="F157" s="2" t="n">
        <v>112816213</v>
      </c>
      <c r="G157" s="1" t="n">
        <v>49332934</v>
      </c>
      <c r="H157" s="1" t="n">
        <v>3132876</v>
      </c>
      <c r="I157" s="1" t="n">
        <v>2671636</v>
      </c>
    </row>
    <row r="158" customFormat="false" ht="12.8" hidden="false" customHeight="false" outlineLevel="0" collapsed="false">
      <c r="B158" s="1" t="s">
        <v>6</v>
      </c>
      <c r="C158" s="1" t="s">
        <v>7</v>
      </c>
      <c r="D158" s="1" t="s">
        <v>9</v>
      </c>
      <c r="E158" s="1" t="n">
        <v>2</v>
      </c>
      <c r="F158" s="3" t="n">
        <v>0</v>
      </c>
      <c r="G158" s="1" t="n">
        <v>0</v>
      </c>
      <c r="H158" s="1" t="n">
        <v>0</v>
      </c>
      <c r="I158" s="1" t="n">
        <v>0</v>
      </c>
    </row>
    <row r="159" customFormat="false" ht="12.8" hidden="false" customHeight="false" outlineLevel="0" collapsed="false">
      <c r="B159" s="1" t="s">
        <v>10</v>
      </c>
      <c r="C159" s="1" t="s">
        <v>7</v>
      </c>
      <c r="D159" s="1" t="s">
        <v>11</v>
      </c>
      <c r="E159" s="1" t="n">
        <v>3</v>
      </c>
      <c r="F159" s="2" t="n">
        <v>62771442</v>
      </c>
      <c r="G159" s="1" t="n">
        <v>17360771</v>
      </c>
      <c r="H159" s="1" t="n">
        <v>2784587</v>
      </c>
      <c r="I159" s="1" t="n">
        <v>2404129</v>
      </c>
    </row>
    <row r="160" customFormat="false" ht="12.8" hidden="false" customHeight="false" outlineLevel="0" collapsed="false">
      <c r="B160" s="1" t="s">
        <v>12</v>
      </c>
      <c r="C160" s="1" t="s">
        <v>7</v>
      </c>
      <c r="D160" s="1" t="s">
        <v>8</v>
      </c>
      <c r="E160" s="1" t="n">
        <v>4</v>
      </c>
      <c r="F160" s="2" t="n">
        <v>50044771</v>
      </c>
      <c r="G160" s="1" t="n">
        <v>31972163</v>
      </c>
      <c r="H160" s="1" t="n">
        <v>348289</v>
      </c>
      <c r="I160" s="1" t="n">
        <v>267507</v>
      </c>
    </row>
    <row r="161" customFormat="false" ht="12.8" hidden="false" customHeight="false" outlineLevel="0" collapsed="false">
      <c r="B161" s="1" t="s">
        <v>12</v>
      </c>
      <c r="C161" s="1" t="s">
        <v>7</v>
      </c>
      <c r="D161" s="1" t="s">
        <v>9</v>
      </c>
      <c r="E161" s="1" t="n">
        <v>5</v>
      </c>
      <c r="F161" s="3" t="n">
        <v>0</v>
      </c>
      <c r="G161" s="1" t="n">
        <v>0</v>
      </c>
      <c r="H161" s="1" t="n">
        <v>0</v>
      </c>
      <c r="I161" s="1" t="n">
        <v>0</v>
      </c>
    </row>
    <row r="162" customFormat="false" ht="12.8" hidden="false" customHeight="false" outlineLevel="0" collapsed="false">
      <c r="A162" s="1" t="s">
        <v>44</v>
      </c>
      <c r="B162" s="1" t="s">
        <v>6</v>
      </c>
      <c r="C162" s="1" t="s">
        <v>7</v>
      </c>
      <c r="D162" s="1" t="s">
        <v>8</v>
      </c>
      <c r="E162" s="1" t="n">
        <v>1</v>
      </c>
      <c r="F162" s="2" t="n">
        <v>28398498</v>
      </c>
      <c r="G162" s="1" t="n">
        <v>8237270</v>
      </c>
      <c r="H162" s="1" t="n">
        <v>3955227</v>
      </c>
      <c r="I162" s="1" t="n">
        <v>737747</v>
      </c>
    </row>
    <row r="163" customFormat="false" ht="12.8" hidden="false" customHeight="false" outlineLevel="0" collapsed="false">
      <c r="B163" s="1" t="s">
        <v>6</v>
      </c>
      <c r="C163" s="1" t="s">
        <v>7</v>
      </c>
      <c r="D163" s="1" t="s">
        <v>9</v>
      </c>
      <c r="E163" s="1" t="n">
        <v>2</v>
      </c>
      <c r="F163" s="3" t="n">
        <v>0</v>
      </c>
      <c r="G163" s="1" t="n">
        <v>0</v>
      </c>
      <c r="H163" s="1" t="n">
        <v>0</v>
      </c>
      <c r="I163" s="1" t="n">
        <v>0</v>
      </c>
    </row>
    <row r="164" customFormat="false" ht="12.8" hidden="false" customHeight="false" outlineLevel="0" collapsed="false">
      <c r="B164" s="1" t="s">
        <v>10</v>
      </c>
      <c r="C164" s="1" t="s">
        <v>7</v>
      </c>
      <c r="D164" s="1" t="s">
        <v>11</v>
      </c>
      <c r="E164" s="1" t="n">
        <v>3</v>
      </c>
      <c r="F164" s="2" t="n">
        <v>19379008</v>
      </c>
      <c r="G164" s="1" t="n">
        <v>3290372</v>
      </c>
      <c r="H164" s="1" t="n">
        <v>3671882</v>
      </c>
      <c r="I164" s="1" t="n">
        <v>560593</v>
      </c>
    </row>
    <row r="165" customFormat="false" ht="12.8" hidden="false" customHeight="false" outlineLevel="0" collapsed="false">
      <c r="B165" s="1" t="s">
        <v>12</v>
      </c>
      <c r="C165" s="1" t="s">
        <v>7</v>
      </c>
      <c r="D165" s="1" t="s">
        <v>8</v>
      </c>
      <c r="E165" s="1" t="n">
        <v>4</v>
      </c>
      <c r="F165" s="2" t="n">
        <v>9019490</v>
      </c>
      <c r="G165" s="1" t="n">
        <v>4946898</v>
      </c>
      <c r="H165" s="1" t="n">
        <v>283345</v>
      </c>
      <c r="I165" s="1" t="n">
        <v>177154</v>
      </c>
    </row>
    <row r="166" customFormat="false" ht="12.8" hidden="false" customHeight="false" outlineLevel="0" collapsed="false">
      <c r="B166" s="1" t="s">
        <v>12</v>
      </c>
      <c r="C166" s="1" t="s">
        <v>7</v>
      </c>
      <c r="D166" s="1" t="s">
        <v>9</v>
      </c>
      <c r="E166" s="1" t="n">
        <v>5</v>
      </c>
      <c r="F166" s="3" t="n">
        <v>0</v>
      </c>
      <c r="G166" s="1" t="n">
        <v>0</v>
      </c>
      <c r="H166" s="1" t="n">
        <v>0</v>
      </c>
      <c r="I166" s="1" t="n">
        <v>0</v>
      </c>
    </row>
    <row r="167" customFormat="false" ht="12.8" hidden="false" customHeight="false" outlineLevel="0" collapsed="false">
      <c r="A167" s="1" t="s">
        <v>45</v>
      </c>
      <c r="B167" s="1" t="s">
        <v>6</v>
      </c>
      <c r="C167" s="1" t="s">
        <v>7</v>
      </c>
      <c r="D167" s="1" t="s">
        <v>8</v>
      </c>
      <c r="E167" s="1" t="n">
        <v>1</v>
      </c>
      <c r="F167" s="2" t="n">
        <v>322994878</v>
      </c>
      <c r="G167" s="1" t="n">
        <v>99279279</v>
      </c>
      <c r="H167" s="1" t="n">
        <v>20607393</v>
      </c>
      <c r="I167" s="1" t="n">
        <v>9999231</v>
      </c>
    </row>
    <row r="168" customFormat="false" ht="12.8" hidden="false" customHeight="false" outlineLevel="0" collapsed="false">
      <c r="B168" s="1" t="s">
        <v>6</v>
      </c>
      <c r="C168" s="1" t="s">
        <v>7</v>
      </c>
      <c r="D168" s="1" t="s">
        <v>9</v>
      </c>
      <c r="E168" s="1" t="n">
        <v>2</v>
      </c>
      <c r="F168" s="3" t="n">
        <v>0</v>
      </c>
      <c r="G168" s="1" t="n">
        <v>0</v>
      </c>
      <c r="H168" s="1" t="n">
        <v>0</v>
      </c>
      <c r="I168" s="1" t="n">
        <v>0</v>
      </c>
    </row>
    <row r="169" customFormat="false" ht="12.8" hidden="false" customHeight="false" outlineLevel="0" collapsed="false">
      <c r="B169" s="1" t="s">
        <v>10</v>
      </c>
      <c r="C169" s="1" t="s">
        <v>7</v>
      </c>
      <c r="D169" s="1" t="s">
        <v>11</v>
      </c>
      <c r="E169" s="1" t="n">
        <v>3</v>
      </c>
      <c r="F169" s="2" t="n">
        <v>137101576</v>
      </c>
      <c r="G169" s="1" t="n">
        <v>13402343</v>
      </c>
      <c r="H169" s="1" t="n">
        <v>6925821</v>
      </c>
      <c r="I169" s="1" t="n">
        <v>5044699</v>
      </c>
    </row>
    <row r="170" customFormat="false" ht="12.8" hidden="false" customHeight="false" outlineLevel="0" collapsed="false">
      <c r="B170" s="1" t="s">
        <v>12</v>
      </c>
      <c r="C170" s="1" t="s">
        <v>7</v>
      </c>
      <c r="D170" s="1" t="s">
        <v>8</v>
      </c>
      <c r="E170" s="1" t="n">
        <v>4</v>
      </c>
      <c r="F170" s="2" t="n">
        <v>185893302</v>
      </c>
      <c r="G170" s="1" t="n">
        <v>85876936</v>
      </c>
      <c r="H170" s="1" t="n">
        <v>13681572</v>
      </c>
      <c r="I170" s="1" t="n">
        <v>4954532</v>
      </c>
    </row>
    <row r="171" customFormat="false" ht="12.8" hidden="false" customHeight="false" outlineLevel="0" collapsed="false">
      <c r="B171" s="1" t="s">
        <v>12</v>
      </c>
      <c r="C171" s="1" t="s">
        <v>7</v>
      </c>
      <c r="D171" s="1" t="s">
        <v>9</v>
      </c>
      <c r="E171" s="1" t="n">
        <v>5</v>
      </c>
      <c r="F171" s="3" t="n">
        <v>0</v>
      </c>
      <c r="G171" s="1" t="n">
        <v>0</v>
      </c>
      <c r="H171" s="1" t="n">
        <v>0</v>
      </c>
      <c r="I171" s="1" t="n">
        <v>0</v>
      </c>
    </row>
    <row r="172" customFormat="false" ht="12.8" hidden="false" customHeight="false" outlineLevel="0" collapsed="false">
      <c r="A172" s="1" t="s">
        <v>46</v>
      </c>
      <c r="B172" s="1" t="s">
        <v>6</v>
      </c>
      <c r="C172" s="1" t="s">
        <v>7</v>
      </c>
      <c r="D172" s="1" t="s">
        <v>8</v>
      </c>
      <c r="E172" s="1" t="n">
        <v>1</v>
      </c>
      <c r="F172" s="2" t="n">
        <v>101339422</v>
      </c>
      <c r="G172" s="1" t="n">
        <v>33580647</v>
      </c>
      <c r="H172" s="1" t="n">
        <v>13564071</v>
      </c>
      <c r="I172" s="1" t="n">
        <v>5569319</v>
      </c>
    </row>
    <row r="173" customFormat="false" ht="12.8" hidden="false" customHeight="false" outlineLevel="0" collapsed="false">
      <c r="B173" s="1" t="s">
        <v>6</v>
      </c>
      <c r="C173" s="1" t="s">
        <v>7</v>
      </c>
      <c r="D173" s="1" t="s">
        <v>9</v>
      </c>
      <c r="E173" s="1" t="n">
        <v>2</v>
      </c>
      <c r="F173" s="3" t="n">
        <v>0</v>
      </c>
      <c r="G173" s="1" t="n">
        <v>0</v>
      </c>
      <c r="H173" s="1" t="n">
        <v>0</v>
      </c>
      <c r="I173" s="1" t="n">
        <v>0</v>
      </c>
    </row>
    <row r="174" customFormat="false" ht="12.8" hidden="false" customHeight="false" outlineLevel="0" collapsed="false">
      <c r="B174" s="1" t="s">
        <v>10</v>
      </c>
      <c r="C174" s="1" t="s">
        <v>7</v>
      </c>
      <c r="D174" s="1" t="s">
        <v>11</v>
      </c>
      <c r="E174" s="1" t="n">
        <v>3</v>
      </c>
      <c r="F174" s="2" t="n">
        <v>47492411</v>
      </c>
      <c r="G174" s="1" t="n">
        <v>12400352</v>
      </c>
      <c r="H174" s="1" t="n">
        <v>3067010</v>
      </c>
      <c r="I174" s="1" t="n">
        <v>1374975</v>
      </c>
    </row>
    <row r="175" customFormat="false" ht="12.8" hidden="false" customHeight="false" outlineLevel="0" collapsed="false">
      <c r="B175" s="1" t="s">
        <v>12</v>
      </c>
      <c r="C175" s="1" t="s">
        <v>7</v>
      </c>
      <c r="D175" s="1" t="s">
        <v>8</v>
      </c>
      <c r="E175" s="1" t="n">
        <v>4</v>
      </c>
      <c r="F175" s="2" t="n">
        <v>53847011</v>
      </c>
      <c r="G175" s="1" t="n">
        <v>21180295</v>
      </c>
      <c r="H175" s="1" t="n">
        <v>10497061</v>
      </c>
      <c r="I175" s="1" t="n">
        <v>4194344</v>
      </c>
    </row>
    <row r="176" customFormat="false" ht="12.8" hidden="false" customHeight="false" outlineLevel="0" collapsed="false">
      <c r="B176" s="1" t="s">
        <v>12</v>
      </c>
      <c r="C176" s="1" t="s">
        <v>7</v>
      </c>
      <c r="D176" s="1" t="s">
        <v>9</v>
      </c>
      <c r="E176" s="1" t="n">
        <v>5</v>
      </c>
      <c r="F176" s="3" t="n">
        <v>0</v>
      </c>
      <c r="G176" s="1" t="n">
        <v>0</v>
      </c>
      <c r="H176" s="1" t="n">
        <v>0</v>
      </c>
      <c r="I176" s="1" t="n">
        <v>0</v>
      </c>
    </row>
    <row r="177" customFormat="false" ht="12.8" hidden="false" customHeight="false" outlineLevel="0" collapsed="false">
      <c r="A177" s="1" t="s">
        <v>47</v>
      </c>
      <c r="B177" s="1" t="s">
        <v>6</v>
      </c>
      <c r="C177" s="1" t="s">
        <v>7</v>
      </c>
      <c r="D177" s="1" t="s">
        <v>8</v>
      </c>
      <c r="E177" s="1" t="n">
        <v>1</v>
      </c>
      <c r="F177" s="2" t="n">
        <v>9243949</v>
      </c>
      <c r="G177" s="1" t="n">
        <v>3731643</v>
      </c>
      <c r="H177" s="1" t="n">
        <v>48378</v>
      </c>
      <c r="I177" s="1" t="n">
        <v>385043</v>
      </c>
    </row>
    <row r="178" customFormat="false" ht="12.8" hidden="false" customHeight="false" outlineLevel="0" collapsed="false">
      <c r="B178" s="1" t="s">
        <v>6</v>
      </c>
      <c r="C178" s="1" t="s">
        <v>7</v>
      </c>
      <c r="D178" s="1" t="s">
        <v>9</v>
      </c>
      <c r="E178" s="1" t="n">
        <v>2</v>
      </c>
      <c r="F178" s="3" t="n">
        <v>0</v>
      </c>
      <c r="G178" s="1" t="n">
        <v>0</v>
      </c>
      <c r="H178" s="1" t="n">
        <v>0</v>
      </c>
      <c r="I178" s="1" t="n">
        <v>0</v>
      </c>
    </row>
    <row r="179" customFormat="false" ht="12.8" hidden="false" customHeight="false" outlineLevel="0" collapsed="false">
      <c r="B179" s="1" t="s">
        <v>10</v>
      </c>
      <c r="C179" s="1" t="s">
        <v>7</v>
      </c>
      <c r="D179" s="1" t="s">
        <v>11</v>
      </c>
      <c r="E179" s="1" t="n">
        <v>3</v>
      </c>
      <c r="F179" s="2" t="n">
        <v>5267872</v>
      </c>
      <c r="G179" s="1" t="n">
        <v>1596146</v>
      </c>
      <c r="H179" s="1" t="n">
        <v>48292</v>
      </c>
      <c r="I179" s="1" t="n">
        <v>286377</v>
      </c>
    </row>
    <row r="180" customFormat="false" ht="12.8" hidden="false" customHeight="false" outlineLevel="0" collapsed="false">
      <c r="B180" s="1" t="s">
        <v>12</v>
      </c>
      <c r="C180" s="1" t="s">
        <v>7</v>
      </c>
      <c r="D180" s="1" t="s">
        <v>8</v>
      </c>
      <c r="E180" s="1" t="n">
        <v>4</v>
      </c>
      <c r="F180" s="2" t="n">
        <v>3976077</v>
      </c>
      <c r="G180" s="1" t="n">
        <v>2135497</v>
      </c>
      <c r="H180" s="1" t="n">
        <v>86</v>
      </c>
      <c r="I180" s="1" t="n">
        <v>98666</v>
      </c>
    </row>
    <row r="181" customFormat="false" ht="12.8" hidden="false" customHeight="false" outlineLevel="0" collapsed="false">
      <c r="B181" s="1" t="s">
        <v>12</v>
      </c>
      <c r="C181" s="1" t="s">
        <v>7</v>
      </c>
      <c r="D181" s="1" t="s">
        <v>9</v>
      </c>
      <c r="E181" s="1" t="n">
        <v>5</v>
      </c>
      <c r="F181" s="3" t="n">
        <v>0</v>
      </c>
      <c r="G181" s="1" t="n">
        <v>0</v>
      </c>
      <c r="H181" s="1" t="n">
        <v>0</v>
      </c>
      <c r="I181" s="1" t="n">
        <v>0</v>
      </c>
    </row>
    <row r="182" customFormat="false" ht="12.8" hidden="false" customHeight="false" outlineLevel="0" collapsed="false">
      <c r="A182" s="1" t="s">
        <v>48</v>
      </c>
      <c r="B182" s="1" t="s">
        <v>6</v>
      </c>
      <c r="C182" s="1" t="s">
        <v>7</v>
      </c>
      <c r="D182" s="1" t="s">
        <v>8</v>
      </c>
      <c r="E182" s="1" t="n">
        <v>1</v>
      </c>
      <c r="F182" s="2" t="n">
        <v>115523892</v>
      </c>
      <c r="G182" s="1" t="n">
        <v>40739149</v>
      </c>
      <c r="H182" s="1" t="n">
        <v>7562909</v>
      </c>
      <c r="I182" s="1" t="n">
        <v>3851152</v>
      </c>
    </row>
    <row r="183" customFormat="false" ht="12.8" hidden="false" customHeight="false" outlineLevel="0" collapsed="false">
      <c r="B183" s="1" t="s">
        <v>6</v>
      </c>
      <c r="C183" s="1" t="s">
        <v>7</v>
      </c>
      <c r="D183" s="1" t="s">
        <v>9</v>
      </c>
      <c r="E183" s="1" t="n">
        <v>2</v>
      </c>
      <c r="F183" s="3" t="n">
        <v>0</v>
      </c>
      <c r="G183" s="1" t="n">
        <v>0</v>
      </c>
      <c r="H183" s="1" t="n">
        <v>0</v>
      </c>
      <c r="I183" s="1" t="n">
        <v>0</v>
      </c>
    </row>
    <row r="184" customFormat="false" ht="12.8" hidden="false" customHeight="false" outlineLevel="0" collapsed="false">
      <c r="B184" s="1" t="s">
        <v>10</v>
      </c>
      <c r="C184" s="1" t="s">
        <v>7</v>
      </c>
      <c r="D184" s="1" t="s">
        <v>11</v>
      </c>
      <c r="E184" s="1" t="n">
        <v>3</v>
      </c>
      <c r="F184" s="2" t="n">
        <v>58714949</v>
      </c>
      <c r="G184" s="1" t="n">
        <v>11307380</v>
      </c>
      <c r="H184" s="1" t="n">
        <v>5613269</v>
      </c>
      <c r="I184" s="1" t="n">
        <v>1940722</v>
      </c>
    </row>
    <row r="185" customFormat="false" ht="12.8" hidden="false" customHeight="false" outlineLevel="0" collapsed="false">
      <c r="B185" s="1" t="s">
        <v>12</v>
      </c>
      <c r="C185" s="1" t="s">
        <v>7</v>
      </c>
      <c r="D185" s="1" t="s">
        <v>8</v>
      </c>
      <c r="E185" s="1" t="n">
        <v>4</v>
      </c>
      <c r="F185" s="2" t="n">
        <v>56808943</v>
      </c>
      <c r="G185" s="1" t="n">
        <v>29431769</v>
      </c>
      <c r="H185" s="1" t="n">
        <v>1949640</v>
      </c>
      <c r="I185" s="1" t="n">
        <v>1910430</v>
      </c>
    </row>
    <row r="186" customFormat="false" ht="12.8" hidden="false" customHeight="false" outlineLevel="0" collapsed="false">
      <c r="B186" s="1" t="s">
        <v>12</v>
      </c>
      <c r="C186" s="1" t="s">
        <v>7</v>
      </c>
      <c r="D186" s="1" t="s">
        <v>9</v>
      </c>
      <c r="E186" s="1" t="n">
        <v>5</v>
      </c>
      <c r="F186" s="3" t="n">
        <v>0</v>
      </c>
      <c r="G186" s="1" t="n">
        <v>0</v>
      </c>
      <c r="H186" s="1" t="n">
        <v>0</v>
      </c>
      <c r="I186" s="1" t="n">
        <v>0</v>
      </c>
    </row>
    <row r="187" customFormat="false" ht="12.8" hidden="false" customHeight="false" outlineLevel="0" collapsed="false">
      <c r="A187" s="1" t="s">
        <v>49</v>
      </c>
      <c r="B187" s="1" t="s">
        <v>6</v>
      </c>
      <c r="C187" s="1" t="s">
        <v>7</v>
      </c>
      <c r="D187" s="1" t="s">
        <v>8</v>
      </c>
      <c r="E187" s="1" t="n">
        <v>1</v>
      </c>
      <c r="F187" s="2" t="n">
        <v>33020622</v>
      </c>
      <c r="G187" s="1" t="n">
        <v>12438937</v>
      </c>
      <c r="H187" s="1" t="n">
        <v>1848215</v>
      </c>
      <c r="I187" s="1" t="n">
        <v>1342441</v>
      </c>
    </row>
    <row r="188" customFormat="false" ht="12.8" hidden="false" customHeight="false" outlineLevel="0" collapsed="false">
      <c r="B188" s="1" t="s">
        <v>6</v>
      </c>
      <c r="C188" s="1" t="s">
        <v>7</v>
      </c>
      <c r="D188" s="1" t="s">
        <v>9</v>
      </c>
      <c r="E188" s="1" t="n">
        <v>2</v>
      </c>
      <c r="F188" s="3" t="n">
        <v>0</v>
      </c>
      <c r="G188" s="1" t="n">
        <v>0</v>
      </c>
      <c r="H188" s="1" t="n">
        <v>0</v>
      </c>
      <c r="I188" s="1" t="n">
        <v>0</v>
      </c>
    </row>
    <row r="189" customFormat="false" ht="12.8" hidden="false" customHeight="false" outlineLevel="0" collapsed="false">
      <c r="B189" s="1" t="s">
        <v>10</v>
      </c>
      <c r="C189" s="1" t="s">
        <v>7</v>
      </c>
      <c r="D189" s="1" t="s">
        <v>11</v>
      </c>
      <c r="E189" s="1" t="n">
        <v>3</v>
      </c>
      <c r="F189" s="2" t="n">
        <v>18358145</v>
      </c>
      <c r="G189" s="1" t="n">
        <v>4798152</v>
      </c>
      <c r="H189" s="1" t="n">
        <v>365660</v>
      </c>
      <c r="I189" s="1" t="n">
        <v>1041643</v>
      </c>
    </row>
    <row r="190" customFormat="false" ht="12.8" hidden="false" customHeight="false" outlineLevel="0" collapsed="false">
      <c r="B190" s="1" t="s">
        <v>12</v>
      </c>
      <c r="C190" s="1" t="s">
        <v>7</v>
      </c>
      <c r="D190" s="1" t="s">
        <v>8</v>
      </c>
      <c r="E190" s="1" t="n">
        <v>4</v>
      </c>
      <c r="F190" s="2" t="n">
        <v>14662477</v>
      </c>
      <c r="G190" s="1" t="n">
        <v>7640785</v>
      </c>
      <c r="H190" s="1" t="n">
        <v>1482555</v>
      </c>
      <c r="I190" s="1" t="n">
        <v>300798</v>
      </c>
    </row>
    <row r="191" customFormat="false" ht="12.8" hidden="false" customHeight="false" outlineLevel="0" collapsed="false">
      <c r="B191" s="1" t="s">
        <v>12</v>
      </c>
      <c r="C191" s="1" t="s">
        <v>7</v>
      </c>
      <c r="D191" s="1" t="s">
        <v>9</v>
      </c>
      <c r="E191" s="1" t="n">
        <v>5</v>
      </c>
      <c r="F191" s="3" t="n">
        <v>0</v>
      </c>
      <c r="G191" s="1" t="n">
        <v>0</v>
      </c>
      <c r="H191" s="1" t="n">
        <v>0</v>
      </c>
      <c r="I191" s="1" t="n">
        <v>0</v>
      </c>
    </row>
    <row r="192" customFormat="false" ht="12.8" hidden="false" customHeight="false" outlineLevel="0" collapsed="false">
      <c r="A192" s="1" t="s">
        <v>50</v>
      </c>
      <c r="B192" s="1" t="s">
        <v>6</v>
      </c>
      <c r="C192" s="1" t="s">
        <v>7</v>
      </c>
      <c r="D192" s="1" t="s">
        <v>8</v>
      </c>
      <c r="E192" s="1" t="n">
        <v>1</v>
      </c>
      <c r="F192" s="2" t="n">
        <v>58357626</v>
      </c>
      <c r="G192" s="1" t="n">
        <v>18103105</v>
      </c>
      <c r="H192" s="1" t="n">
        <v>3942629</v>
      </c>
      <c r="I192" s="1" t="n">
        <v>3043769</v>
      </c>
    </row>
    <row r="193" customFormat="false" ht="12.8" hidden="false" customHeight="false" outlineLevel="0" collapsed="false">
      <c r="B193" s="1" t="s">
        <v>6</v>
      </c>
      <c r="C193" s="1" t="s">
        <v>7</v>
      </c>
      <c r="D193" s="1" t="s">
        <v>9</v>
      </c>
      <c r="E193" s="1" t="n">
        <v>2</v>
      </c>
      <c r="F193" s="3" t="n">
        <v>0</v>
      </c>
      <c r="G193" s="1" t="n">
        <v>0</v>
      </c>
      <c r="H193" s="1" t="n">
        <v>0</v>
      </c>
      <c r="I193" s="1" t="n">
        <v>0</v>
      </c>
    </row>
    <row r="194" customFormat="false" ht="12.8" hidden="false" customHeight="false" outlineLevel="0" collapsed="false">
      <c r="B194" s="1" t="s">
        <v>10</v>
      </c>
      <c r="C194" s="1" t="s">
        <v>7</v>
      </c>
      <c r="D194" s="1" t="s">
        <v>11</v>
      </c>
      <c r="E194" s="1" t="n">
        <v>3</v>
      </c>
      <c r="F194" s="2" t="n">
        <v>34720275</v>
      </c>
      <c r="G194" s="1" t="n">
        <v>6288355</v>
      </c>
      <c r="H194" s="1" t="n">
        <v>3422987</v>
      </c>
      <c r="I194" s="1" t="n">
        <v>2075558</v>
      </c>
    </row>
    <row r="195" customFormat="false" ht="12.8" hidden="false" customHeight="false" outlineLevel="0" collapsed="false">
      <c r="B195" s="1" t="s">
        <v>12</v>
      </c>
      <c r="C195" s="1" t="s">
        <v>7</v>
      </c>
      <c r="D195" s="1" t="s">
        <v>8</v>
      </c>
      <c r="E195" s="1" t="n">
        <v>4</v>
      </c>
      <c r="F195" s="2" t="n">
        <v>23637351</v>
      </c>
      <c r="G195" s="1" t="n">
        <v>11814750</v>
      </c>
      <c r="H195" s="1" t="n">
        <v>519642</v>
      </c>
      <c r="I195" s="1" t="n">
        <v>968211</v>
      </c>
    </row>
    <row r="196" customFormat="false" ht="12.8" hidden="false" customHeight="false" outlineLevel="0" collapsed="false">
      <c r="B196" s="1" t="s">
        <v>12</v>
      </c>
      <c r="C196" s="1" t="s">
        <v>7</v>
      </c>
      <c r="D196" s="1" t="s">
        <v>9</v>
      </c>
      <c r="E196" s="1" t="n">
        <v>5</v>
      </c>
      <c r="F196" s="3" t="n">
        <v>0</v>
      </c>
      <c r="G196" s="1" t="n">
        <v>0</v>
      </c>
      <c r="H196" s="1" t="n">
        <v>0</v>
      </c>
      <c r="I196" s="1" t="n">
        <v>0</v>
      </c>
    </row>
    <row r="197" customFormat="false" ht="12.8" hidden="false" customHeight="false" outlineLevel="0" collapsed="false">
      <c r="A197" s="1" t="s">
        <v>51</v>
      </c>
      <c r="B197" s="1" t="s">
        <v>6</v>
      </c>
      <c r="C197" s="1" t="s">
        <v>7</v>
      </c>
      <c r="D197" s="1" t="s">
        <v>8</v>
      </c>
      <c r="E197" s="1" t="n">
        <v>1</v>
      </c>
      <c r="F197" s="2" t="n">
        <v>143396913</v>
      </c>
      <c r="G197" s="1" t="n">
        <v>50232852</v>
      </c>
      <c r="H197" s="1" t="n">
        <v>6390687</v>
      </c>
      <c r="I197" s="1" t="n">
        <v>6909313</v>
      </c>
    </row>
    <row r="198" customFormat="false" ht="12.8" hidden="false" customHeight="false" outlineLevel="0" collapsed="false">
      <c r="B198" s="1" t="s">
        <v>6</v>
      </c>
      <c r="C198" s="1" t="s">
        <v>7</v>
      </c>
      <c r="D198" s="1" t="s">
        <v>9</v>
      </c>
      <c r="E198" s="1" t="n">
        <v>2</v>
      </c>
      <c r="F198" s="3" t="n">
        <v>0</v>
      </c>
      <c r="G198" s="1" t="n">
        <v>0</v>
      </c>
      <c r="H198" s="1" t="n">
        <v>0</v>
      </c>
      <c r="I198" s="1" t="n">
        <v>0</v>
      </c>
    </row>
    <row r="199" customFormat="false" ht="12.8" hidden="false" customHeight="false" outlineLevel="0" collapsed="false">
      <c r="B199" s="1" t="s">
        <v>10</v>
      </c>
      <c r="C199" s="1" t="s">
        <v>7</v>
      </c>
      <c r="D199" s="1" t="s">
        <v>11</v>
      </c>
      <c r="E199" s="1" t="n">
        <v>3</v>
      </c>
      <c r="F199" s="2" t="n">
        <v>73961209</v>
      </c>
      <c r="G199" s="1" t="n">
        <v>13509168</v>
      </c>
      <c r="H199" s="1" t="n">
        <v>6385397</v>
      </c>
      <c r="I199" s="1" t="n">
        <v>2973750</v>
      </c>
    </row>
    <row r="200" customFormat="false" ht="12.8" hidden="false" customHeight="false" outlineLevel="0" collapsed="false">
      <c r="B200" s="1" t="s">
        <v>12</v>
      </c>
      <c r="C200" s="1" t="s">
        <v>7</v>
      </c>
      <c r="D200" s="1" t="s">
        <v>8</v>
      </c>
      <c r="E200" s="1" t="n">
        <v>4</v>
      </c>
      <c r="F200" s="2" t="n">
        <v>69435704</v>
      </c>
      <c r="G200" s="1" t="n">
        <v>36723684</v>
      </c>
      <c r="H200" s="1" t="n">
        <v>5290</v>
      </c>
      <c r="I200" s="1" t="n">
        <v>3935563</v>
      </c>
    </row>
    <row r="201" customFormat="false" ht="12.8" hidden="false" customHeight="false" outlineLevel="0" collapsed="false">
      <c r="B201" s="1" t="s">
        <v>12</v>
      </c>
      <c r="C201" s="1" t="s">
        <v>7</v>
      </c>
      <c r="D201" s="1" t="s">
        <v>9</v>
      </c>
      <c r="E201" s="1" t="n">
        <v>5</v>
      </c>
      <c r="F201" s="3" t="n">
        <v>0</v>
      </c>
      <c r="G201" s="1" t="n">
        <v>0</v>
      </c>
      <c r="H201" s="1" t="n">
        <v>0</v>
      </c>
      <c r="I201" s="1" t="n">
        <v>0</v>
      </c>
    </row>
    <row r="202" customFormat="false" ht="12.8" hidden="false" customHeight="false" outlineLevel="0" collapsed="false">
      <c r="A202" s="1" t="s">
        <v>52</v>
      </c>
      <c r="B202" s="1" t="s">
        <v>6</v>
      </c>
      <c r="C202" s="1" t="s">
        <v>7</v>
      </c>
      <c r="D202" s="1" t="s">
        <v>8</v>
      </c>
      <c r="E202" s="1" t="n">
        <v>1</v>
      </c>
      <c r="F202" s="2" t="n">
        <v>13264578</v>
      </c>
      <c r="G202" s="1" t="n">
        <v>4449613</v>
      </c>
      <c r="H202" s="1" t="n">
        <v>77537</v>
      </c>
      <c r="I202" s="1" t="n">
        <v>778052</v>
      </c>
    </row>
    <row r="203" customFormat="false" ht="12.8" hidden="false" customHeight="false" outlineLevel="0" collapsed="false">
      <c r="B203" s="1" t="s">
        <v>6</v>
      </c>
      <c r="C203" s="1" t="s">
        <v>7</v>
      </c>
      <c r="D203" s="1" t="s">
        <v>9</v>
      </c>
      <c r="E203" s="1" t="n">
        <v>2</v>
      </c>
      <c r="F203" s="3" t="n">
        <v>0</v>
      </c>
      <c r="G203" s="1" t="n">
        <v>0</v>
      </c>
      <c r="H203" s="1" t="n">
        <v>0</v>
      </c>
      <c r="I203" s="1" t="n">
        <v>0</v>
      </c>
    </row>
    <row r="204" customFormat="false" ht="12.8" hidden="false" customHeight="false" outlineLevel="0" collapsed="false">
      <c r="B204" s="1" t="s">
        <v>10</v>
      </c>
      <c r="C204" s="1" t="s">
        <v>7</v>
      </c>
      <c r="D204" s="1" t="s">
        <v>11</v>
      </c>
      <c r="E204" s="1" t="n">
        <v>3</v>
      </c>
      <c r="F204" s="2" t="n">
        <v>8391036</v>
      </c>
      <c r="G204" s="1" t="n">
        <v>1404956</v>
      </c>
      <c r="H204" s="1" t="n">
        <v>77537</v>
      </c>
      <c r="I204" s="1" t="n">
        <v>748821</v>
      </c>
    </row>
    <row r="205" customFormat="false" ht="12.8" hidden="false" customHeight="false" outlineLevel="0" collapsed="false">
      <c r="B205" s="1" t="s">
        <v>12</v>
      </c>
      <c r="C205" s="1" t="s">
        <v>7</v>
      </c>
      <c r="D205" s="1" t="s">
        <v>8</v>
      </c>
      <c r="E205" s="1" t="n">
        <v>4</v>
      </c>
      <c r="F205" s="2" t="n">
        <v>4873542</v>
      </c>
      <c r="G205" s="1" t="n">
        <v>3044657</v>
      </c>
      <c r="H205" s="1" t="n">
        <v>0</v>
      </c>
      <c r="I205" s="1" t="n">
        <v>29231</v>
      </c>
    </row>
    <row r="206" customFormat="false" ht="12.8" hidden="false" customHeight="false" outlineLevel="0" collapsed="false">
      <c r="B206" s="1" t="s">
        <v>12</v>
      </c>
      <c r="C206" s="1" t="s">
        <v>7</v>
      </c>
      <c r="D206" s="1" t="s">
        <v>9</v>
      </c>
      <c r="E206" s="1" t="n">
        <v>5</v>
      </c>
      <c r="F206" s="3" t="n">
        <v>0</v>
      </c>
      <c r="G206" s="1" t="n">
        <v>0</v>
      </c>
      <c r="H206" s="1" t="n">
        <v>0</v>
      </c>
      <c r="I206" s="1" t="n">
        <v>0</v>
      </c>
    </row>
    <row r="207" customFormat="false" ht="12.8" hidden="false" customHeight="false" outlineLevel="0" collapsed="false">
      <c r="A207" s="1" t="s">
        <v>53</v>
      </c>
      <c r="B207" s="1" t="s">
        <v>6</v>
      </c>
      <c r="C207" s="1" t="s">
        <v>7</v>
      </c>
      <c r="D207" s="1" t="s">
        <v>8</v>
      </c>
      <c r="E207" s="1" t="n">
        <v>1</v>
      </c>
      <c r="F207" s="2" t="n">
        <v>51244439</v>
      </c>
      <c r="G207" s="1" t="n">
        <v>18752503</v>
      </c>
      <c r="H207" s="1" t="n">
        <v>9685666</v>
      </c>
      <c r="I207" s="1" t="n">
        <v>2058394</v>
      </c>
    </row>
    <row r="208" customFormat="false" ht="12.8" hidden="false" customHeight="false" outlineLevel="0" collapsed="false">
      <c r="B208" s="1" t="s">
        <v>6</v>
      </c>
      <c r="C208" s="1" t="s">
        <v>7</v>
      </c>
      <c r="D208" s="1" t="s">
        <v>9</v>
      </c>
      <c r="E208" s="1" t="n">
        <v>2</v>
      </c>
      <c r="F208" s="3" t="n">
        <v>0</v>
      </c>
      <c r="G208" s="1" t="n">
        <v>0</v>
      </c>
      <c r="H208" s="1" t="n">
        <v>0</v>
      </c>
      <c r="I208" s="1" t="n">
        <v>0</v>
      </c>
    </row>
    <row r="209" customFormat="false" ht="12.8" hidden="false" customHeight="false" outlineLevel="0" collapsed="false">
      <c r="B209" s="1" t="s">
        <v>10</v>
      </c>
      <c r="C209" s="1" t="s">
        <v>7</v>
      </c>
      <c r="D209" s="1" t="s">
        <v>11</v>
      </c>
      <c r="E209" s="1" t="n">
        <v>3</v>
      </c>
      <c r="F209" s="2" t="n">
        <v>27160180</v>
      </c>
      <c r="G209" s="1" t="n">
        <v>7608115</v>
      </c>
      <c r="H209" s="1" t="n">
        <v>3477180</v>
      </c>
      <c r="I209" s="1" t="n">
        <v>1788183</v>
      </c>
    </row>
    <row r="210" customFormat="false" ht="12.8" hidden="false" customHeight="false" outlineLevel="0" collapsed="false">
      <c r="B210" s="1" t="s">
        <v>12</v>
      </c>
      <c r="C210" s="1" t="s">
        <v>7</v>
      </c>
      <c r="D210" s="1" t="s">
        <v>8</v>
      </c>
      <c r="E210" s="1" t="n">
        <v>4</v>
      </c>
      <c r="F210" s="2" t="n">
        <v>24084259</v>
      </c>
      <c r="G210" s="1" t="n">
        <v>11144388</v>
      </c>
      <c r="H210" s="1" t="n">
        <v>6208486</v>
      </c>
      <c r="I210" s="1" t="n">
        <v>270211</v>
      </c>
    </row>
    <row r="211" customFormat="false" ht="12.8" hidden="false" customHeight="false" outlineLevel="0" collapsed="false">
      <c r="B211" s="1" t="s">
        <v>12</v>
      </c>
      <c r="C211" s="1" t="s">
        <v>7</v>
      </c>
      <c r="D211" s="1" t="s">
        <v>9</v>
      </c>
      <c r="E211" s="1" t="n">
        <v>5</v>
      </c>
      <c r="F211" s="3" t="n">
        <v>0</v>
      </c>
      <c r="G211" s="1" t="n">
        <v>0</v>
      </c>
      <c r="H211" s="1" t="n">
        <v>0</v>
      </c>
      <c r="I211" s="1" t="n">
        <v>0</v>
      </c>
    </row>
    <row r="212" customFormat="false" ht="12.8" hidden="false" customHeight="false" outlineLevel="0" collapsed="false">
      <c r="A212" s="1" t="s">
        <v>54</v>
      </c>
      <c r="B212" s="1" t="s">
        <v>6</v>
      </c>
      <c r="C212" s="1" t="s">
        <v>7</v>
      </c>
      <c r="D212" s="1" t="s">
        <v>8</v>
      </c>
      <c r="E212" s="1" t="n">
        <v>1</v>
      </c>
      <c r="F212" s="2" t="n">
        <v>7543138</v>
      </c>
      <c r="G212" s="1" t="n">
        <v>2878369</v>
      </c>
      <c r="H212" s="1" t="n">
        <v>132027</v>
      </c>
      <c r="I212" s="1" t="n">
        <v>184717</v>
      </c>
    </row>
    <row r="213" customFormat="false" ht="12.8" hidden="false" customHeight="false" outlineLevel="0" collapsed="false">
      <c r="B213" s="1" t="s">
        <v>6</v>
      </c>
      <c r="C213" s="1" t="s">
        <v>7</v>
      </c>
      <c r="D213" s="1" t="s">
        <v>9</v>
      </c>
      <c r="E213" s="1" t="n">
        <v>2</v>
      </c>
      <c r="F213" s="3" t="n">
        <v>0</v>
      </c>
      <c r="G213" s="1" t="n">
        <v>0</v>
      </c>
      <c r="H213" s="1" t="n">
        <v>0</v>
      </c>
      <c r="I213" s="1" t="n">
        <v>0</v>
      </c>
    </row>
    <row r="214" customFormat="false" ht="12.8" hidden="false" customHeight="false" outlineLevel="0" collapsed="false">
      <c r="B214" s="1" t="s">
        <v>10</v>
      </c>
      <c r="C214" s="1" t="s">
        <v>7</v>
      </c>
      <c r="D214" s="1" t="s">
        <v>11</v>
      </c>
      <c r="E214" s="1" t="n">
        <v>3</v>
      </c>
      <c r="F214" s="2" t="n">
        <v>3883133</v>
      </c>
      <c r="G214" s="1" t="n">
        <v>885840</v>
      </c>
      <c r="H214" s="1" t="n">
        <v>45411</v>
      </c>
      <c r="I214" s="1" t="n">
        <v>147511</v>
      </c>
    </row>
    <row r="215" customFormat="false" ht="12.8" hidden="false" customHeight="false" outlineLevel="0" collapsed="false">
      <c r="B215" s="1" t="s">
        <v>12</v>
      </c>
      <c r="C215" s="1" t="s">
        <v>7</v>
      </c>
      <c r="D215" s="1" t="s">
        <v>8</v>
      </c>
      <c r="E215" s="1" t="n">
        <v>4</v>
      </c>
      <c r="F215" s="2" t="n">
        <v>3660005</v>
      </c>
      <c r="G215" s="1" t="n">
        <v>1992529</v>
      </c>
      <c r="H215" s="1" t="n">
        <v>86616</v>
      </c>
      <c r="I215" s="1" t="n">
        <v>37206</v>
      </c>
    </row>
    <row r="216" customFormat="false" ht="12.8" hidden="false" customHeight="false" outlineLevel="0" collapsed="false">
      <c r="B216" s="1" t="s">
        <v>12</v>
      </c>
      <c r="C216" s="1" t="s">
        <v>7</v>
      </c>
      <c r="D216" s="1" t="s">
        <v>9</v>
      </c>
      <c r="E216" s="1" t="n">
        <v>5</v>
      </c>
      <c r="F216" s="3" t="n">
        <v>0</v>
      </c>
      <c r="G216" s="1" t="n">
        <v>0</v>
      </c>
      <c r="H216" s="1" t="n">
        <v>0</v>
      </c>
      <c r="I216" s="1" t="n">
        <v>0</v>
      </c>
    </row>
    <row r="217" customFormat="false" ht="12.8" hidden="false" customHeight="false" outlineLevel="0" collapsed="false">
      <c r="A217" s="1" t="s">
        <v>55</v>
      </c>
      <c r="B217" s="1" t="s">
        <v>6</v>
      </c>
      <c r="C217" s="1" t="s">
        <v>7</v>
      </c>
      <c r="D217" s="1" t="s">
        <v>8</v>
      </c>
      <c r="E217" s="1" t="n">
        <v>1</v>
      </c>
      <c r="F217" s="2" t="n">
        <v>60423472</v>
      </c>
      <c r="G217" s="1" t="n">
        <v>18116855</v>
      </c>
      <c r="H217" s="1" t="n">
        <v>4642264</v>
      </c>
      <c r="I217" s="1" t="n">
        <v>2366025</v>
      </c>
    </row>
    <row r="218" customFormat="false" ht="12.8" hidden="false" customHeight="false" outlineLevel="0" collapsed="false">
      <c r="B218" s="1" t="s">
        <v>6</v>
      </c>
      <c r="C218" s="1" t="s">
        <v>7</v>
      </c>
      <c r="D218" s="1" t="s">
        <v>9</v>
      </c>
      <c r="E218" s="1" t="n">
        <v>2</v>
      </c>
      <c r="F218" s="3" t="n">
        <v>0</v>
      </c>
      <c r="G218" s="1" t="n">
        <v>0</v>
      </c>
      <c r="H218" s="1" t="n">
        <v>0</v>
      </c>
      <c r="I218" s="1" t="n">
        <v>0</v>
      </c>
    </row>
    <row r="219" customFormat="false" ht="12.8" hidden="false" customHeight="false" outlineLevel="0" collapsed="false">
      <c r="B219" s="1" t="s">
        <v>10</v>
      </c>
      <c r="C219" s="1" t="s">
        <v>7</v>
      </c>
      <c r="D219" s="1" t="s">
        <v>11</v>
      </c>
      <c r="E219" s="1" t="n">
        <v>3</v>
      </c>
      <c r="F219" s="2" t="n">
        <v>26316912</v>
      </c>
      <c r="G219" s="1" t="n">
        <v>5838727</v>
      </c>
      <c r="H219" s="1" t="n">
        <v>472496</v>
      </c>
      <c r="I219" s="1" t="n">
        <v>1872164</v>
      </c>
    </row>
    <row r="220" customFormat="false" ht="12.8" hidden="false" customHeight="false" outlineLevel="0" collapsed="false">
      <c r="B220" s="1" t="s">
        <v>12</v>
      </c>
      <c r="C220" s="1" t="s">
        <v>7</v>
      </c>
      <c r="D220" s="1" t="s">
        <v>8</v>
      </c>
      <c r="E220" s="1" t="n">
        <v>4</v>
      </c>
      <c r="F220" s="2" t="n">
        <v>34106560</v>
      </c>
      <c r="G220" s="1" t="n">
        <v>12278128</v>
      </c>
      <c r="H220" s="1" t="n">
        <v>4169768</v>
      </c>
      <c r="I220" s="1" t="n">
        <v>493861</v>
      </c>
    </row>
    <row r="221" customFormat="false" ht="12.8" hidden="false" customHeight="false" outlineLevel="0" collapsed="false">
      <c r="B221" s="1" t="s">
        <v>12</v>
      </c>
      <c r="C221" s="1" t="s">
        <v>7</v>
      </c>
      <c r="D221" s="1" t="s">
        <v>9</v>
      </c>
      <c r="E221" s="1" t="n">
        <v>5</v>
      </c>
      <c r="F221" s="3" t="n">
        <v>0</v>
      </c>
      <c r="G221" s="1" t="n">
        <v>0</v>
      </c>
      <c r="H221" s="1" t="n">
        <v>0</v>
      </c>
      <c r="I221" s="1" t="n">
        <v>0</v>
      </c>
    </row>
    <row r="222" customFormat="false" ht="12.8" hidden="false" customHeight="false" outlineLevel="0" collapsed="false">
      <c r="A222" s="1" t="s">
        <v>56</v>
      </c>
      <c r="B222" s="1" t="s">
        <v>6</v>
      </c>
      <c r="C222" s="1" t="s">
        <v>7</v>
      </c>
      <c r="D222" s="1" t="s">
        <v>8</v>
      </c>
      <c r="E222" s="1" t="n">
        <v>1</v>
      </c>
      <c r="F222" s="2" t="n">
        <v>268480815</v>
      </c>
      <c r="G222" s="1" t="n">
        <v>109360580</v>
      </c>
      <c r="H222" s="1" t="n">
        <v>27728263</v>
      </c>
      <c r="I222" s="1" t="n">
        <v>10370753</v>
      </c>
    </row>
    <row r="223" customFormat="false" ht="12.8" hidden="false" customHeight="false" outlineLevel="0" collapsed="false">
      <c r="B223" s="1" t="s">
        <v>6</v>
      </c>
      <c r="C223" s="1" t="s">
        <v>7</v>
      </c>
      <c r="D223" s="1" t="s">
        <v>9</v>
      </c>
      <c r="E223" s="1" t="n">
        <v>2</v>
      </c>
      <c r="F223" s="3" t="n">
        <v>0</v>
      </c>
      <c r="G223" s="1" t="n">
        <v>0</v>
      </c>
      <c r="H223" s="1" t="n">
        <v>0</v>
      </c>
      <c r="I223" s="1" t="n">
        <v>0</v>
      </c>
    </row>
    <row r="224" customFormat="false" ht="12.8" hidden="false" customHeight="false" outlineLevel="0" collapsed="false">
      <c r="B224" s="1" t="s">
        <v>10</v>
      </c>
      <c r="C224" s="1" t="s">
        <v>7</v>
      </c>
      <c r="D224" s="1" t="s">
        <v>11</v>
      </c>
      <c r="E224" s="1" t="n">
        <v>3</v>
      </c>
      <c r="F224" s="2" t="n">
        <v>125692726</v>
      </c>
      <c r="G224" s="1" t="n">
        <v>33501255</v>
      </c>
      <c r="H224" s="1" t="n">
        <v>10566267</v>
      </c>
      <c r="I224" s="1" t="n">
        <v>6210721</v>
      </c>
    </row>
    <row r="225" customFormat="false" ht="12.8" hidden="false" customHeight="false" outlineLevel="0" collapsed="false">
      <c r="B225" s="1" t="s">
        <v>12</v>
      </c>
      <c r="C225" s="1" t="s">
        <v>7</v>
      </c>
      <c r="D225" s="1" t="s">
        <v>8</v>
      </c>
      <c r="E225" s="1" t="n">
        <v>4</v>
      </c>
      <c r="F225" s="2" t="n">
        <v>142788089</v>
      </c>
      <c r="G225" s="1" t="n">
        <v>75859325</v>
      </c>
      <c r="H225" s="1" t="n">
        <v>17161996</v>
      </c>
      <c r="I225" s="1" t="n">
        <v>4160032</v>
      </c>
    </row>
    <row r="226" customFormat="false" ht="12.8" hidden="false" customHeight="false" outlineLevel="0" collapsed="false">
      <c r="B226" s="1" t="s">
        <v>12</v>
      </c>
      <c r="C226" s="1" t="s">
        <v>7</v>
      </c>
      <c r="D226" s="1" t="s">
        <v>9</v>
      </c>
      <c r="E226" s="1" t="n">
        <v>5</v>
      </c>
      <c r="F226" s="3" t="n">
        <v>0</v>
      </c>
      <c r="G226" s="1" t="n">
        <v>0</v>
      </c>
      <c r="H226" s="1" t="n">
        <v>0</v>
      </c>
      <c r="I226" s="1" t="n">
        <v>0</v>
      </c>
    </row>
    <row r="227" customFormat="false" ht="12.8" hidden="false" customHeight="false" outlineLevel="0" collapsed="false">
      <c r="A227" s="1" t="s">
        <v>57</v>
      </c>
      <c r="B227" s="1" t="s">
        <v>6</v>
      </c>
      <c r="C227" s="1" t="s">
        <v>7</v>
      </c>
      <c r="D227" s="1" t="s">
        <v>8</v>
      </c>
      <c r="E227" s="1" t="n">
        <v>1</v>
      </c>
      <c r="F227" s="2" t="n">
        <v>36016348</v>
      </c>
      <c r="G227" s="1" t="n">
        <v>13851896</v>
      </c>
      <c r="H227" s="1" t="n">
        <v>3563476</v>
      </c>
      <c r="I227" s="1" t="n">
        <v>1464503</v>
      </c>
    </row>
    <row r="228" customFormat="false" ht="12.8" hidden="false" customHeight="false" outlineLevel="0" collapsed="false">
      <c r="B228" s="1" t="s">
        <v>6</v>
      </c>
      <c r="C228" s="1" t="s">
        <v>7</v>
      </c>
      <c r="D228" s="1" t="s">
        <v>9</v>
      </c>
      <c r="E228" s="1" t="n">
        <v>2</v>
      </c>
      <c r="F228" s="3" t="n">
        <v>0</v>
      </c>
      <c r="G228" s="1" t="n">
        <v>0</v>
      </c>
      <c r="H228" s="1" t="n">
        <v>0</v>
      </c>
      <c r="I228" s="1" t="n">
        <v>0</v>
      </c>
    </row>
    <row r="229" customFormat="false" ht="12.8" hidden="false" customHeight="false" outlineLevel="0" collapsed="false">
      <c r="B229" s="1" t="s">
        <v>10</v>
      </c>
      <c r="C229" s="1" t="s">
        <v>7</v>
      </c>
      <c r="D229" s="1" t="s">
        <v>11</v>
      </c>
      <c r="E229" s="1" t="n">
        <v>3</v>
      </c>
      <c r="F229" s="2" t="n">
        <v>19592836</v>
      </c>
      <c r="G229" s="1" t="n">
        <v>7076741</v>
      </c>
      <c r="H229" s="1" t="n">
        <v>3001509</v>
      </c>
      <c r="I229" s="1" t="n">
        <v>668016</v>
      </c>
    </row>
    <row r="230" customFormat="false" ht="12.8" hidden="false" customHeight="false" outlineLevel="0" collapsed="false">
      <c r="B230" s="1" t="s">
        <v>12</v>
      </c>
      <c r="C230" s="1" t="s">
        <v>7</v>
      </c>
      <c r="D230" s="1" t="s">
        <v>8</v>
      </c>
      <c r="E230" s="1" t="n">
        <v>4</v>
      </c>
      <c r="F230" s="2" t="n">
        <v>16423512</v>
      </c>
      <c r="G230" s="1" t="n">
        <v>6775155</v>
      </c>
      <c r="H230" s="1" t="n">
        <v>561967</v>
      </c>
      <c r="I230" s="1" t="n">
        <v>796487</v>
      </c>
    </row>
    <row r="231" customFormat="false" ht="12.8" hidden="false" customHeight="false" outlineLevel="0" collapsed="false">
      <c r="B231" s="1" t="s">
        <v>12</v>
      </c>
      <c r="C231" s="1" t="s">
        <v>7</v>
      </c>
      <c r="D231" s="1" t="s">
        <v>9</v>
      </c>
      <c r="E231" s="1" t="n">
        <v>5</v>
      </c>
      <c r="F231" s="3" t="n">
        <v>0</v>
      </c>
      <c r="G231" s="1" t="n">
        <v>0</v>
      </c>
      <c r="H231" s="1" t="n">
        <v>0</v>
      </c>
      <c r="I231" s="1" t="n">
        <v>0</v>
      </c>
    </row>
    <row r="232" customFormat="false" ht="12.8" hidden="false" customHeight="false" outlineLevel="0" collapsed="false">
      <c r="A232" s="1" t="s">
        <v>58</v>
      </c>
      <c r="B232" s="1" t="s">
        <v>6</v>
      </c>
      <c r="C232" s="1" t="s">
        <v>7</v>
      </c>
      <c r="D232" s="1" t="s">
        <v>8</v>
      </c>
      <c r="E232" s="1" t="n">
        <v>1</v>
      </c>
      <c r="F232" s="2" t="n">
        <v>8937090</v>
      </c>
      <c r="G232" s="1" t="n">
        <v>3551024</v>
      </c>
      <c r="H232" s="1" t="n">
        <v>31713</v>
      </c>
      <c r="I232" s="1" t="n">
        <v>497062</v>
      </c>
    </row>
    <row r="233" customFormat="false" ht="12.8" hidden="false" customHeight="false" outlineLevel="0" collapsed="false">
      <c r="B233" s="1" t="s">
        <v>6</v>
      </c>
      <c r="C233" s="1" t="s">
        <v>7</v>
      </c>
      <c r="D233" s="1" t="s">
        <v>9</v>
      </c>
      <c r="E233" s="1" t="n">
        <v>2</v>
      </c>
      <c r="F233" s="3" t="n">
        <v>0</v>
      </c>
      <c r="G233" s="1" t="n">
        <v>0</v>
      </c>
      <c r="H233" s="1" t="n">
        <v>0</v>
      </c>
      <c r="I233" s="1" t="n">
        <v>0</v>
      </c>
    </row>
    <row r="234" customFormat="false" ht="12.8" hidden="false" customHeight="false" outlineLevel="0" collapsed="false">
      <c r="B234" s="1" t="s">
        <v>10</v>
      </c>
      <c r="C234" s="1" t="s">
        <v>7</v>
      </c>
      <c r="D234" s="1" t="s">
        <v>11</v>
      </c>
      <c r="E234" s="1" t="n">
        <v>3</v>
      </c>
      <c r="F234" s="2" t="n">
        <v>5777938</v>
      </c>
      <c r="G234" s="1" t="n">
        <v>1526608</v>
      </c>
      <c r="H234" s="1" t="n">
        <v>31713</v>
      </c>
      <c r="I234" s="1" t="n">
        <v>485805</v>
      </c>
    </row>
    <row r="235" customFormat="false" ht="12.8" hidden="false" customHeight="false" outlineLevel="0" collapsed="false">
      <c r="B235" s="1" t="s">
        <v>12</v>
      </c>
      <c r="C235" s="1" t="s">
        <v>7</v>
      </c>
      <c r="D235" s="1" t="s">
        <v>8</v>
      </c>
      <c r="E235" s="1" t="n">
        <v>4</v>
      </c>
      <c r="F235" s="2" t="n">
        <v>3159152</v>
      </c>
      <c r="G235" s="1" t="n">
        <v>2024416</v>
      </c>
      <c r="H235" s="1" t="n">
        <v>0</v>
      </c>
      <c r="I235" s="1" t="n">
        <v>11257</v>
      </c>
    </row>
    <row r="236" customFormat="false" ht="12.8" hidden="false" customHeight="false" outlineLevel="0" collapsed="false">
      <c r="B236" s="1" t="s">
        <v>12</v>
      </c>
      <c r="C236" s="1" t="s">
        <v>7</v>
      </c>
      <c r="D236" s="1" t="s">
        <v>9</v>
      </c>
      <c r="E236" s="1" t="n">
        <v>5</v>
      </c>
      <c r="F236" s="3" t="n">
        <v>0</v>
      </c>
      <c r="G236" s="1" t="n">
        <v>0</v>
      </c>
      <c r="H236" s="1" t="n">
        <v>0</v>
      </c>
      <c r="I236" s="1" t="n">
        <v>0</v>
      </c>
    </row>
    <row r="237" customFormat="false" ht="12.8" hidden="false" customHeight="false" outlineLevel="0" collapsed="false">
      <c r="A237" s="1" t="s">
        <v>59</v>
      </c>
      <c r="B237" s="1" t="s">
        <v>6</v>
      </c>
      <c r="C237" s="1" t="s">
        <v>7</v>
      </c>
      <c r="D237" s="1" t="s">
        <v>8</v>
      </c>
      <c r="E237" s="1" t="n">
        <v>1</v>
      </c>
      <c r="F237" s="2" t="n">
        <v>88522773</v>
      </c>
      <c r="G237" s="1" t="n">
        <v>31848853</v>
      </c>
      <c r="H237" s="1" t="n">
        <v>6109859</v>
      </c>
      <c r="I237" s="1" t="n">
        <v>3828780</v>
      </c>
    </row>
    <row r="238" customFormat="false" ht="12.8" hidden="false" customHeight="false" outlineLevel="0" collapsed="false">
      <c r="B238" s="1" t="s">
        <v>6</v>
      </c>
      <c r="C238" s="1" t="s">
        <v>7</v>
      </c>
      <c r="D238" s="1" t="s">
        <v>9</v>
      </c>
      <c r="E238" s="1" t="n">
        <v>2</v>
      </c>
      <c r="F238" s="3" t="n">
        <v>0</v>
      </c>
      <c r="G238" s="1" t="n">
        <v>0</v>
      </c>
      <c r="H238" s="1" t="n">
        <v>0</v>
      </c>
      <c r="I238" s="1" t="n">
        <v>0</v>
      </c>
    </row>
    <row r="239" customFormat="false" ht="12.8" hidden="false" customHeight="false" outlineLevel="0" collapsed="false">
      <c r="B239" s="1" t="s">
        <v>10</v>
      </c>
      <c r="C239" s="1" t="s">
        <v>7</v>
      </c>
      <c r="D239" s="1" t="s">
        <v>11</v>
      </c>
      <c r="E239" s="1" t="n">
        <v>3</v>
      </c>
      <c r="F239" s="2" t="n">
        <v>47149400</v>
      </c>
      <c r="G239" s="1" t="n">
        <v>11376813</v>
      </c>
      <c r="H239" s="1" t="n">
        <v>5626116</v>
      </c>
      <c r="I239" s="1" t="n">
        <v>1670317</v>
      </c>
    </row>
    <row r="240" customFormat="false" ht="12.8" hidden="false" customHeight="false" outlineLevel="0" collapsed="false">
      <c r="B240" s="1" t="s">
        <v>12</v>
      </c>
      <c r="C240" s="1" t="s">
        <v>7</v>
      </c>
      <c r="D240" s="1" t="s">
        <v>8</v>
      </c>
      <c r="E240" s="1" t="n">
        <v>4</v>
      </c>
      <c r="F240" s="2" t="n">
        <v>41373373</v>
      </c>
      <c r="G240" s="1" t="n">
        <v>20472040</v>
      </c>
      <c r="H240" s="1" t="n">
        <v>483743</v>
      </c>
      <c r="I240" s="1" t="n">
        <v>2158463</v>
      </c>
    </row>
    <row r="241" customFormat="false" ht="12.8" hidden="false" customHeight="false" outlineLevel="0" collapsed="false">
      <c r="B241" s="1" t="s">
        <v>12</v>
      </c>
      <c r="C241" s="1" t="s">
        <v>7</v>
      </c>
      <c r="D241" s="1" t="s">
        <v>9</v>
      </c>
      <c r="E241" s="1" t="n">
        <v>5</v>
      </c>
      <c r="F241" s="3" t="n">
        <v>0</v>
      </c>
      <c r="G241" s="1" t="n">
        <v>0</v>
      </c>
      <c r="H241" s="1" t="n">
        <v>0</v>
      </c>
      <c r="I241" s="1" t="n">
        <v>0</v>
      </c>
    </row>
    <row r="242" customFormat="false" ht="12.8" hidden="false" customHeight="false" outlineLevel="0" collapsed="false">
      <c r="A242" s="1" t="s">
        <v>60</v>
      </c>
      <c r="B242" s="1" t="s">
        <v>6</v>
      </c>
      <c r="C242" s="1" t="s">
        <v>7</v>
      </c>
      <c r="D242" s="1" t="s">
        <v>8</v>
      </c>
      <c r="E242" s="1" t="n">
        <v>1</v>
      </c>
      <c r="F242" s="2" t="n">
        <v>91929810</v>
      </c>
      <c r="G242" s="1" t="n">
        <v>32074756</v>
      </c>
      <c r="H242" s="1" t="n">
        <v>8801123</v>
      </c>
      <c r="I242" s="1" t="n">
        <v>6821545</v>
      </c>
    </row>
    <row r="243" customFormat="false" ht="12.8" hidden="false" customHeight="false" outlineLevel="0" collapsed="false">
      <c r="B243" s="1" t="s">
        <v>6</v>
      </c>
      <c r="C243" s="1" t="s">
        <v>7</v>
      </c>
      <c r="D243" s="1" t="s">
        <v>9</v>
      </c>
      <c r="E243" s="1" t="n">
        <v>2</v>
      </c>
      <c r="F243" s="3" t="n">
        <v>0</v>
      </c>
      <c r="G243" s="1" t="n">
        <v>0</v>
      </c>
      <c r="H243" s="1" t="n">
        <v>0</v>
      </c>
      <c r="I243" s="1" t="n">
        <v>0</v>
      </c>
    </row>
    <row r="244" customFormat="false" ht="12.8" hidden="false" customHeight="false" outlineLevel="0" collapsed="false">
      <c r="B244" s="1" t="s">
        <v>10</v>
      </c>
      <c r="C244" s="1" t="s">
        <v>7</v>
      </c>
      <c r="D244" s="1" t="s">
        <v>11</v>
      </c>
      <c r="E244" s="1" t="n">
        <v>3</v>
      </c>
      <c r="F244" s="2" t="n">
        <v>41374638</v>
      </c>
      <c r="G244" s="1" t="n">
        <v>10577235</v>
      </c>
      <c r="H244" s="1" t="n">
        <v>4605744</v>
      </c>
      <c r="I244" s="1" t="n">
        <v>4935745</v>
      </c>
    </row>
    <row r="245" customFormat="false" ht="12.8" hidden="false" customHeight="false" outlineLevel="0" collapsed="false">
      <c r="B245" s="1" t="s">
        <v>12</v>
      </c>
      <c r="C245" s="1" t="s">
        <v>7</v>
      </c>
      <c r="D245" s="1" t="s">
        <v>8</v>
      </c>
      <c r="E245" s="1" t="n">
        <v>4</v>
      </c>
      <c r="F245" s="2" t="n">
        <v>50555172</v>
      </c>
      <c r="G245" s="1" t="n">
        <v>21497521</v>
      </c>
      <c r="H245" s="1" t="n">
        <v>4195379</v>
      </c>
      <c r="I245" s="1" t="n">
        <v>1885800</v>
      </c>
    </row>
    <row r="246" customFormat="false" ht="12.8" hidden="false" customHeight="false" outlineLevel="0" collapsed="false">
      <c r="B246" s="1" t="s">
        <v>12</v>
      </c>
      <c r="C246" s="1" t="s">
        <v>7</v>
      </c>
      <c r="D246" s="1" t="s">
        <v>9</v>
      </c>
      <c r="E246" s="1" t="n">
        <v>5</v>
      </c>
      <c r="F246" s="3" t="n">
        <v>0</v>
      </c>
      <c r="G246" s="1" t="n">
        <v>0</v>
      </c>
      <c r="H246" s="1" t="n">
        <v>0</v>
      </c>
      <c r="I246" s="1" t="n">
        <v>0</v>
      </c>
    </row>
    <row r="247" customFormat="false" ht="12.8" hidden="false" customHeight="false" outlineLevel="0" collapsed="false">
      <c r="A247" s="1" t="s">
        <v>61</v>
      </c>
      <c r="B247" s="1" t="s">
        <v>6</v>
      </c>
      <c r="C247" s="1" t="s">
        <v>7</v>
      </c>
      <c r="D247" s="1" t="s">
        <v>8</v>
      </c>
      <c r="E247" s="1" t="n">
        <v>1</v>
      </c>
      <c r="F247" s="2" t="n">
        <v>18268005</v>
      </c>
      <c r="G247" s="1" t="n">
        <v>6319946</v>
      </c>
      <c r="H247" s="1" t="n">
        <v>538370</v>
      </c>
      <c r="I247" s="1" t="n">
        <v>519541</v>
      </c>
    </row>
    <row r="248" customFormat="false" ht="12.8" hidden="false" customHeight="false" outlineLevel="0" collapsed="false">
      <c r="B248" s="1" t="s">
        <v>6</v>
      </c>
      <c r="C248" s="1" t="s">
        <v>7</v>
      </c>
      <c r="D248" s="1" t="s">
        <v>9</v>
      </c>
      <c r="E248" s="1" t="n">
        <v>2</v>
      </c>
      <c r="F248" s="3" t="n">
        <v>0</v>
      </c>
      <c r="G248" s="1" t="n">
        <v>0</v>
      </c>
      <c r="H248" s="1" t="n">
        <v>0</v>
      </c>
      <c r="I248" s="1" t="n">
        <v>0</v>
      </c>
    </row>
    <row r="249" customFormat="false" ht="12.8" hidden="false" customHeight="false" outlineLevel="0" collapsed="false">
      <c r="B249" s="1" t="s">
        <v>10</v>
      </c>
      <c r="C249" s="1" t="s">
        <v>7</v>
      </c>
      <c r="D249" s="1" t="s">
        <v>11</v>
      </c>
      <c r="E249" s="1" t="n">
        <v>3</v>
      </c>
      <c r="F249" s="2" t="n">
        <v>12238892</v>
      </c>
      <c r="G249" s="1" t="n">
        <v>2756866</v>
      </c>
      <c r="H249" s="1" t="n">
        <v>97794</v>
      </c>
      <c r="I249" s="1" t="n">
        <v>438087</v>
      </c>
    </row>
    <row r="250" customFormat="false" ht="12.8" hidden="false" customHeight="false" outlineLevel="0" collapsed="false">
      <c r="B250" s="1" t="s">
        <v>12</v>
      </c>
      <c r="C250" s="1" t="s">
        <v>7</v>
      </c>
      <c r="D250" s="1" t="s">
        <v>8</v>
      </c>
      <c r="E250" s="1" t="n">
        <v>4</v>
      </c>
      <c r="F250" s="2" t="n">
        <v>6029113</v>
      </c>
      <c r="G250" s="1" t="n">
        <v>3563080</v>
      </c>
      <c r="H250" s="1" t="n">
        <v>440576</v>
      </c>
      <c r="I250" s="1" t="n">
        <v>81454</v>
      </c>
    </row>
    <row r="251" customFormat="false" ht="12.8" hidden="false" customHeight="false" outlineLevel="0" collapsed="false">
      <c r="B251" s="1" t="s">
        <v>12</v>
      </c>
      <c r="C251" s="1" t="s">
        <v>7</v>
      </c>
      <c r="D251" s="1" t="s">
        <v>9</v>
      </c>
      <c r="E251" s="1" t="n">
        <v>5</v>
      </c>
      <c r="F251" s="3" t="n">
        <v>0</v>
      </c>
      <c r="G251" s="1" t="n">
        <v>0</v>
      </c>
      <c r="H251" s="1" t="n">
        <v>0</v>
      </c>
      <c r="I251" s="1" t="n">
        <v>0</v>
      </c>
    </row>
    <row r="252" customFormat="false" ht="12.8" hidden="false" customHeight="false" outlineLevel="0" collapsed="false">
      <c r="A252" s="1" t="s">
        <v>62</v>
      </c>
      <c r="B252" s="1" t="s">
        <v>6</v>
      </c>
      <c r="C252" s="1" t="s">
        <v>7</v>
      </c>
      <c r="D252" s="1" t="s">
        <v>8</v>
      </c>
      <c r="E252" s="1" t="n">
        <v>1</v>
      </c>
      <c r="F252" s="2" t="n">
        <v>57987494</v>
      </c>
      <c r="G252" s="1" t="n">
        <v>21456116</v>
      </c>
      <c r="H252" s="1" t="n">
        <v>2979775</v>
      </c>
      <c r="I252" s="1" t="n">
        <v>2589299</v>
      </c>
    </row>
    <row r="253" customFormat="false" ht="12.8" hidden="false" customHeight="false" outlineLevel="0" collapsed="false">
      <c r="B253" s="1" t="s">
        <v>6</v>
      </c>
      <c r="C253" s="1" t="s">
        <v>7</v>
      </c>
      <c r="D253" s="1" t="s">
        <v>9</v>
      </c>
      <c r="E253" s="1" t="n">
        <v>2</v>
      </c>
      <c r="F253" s="3" t="n">
        <v>0</v>
      </c>
      <c r="G253" s="1" t="n">
        <v>0</v>
      </c>
      <c r="H253" s="1" t="n">
        <v>0</v>
      </c>
      <c r="I253" s="1" t="n">
        <v>0</v>
      </c>
    </row>
    <row r="254" customFormat="false" ht="12.8" hidden="false" customHeight="false" outlineLevel="0" collapsed="false">
      <c r="B254" s="1" t="s">
        <v>10</v>
      </c>
      <c r="C254" s="1" t="s">
        <v>7</v>
      </c>
      <c r="D254" s="1" t="s">
        <v>11</v>
      </c>
      <c r="E254" s="1" t="n">
        <v>3</v>
      </c>
      <c r="F254" s="2" t="n">
        <v>28919720</v>
      </c>
      <c r="G254" s="1" t="n">
        <v>6591576</v>
      </c>
      <c r="H254" s="1" t="n">
        <v>2882550</v>
      </c>
      <c r="I254" s="1" t="n">
        <v>1318761</v>
      </c>
    </row>
    <row r="255" customFormat="false" ht="12.8" hidden="false" customHeight="false" outlineLevel="0" collapsed="false">
      <c r="B255" s="1" t="s">
        <v>12</v>
      </c>
      <c r="C255" s="1" t="s">
        <v>7</v>
      </c>
      <c r="D255" s="1" t="s">
        <v>8</v>
      </c>
      <c r="E255" s="1" t="n">
        <v>4</v>
      </c>
      <c r="F255" s="2" t="n">
        <v>29067774</v>
      </c>
      <c r="G255" s="1" t="n">
        <v>14864540</v>
      </c>
      <c r="H255" s="1" t="n">
        <v>97225</v>
      </c>
      <c r="I255" s="1" t="n">
        <v>1270538</v>
      </c>
    </row>
    <row r="256" customFormat="false" ht="12.8" hidden="false" customHeight="false" outlineLevel="0" collapsed="false">
      <c r="B256" s="1" t="s">
        <v>12</v>
      </c>
      <c r="C256" s="1" t="s">
        <v>7</v>
      </c>
      <c r="D256" s="1" t="s">
        <v>9</v>
      </c>
      <c r="E256" s="1" t="n">
        <v>5</v>
      </c>
      <c r="F256" s="3" t="n">
        <v>0</v>
      </c>
      <c r="G256" s="1" t="n">
        <v>0</v>
      </c>
      <c r="H256" s="1" t="n">
        <v>0</v>
      </c>
      <c r="I256" s="1" t="n">
        <v>0</v>
      </c>
    </row>
    <row r="257" customFormat="false" ht="12.8" hidden="false" customHeight="false" outlineLevel="0" collapsed="false">
      <c r="A257" s="1" t="s">
        <v>63</v>
      </c>
      <c r="B257" s="1" t="s">
        <v>6</v>
      </c>
      <c r="C257" s="1" t="s">
        <v>7</v>
      </c>
      <c r="D257" s="1" t="s">
        <v>8</v>
      </c>
      <c r="E257" s="1" t="n">
        <v>1</v>
      </c>
      <c r="F257" s="2" t="n">
        <v>8758322</v>
      </c>
      <c r="G257" s="1" t="n">
        <v>2899408</v>
      </c>
      <c r="H257" s="1" t="n">
        <v>1558933</v>
      </c>
      <c r="I257" s="1" t="n">
        <v>527857</v>
      </c>
    </row>
    <row r="258" customFormat="false" ht="12.8" hidden="false" customHeight="false" outlineLevel="0" collapsed="false">
      <c r="B258" s="1" t="s">
        <v>6</v>
      </c>
      <c r="C258" s="1" t="s">
        <v>7</v>
      </c>
      <c r="D258" s="1" t="s">
        <v>9</v>
      </c>
      <c r="E258" s="1" t="n">
        <v>2</v>
      </c>
      <c r="F258" s="3" t="n">
        <v>0</v>
      </c>
      <c r="G258" s="1" t="n">
        <v>0</v>
      </c>
      <c r="H258" s="1" t="n">
        <v>0</v>
      </c>
      <c r="I258" s="1" t="n">
        <v>0</v>
      </c>
    </row>
    <row r="259" customFormat="false" ht="12.8" hidden="false" customHeight="false" outlineLevel="0" collapsed="false">
      <c r="B259" s="1" t="s">
        <v>10</v>
      </c>
      <c r="C259" s="1" t="s">
        <v>7</v>
      </c>
      <c r="D259" s="1" t="s">
        <v>11</v>
      </c>
      <c r="E259" s="1" t="n">
        <v>3</v>
      </c>
      <c r="F259" s="2" t="n">
        <v>3756537</v>
      </c>
      <c r="G259" s="1" t="n">
        <v>745076</v>
      </c>
      <c r="H259" s="1" t="n">
        <v>2831</v>
      </c>
      <c r="I259" s="1" t="n">
        <v>475274</v>
      </c>
    </row>
    <row r="260" customFormat="false" ht="12.8" hidden="false" customHeight="false" outlineLevel="0" collapsed="false">
      <c r="B260" s="1" t="s">
        <v>12</v>
      </c>
      <c r="C260" s="1" t="s">
        <v>7</v>
      </c>
      <c r="D260" s="1" t="s">
        <v>8</v>
      </c>
      <c r="E260" s="1" t="n">
        <v>4</v>
      </c>
      <c r="F260" s="2" t="n">
        <v>5001785</v>
      </c>
      <c r="G260" s="1" t="n">
        <v>2154332</v>
      </c>
      <c r="H260" s="1" t="n">
        <v>1556102</v>
      </c>
      <c r="I260" s="1" t="n">
        <v>52583</v>
      </c>
    </row>
    <row r="261" customFormat="false" ht="12.8" hidden="false" customHeight="false" outlineLevel="0" collapsed="false">
      <c r="B261" s="1" t="s">
        <v>12</v>
      </c>
      <c r="C261" s="1" t="s">
        <v>7</v>
      </c>
      <c r="D261" s="1" t="s">
        <v>9</v>
      </c>
      <c r="E261" s="1" t="n">
        <v>5</v>
      </c>
      <c r="F261" s="3" t="n">
        <v>0</v>
      </c>
      <c r="G261" s="1" t="n">
        <v>0</v>
      </c>
      <c r="H261" s="1" t="n">
        <v>0</v>
      </c>
      <c r="I261" s="1"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sheetData>
    <row r="1" customFormat="false" ht="12.8" hidden="false" customHeight="false" outlineLevel="0" collapsed="false">
      <c r="A1" s="0" t="s">
        <v>64</v>
      </c>
      <c r="B1" s="1" t="s">
        <v>65</v>
      </c>
      <c r="C1" s="1" t="s">
        <v>66</v>
      </c>
    </row>
    <row r="2" customFormat="false" ht="13.8" hidden="false" customHeight="false" outlineLevel="0" collapsed="false">
      <c r="A2" s="4" t="s">
        <v>67</v>
      </c>
      <c r="B2" s="1" t="s">
        <v>68</v>
      </c>
      <c r="C2" s="1" t="s">
        <v>13</v>
      </c>
      <c r="H2" s="5"/>
    </row>
    <row r="3" customFormat="false" ht="13.8" hidden="false" customHeight="false" outlineLevel="0" collapsed="false">
      <c r="A3" s="4" t="s">
        <v>69</v>
      </c>
      <c r="B3" s="1" t="s">
        <v>70</v>
      </c>
      <c r="C3" s="1" t="s">
        <v>14</v>
      </c>
      <c r="H3" s="5"/>
    </row>
    <row r="4" customFormat="false" ht="13.8" hidden="false" customHeight="false" outlineLevel="0" collapsed="false">
      <c r="A4" s="4" t="s">
        <v>71</v>
      </c>
      <c r="B4" s="1" t="s">
        <v>72</v>
      </c>
      <c r="C4" s="1" t="s">
        <v>15</v>
      </c>
      <c r="H4" s="5"/>
    </row>
    <row r="5" customFormat="false" ht="13.8" hidden="false" customHeight="false" outlineLevel="0" collapsed="false">
      <c r="A5" s="4" t="s">
        <v>73</v>
      </c>
      <c r="B5" s="1" t="s">
        <v>74</v>
      </c>
      <c r="C5" s="1" t="s">
        <v>16</v>
      </c>
      <c r="H5" s="5"/>
    </row>
    <row r="6" customFormat="false" ht="13.8" hidden="false" customHeight="false" outlineLevel="0" collapsed="false">
      <c r="A6" s="4" t="s">
        <v>75</v>
      </c>
      <c r="B6" s="1" t="s">
        <v>76</v>
      </c>
      <c r="C6" s="1" t="s">
        <v>17</v>
      </c>
      <c r="H6" s="5"/>
    </row>
    <row r="7" customFormat="false" ht="13.8" hidden="false" customHeight="false" outlineLevel="0" collapsed="false">
      <c r="A7" s="4" t="s">
        <v>77</v>
      </c>
      <c r="B7" s="1" t="s">
        <v>78</v>
      </c>
      <c r="C7" s="1" t="s">
        <v>18</v>
      </c>
      <c r="H7" s="5"/>
    </row>
    <row r="8" customFormat="false" ht="13.8" hidden="false" customHeight="false" outlineLevel="0" collapsed="false">
      <c r="A8" s="4" t="s">
        <v>79</v>
      </c>
      <c r="B8" s="1" t="s">
        <v>80</v>
      </c>
      <c r="C8" s="1" t="s">
        <v>19</v>
      </c>
      <c r="H8" s="5"/>
    </row>
    <row r="9" customFormat="false" ht="13.8" hidden="false" customHeight="false" outlineLevel="0" collapsed="false">
      <c r="A9" s="4" t="s">
        <v>81</v>
      </c>
      <c r="B9" s="1" t="s">
        <v>82</v>
      </c>
      <c r="C9" s="1" t="s">
        <v>20</v>
      </c>
      <c r="H9" s="5"/>
    </row>
    <row r="10" customFormat="false" ht="13.8" hidden="false" customHeight="false" outlineLevel="0" collapsed="false">
      <c r="A10" s="4" t="s">
        <v>83</v>
      </c>
      <c r="B10" s="0" t="s">
        <v>84</v>
      </c>
      <c r="C10" s="0" t="s">
        <v>21</v>
      </c>
      <c r="H10" s="5"/>
    </row>
    <row r="11" customFormat="false" ht="13.8" hidden="false" customHeight="false" outlineLevel="0" collapsed="false">
      <c r="A11" s="4" t="s">
        <v>85</v>
      </c>
      <c r="B11" s="1" t="s">
        <v>86</v>
      </c>
      <c r="C11" s="1" t="s">
        <v>22</v>
      </c>
      <c r="H11" s="5"/>
    </row>
    <row r="12" customFormat="false" ht="13.8" hidden="false" customHeight="false" outlineLevel="0" collapsed="false">
      <c r="A12" s="4" t="s">
        <v>87</v>
      </c>
      <c r="B12" s="1" t="s">
        <v>88</v>
      </c>
      <c r="C12" s="1" t="s">
        <v>23</v>
      </c>
      <c r="H12" s="5"/>
    </row>
    <row r="13" customFormat="false" ht="13.8" hidden="false" customHeight="false" outlineLevel="0" collapsed="false">
      <c r="A13" s="4" t="s">
        <v>89</v>
      </c>
      <c r="B13" s="1" t="s">
        <v>90</v>
      </c>
      <c r="C13" s="1" t="s">
        <v>24</v>
      </c>
      <c r="H13" s="5"/>
    </row>
    <row r="14" customFormat="false" ht="13.8" hidden="false" customHeight="false" outlineLevel="0" collapsed="false">
      <c r="A14" s="4" t="s">
        <v>91</v>
      </c>
      <c r="B14" s="1" t="s">
        <v>92</v>
      </c>
      <c r="C14" s="1" t="s">
        <v>25</v>
      </c>
      <c r="H14" s="5"/>
    </row>
    <row r="15" customFormat="false" ht="13.8" hidden="false" customHeight="false" outlineLevel="0" collapsed="false">
      <c r="A15" s="4" t="s">
        <v>93</v>
      </c>
      <c r="B15" s="1" t="s">
        <v>94</v>
      </c>
      <c r="C15" s="1" t="s">
        <v>26</v>
      </c>
      <c r="H15" s="5"/>
    </row>
    <row r="16" customFormat="false" ht="13.8" hidden="false" customHeight="false" outlineLevel="0" collapsed="false">
      <c r="A16" s="4" t="s">
        <v>95</v>
      </c>
      <c r="B16" s="1" t="s">
        <v>96</v>
      </c>
      <c r="C16" s="1" t="s">
        <v>27</v>
      </c>
      <c r="H16" s="5"/>
    </row>
    <row r="17" customFormat="false" ht="13.8" hidden="false" customHeight="false" outlineLevel="0" collapsed="false">
      <c r="A17" s="4" t="s">
        <v>97</v>
      </c>
      <c r="B17" s="1" t="s">
        <v>98</v>
      </c>
      <c r="C17" s="1" t="s">
        <v>28</v>
      </c>
      <c r="H17" s="5"/>
    </row>
    <row r="18" customFormat="false" ht="13.8" hidden="false" customHeight="false" outlineLevel="0" collapsed="false">
      <c r="A18" s="4" t="s">
        <v>99</v>
      </c>
      <c r="B18" s="1" t="s">
        <v>100</v>
      </c>
      <c r="C18" s="1" t="s">
        <v>29</v>
      </c>
      <c r="H18" s="5"/>
    </row>
    <row r="19" customFormat="false" ht="13.8" hidden="false" customHeight="false" outlineLevel="0" collapsed="false">
      <c r="A19" s="4" t="s">
        <v>101</v>
      </c>
      <c r="B19" s="1" t="s">
        <v>102</v>
      </c>
      <c r="C19" s="1" t="s">
        <v>30</v>
      </c>
      <c r="H19" s="5"/>
    </row>
    <row r="20" customFormat="false" ht="13.8" hidden="false" customHeight="false" outlineLevel="0" collapsed="false">
      <c r="A20" s="4" t="s">
        <v>103</v>
      </c>
      <c r="B20" s="1" t="s">
        <v>104</v>
      </c>
      <c r="C20" s="1" t="s">
        <v>31</v>
      </c>
      <c r="H20" s="5"/>
    </row>
    <row r="21" customFormat="false" ht="13.8" hidden="false" customHeight="false" outlineLevel="0" collapsed="false">
      <c r="A21" s="4" t="s">
        <v>105</v>
      </c>
      <c r="B21" s="1" t="s">
        <v>106</v>
      </c>
      <c r="C21" s="1" t="s">
        <v>32</v>
      </c>
      <c r="H21" s="5"/>
    </row>
    <row r="22" customFormat="false" ht="13.8" hidden="false" customHeight="false" outlineLevel="0" collapsed="false">
      <c r="A22" s="4" t="s">
        <v>107</v>
      </c>
      <c r="B22" s="1" t="s">
        <v>108</v>
      </c>
      <c r="C22" s="1" t="s">
        <v>33</v>
      </c>
      <c r="H22" s="5"/>
    </row>
    <row r="23" customFormat="false" ht="13.8" hidden="false" customHeight="false" outlineLevel="0" collapsed="false">
      <c r="A23" s="4" t="s">
        <v>109</v>
      </c>
      <c r="B23" s="1" t="s">
        <v>110</v>
      </c>
      <c r="C23" s="1" t="s">
        <v>34</v>
      </c>
      <c r="H23" s="5"/>
    </row>
    <row r="24" customFormat="false" ht="13.8" hidden="false" customHeight="false" outlineLevel="0" collapsed="false">
      <c r="A24" s="4" t="s">
        <v>111</v>
      </c>
      <c r="B24" s="1" t="s">
        <v>112</v>
      </c>
      <c r="C24" s="1" t="s">
        <v>35</v>
      </c>
      <c r="H24" s="5"/>
    </row>
    <row r="25" customFormat="false" ht="13.8" hidden="false" customHeight="false" outlineLevel="0" collapsed="false">
      <c r="A25" s="4" t="s">
        <v>113</v>
      </c>
      <c r="B25" s="1" t="s">
        <v>114</v>
      </c>
      <c r="C25" s="1" t="s">
        <v>36</v>
      </c>
      <c r="H25" s="5"/>
    </row>
    <row r="26" customFormat="false" ht="13.8" hidden="false" customHeight="false" outlineLevel="0" collapsed="false">
      <c r="A26" s="4" t="s">
        <v>115</v>
      </c>
      <c r="B26" s="1" t="s">
        <v>116</v>
      </c>
      <c r="C26" s="1" t="s">
        <v>37</v>
      </c>
      <c r="H26" s="5"/>
    </row>
    <row r="27" customFormat="false" ht="13.8" hidden="false" customHeight="false" outlineLevel="0" collapsed="false">
      <c r="A27" s="4" t="s">
        <v>117</v>
      </c>
      <c r="B27" s="1" t="s">
        <v>118</v>
      </c>
      <c r="C27" s="1" t="s">
        <v>38</v>
      </c>
      <c r="H27" s="5"/>
    </row>
    <row r="28" customFormat="false" ht="13.8" hidden="false" customHeight="false" outlineLevel="0" collapsed="false">
      <c r="A28" s="4" t="s">
        <v>119</v>
      </c>
      <c r="B28" s="1" t="s">
        <v>120</v>
      </c>
      <c r="C28" s="1" t="s">
        <v>39</v>
      </c>
      <c r="H28" s="5"/>
    </row>
    <row r="29" customFormat="false" ht="13.8" hidden="false" customHeight="false" outlineLevel="0" collapsed="false">
      <c r="A29" s="4" t="s">
        <v>121</v>
      </c>
      <c r="B29" s="1" t="s">
        <v>122</v>
      </c>
      <c r="C29" s="1" t="s">
        <v>40</v>
      </c>
      <c r="H29" s="5"/>
    </row>
    <row r="30" customFormat="false" ht="13.8" hidden="false" customHeight="false" outlineLevel="0" collapsed="false">
      <c r="A30" s="4" t="s">
        <v>123</v>
      </c>
      <c r="B30" s="1" t="s">
        <v>124</v>
      </c>
      <c r="C30" s="1" t="s">
        <v>41</v>
      </c>
      <c r="H30" s="5"/>
    </row>
    <row r="31" customFormat="false" ht="13.8" hidden="false" customHeight="false" outlineLevel="0" collapsed="false">
      <c r="A31" s="4" t="s">
        <v>125</v>
      </c>
      <c r="B31" s="1" t="s">
        <v>126</v>
      </c>
      <c r="C31" s="1" t="s">
        <v>42</v>
      </c>
      <c r="H31" s="5"/>
    </row>
    <row r="32" customFormat="false" ht="13.8" hidden="false" customHeight="false" outlineLevel="0" collapsed="false">
      <c r="A32" s="4" t="s">
        <v>127</v>
      </c>
      <c r="B32" s="1" t="s">
        <v>128</v>
      </c>
      <c r="C32" s="1" t="s">
        <v>43</v>
      </c>
      <c r="H32" s="5"/>
    </row>
    <row r="33" customFormat="false" ht="13.8" hidden="false" customHeight="false" outlineLevel="0" collapsed="false">
      <c r="A33" s="4" t="s">
        <v>129</v>
      </c>
      <c r="B33" s="1" t="s">
        <v>130</v>
      </c>
      <c r="C33" s="1" t="s">
        <v>44</v>
      </c>
      <c r="H33" s="5"/>
    </row>
    <row r="34" customFormat="false" ht="13.8" hidden="false" customHeight="false" outlineLevel="0" collapsed="false">
      <c r="A34" s="4" t="s">
        <v>131</v>
      </c>
      <c r="B34" s="1" t="s">
        <v>132</v>
      </c>
      <c r="C34" s="1" t="s">
        <v>45</v>
      </c>
      <c r="H34" s="5"/>
    </row>
    <row r="35" customFormat="false" ht="13.8" hidden="false" customHeight="false" outlineLevel="0" collapsed="false">
      <c r="A35" s="4" t="s">
        <v>133</v>
      </c>
      <c r="B35" s="1" t="s">
        <v>134</v>
      </c>
      <c r="C35" s="1" t="s">
        <v>46</v>
      </c>
      <c r="H35" s="5"/>
    </row>
    <row r="36" customFormat="false" ht="13.8" hidden="false" customHeight="false" outlineLevel="0" collapsed="false">
      <c r="A36" s="4" t="s">
        <v>135</v>
      </c>
      <c r="B36" s="1" t="s">
        <v>136</v>
      </c>
      <c r="C36" s="1" t="s">
        <v>47</v>
      </c>
      <c r="H36" s="5"/>
    </row>
    <row r="37" customFormat="false" ht="13.8" hidden="false" customHeight="false" outlineLevel="0" collapsed="false">
      <c r="A37" s="4" t="s">
        <v>137</v>
      </c>
      <c r="B37" s="1" t="s">
        <v>138</v>
      </c>
      <c r="C37" s="1" t="s">
        <v>48</v>
      </c>
      <c r="H37" s="5"/>
    </row>
    <row r="38" customFormat="false" ht="13.8" hidden="false" customHeight="false" outlineLevel="0" collapsed="false">
      <c r="A38" s="4" t="s">
        <v>139</v>
      </c>
      <c r="B38" s="1" t="s">
        <v>140</v>
      </c>
      <c r="C38" s="1" t="s">
        <v>49</v>
      </c>
      <c r="H38" s="5"/>
    </row>
    <row r="39" customFormat="false" ht="13.8" hidden="false" customHeight="false" outlineLevel="0" collapsed="false">
      <c r="A39" s="4" t="s">
        <v>141</v>
      </c>
      <c r="B39" s="1" t="s">
        <v>142</v>
      </c>
      <c r="C39" s="1" t="s">
        <v>50</v>
      </c>
      <c r="H39" s="5"/>
    </row>
    <row r="40" customFormat="false" ht="13.8" hidden="false" customHeight="false" outlineLevel="0" collapsed="false">
      <c r="A40" s="4" t="s">
        <v>143</v>
      </c>
      <c r="B40" s="1" t="s">
        <v>144</v>
      </c>
      <c r="C40" s="1" t="s">
        <v>51</v>
      </c>
      <c r="H40" s="5"/>
    </row>
    <row r="41" customFormat="false" ht="13.8" hidden="false" customHeight="false" outlineLevel="0" collapsed="false">
      <c r="A41" s="4" t="s">
        <v>145</v>
      </c>
      <c r="B41" s="1" t="s">
        <v>146</v>
      </c>
      <c r="C41" s="1" t="s">
        <v>52</v>
      </c>
      <c r="H41" s="5"/>
    </row>
    <row r="42" customFormat="false" ht="13.8" hidden="false" customHeight="false" outlineLevel="0" collapsed="false">
      <c r="A42" s="4" t="s">
        <v>147</v>
      </c>
      <c r="B42" s="1" t="s">
        <v>148</v>
      </c>
      <c r="C42" s="1" t="s">
        <v>53</v>
      </c>
      <c r="H42" s="5"/>
    </row>
    <row r="43" customFormat="false" ht="13.8" hidden="false" customHeight="false" outlineLevel="0" collapsed="false">
      <c r="A43" s="4" t="s">
        <v>149</v>
      </c>
      <c r="B43" s="1" t="s">
        <v>150</v>
      </c>
      <c r="C43" s="1" t="s">
        <v>54</v>
      </c>
      <c r="H43" s="5"/>
    </row>
    <row r="44" customFormat="false" ht="13.8" hidden="false" customHeight="false" outlineLevel="0" collapsed="false">
      <c r="A44" s="4" t="s">
        <v>151</v>
      </c>
      <c r="B44" s="1" t="s">
        <v>152</v>
      </c>
      <c r="C44" s="1" t="s">
        <v>55</v>
      </c>
      <c r="H44" s="5"/>
    </row>
    <row r="45" customFormat="false" ht="13.8" hidden="false" customHeight="false" outlineLevel="0" collapsed="false">
      <c r="A45" s="4" t="s">
        <v>153</v>
      </c>
      <c r="B45" s="1" t="s">
        <v>154</v>
      </c>
      <c r="C45" s="1" t="s">
        <v>56</v>
      </c>
      <c r="H45" s="5"/>
    </row>
    <row r="46" customFormat="false" ht="13.8" hidden="false" customHeight="false" outlineLevel="0" collapsed="false">
      <c r="A46" s="4" t="s">
        <v>155</v>
      </c>
      <c r="B46" s="1" t="s">
        <v>156</v>
      </c>
      <c r="C46" s="1" t="s">
        <v>57</v>
      </c>
      <c r="H46" s="5"/>
    </row>
    <row r="47" customFormat="false" ht="13.8" hidden="false" customHeight="false" outlineLevel="0" collapsed="false">
      <c r="A47" s="4" t="s">
        <v>157</v>
      </c>
      <c r="B47" s="1" t="s">
        <v>158</v>
      </c>
      <c r="C47" s="1" t="s">
        <v>58</v>
      </c>
      <c r="H47" s="5"/>
    </row>
    <row r="48" customFormat="false" ht="13.8" hidden="false" customHeight="false" outlineLevel="0" collapsed="false">
      <c r="A48" s="4" t="s">
        <v>159</v>
      </c>
      <c r="B48" s="1" t="s">
        <v>160</v>
      </c>
      <c r="C48" s="1" t="s">
        <v>59</v>
      </c>
      <c r="H48" s="5"/>
    </row>
    <row r="49" customFormat="false" ht="13.8" hidden="false" customHeight="false" outlineLevel="0" collapsed="false">
      <c r="A49" s="4" t="s">
        <v>161</v>
      </c>
      <c r="B49" s="1" t="s">
        <v>162</v>
      </c>
      <c r="C49" s="1" t="s">
        <v>60</v>
      </c>
      <c r="H49" s="5"/>
    </row>
    <row r="50" customFormat="false" ht="13.8" hidden="false" customHeight="false" outlineLevel="0" collapsed="false">
      <c r="A50" s="4" t="s">
        <v>163</v>
      </c>
      <c r="B50" s="1" t="s">
        <v>164</v>
      </c>
      <c r="C50" s="1" t="s">
        <v>61</v>
      </c>
      <c r="H50" s="5"/>
    </row>
    <row r="51" customFormat="false" ht="13.8" hidden="false" customHeight="false" outlineLevel="0" collapsed="false">
      <c r="A51" s="4" t="s">
        <v>165</v>
      </c>
      <c r="B51" s="1" t="s">
        <v>166</v>
      </c>
      <c r="C51" s="1" t="s">
        <v>62</v>
      </c>
      <c r="H51" s="5"/>
    </row>
    <row r="52" customFormat="false" ht="13.8" hidden="false" customHeight="false" outlineLevel="0" collapsed="false">
      <c r="A52" s="4" t="s">
        <v>167</v>
      </c>
      <c r="B52" s="1" t="s">
        <v>168</v>
      </c>
      <c r="C52" s="1" t="s">
        <v>63</v>
      </c>
      <c r="H52" s="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2" activeCellId="0" sqref="H22"/>
    </sheetView>
  </sheetViews>
  <sheetFormatPr defaultColWidth="11.53515625" defaultRowHeight="12.8" zeroHeight="false" outlineLevelRow="0" outlineLevelCol="0"/>
  <sheetData>
    <row r="1" customFormat="false" ht="12.8" hidden="false" customHeight="false" outlineLevel="0" collapsed="false">
      <c r="B1" s="1"/>
      <c r="H1" s="1" t="s">
        <v>169</v>
      </c>
      <c r="I1" s="1"/>
    </row>
    <row r="2" customFormat="false" ht="13.8" hidden="false" customHeight="false" outlineLevel="0" collapsed="false">
      <c r="B2" s="1"/>
      <c r="H2" s="6" t="s">
        <v>64</v>
      </c>
      <c r="I2" s="6" t="s">
        <v>7</v>
      </c>
      <c r="J2" s="1" t="s">
        <v>170</v>
      </c>
      <c r="K2" s="6" t="s">
        <v>66</v>
      </c>
    </row>
    <row r="3" customFormat="false" ht="13.8" hidden="false" customHeight="false" outlineLevel="0" collapsed="false">
      <c r="B3" s="1"/>
      <c r="H3" s="6" t="s">
        <v>171</v>
      </c>
      <c r="I3" s="7" t="n">
        <v>726007.987127647</v>
      </c>
      <c r="J3" s="7" t="n">
        <f aca="false">I3/I$5*100</f>
        <v>59.0732096360543</v>
      </c>
      <c r="K3" s="1" t="s">
        <v>172</v>
      </c>
    </row>
    <row r="4" customFormat="false" ht="13.8" hidden="false" customHeight="false" outlineLevel="0" collapsed="false">
      <c r="B4" s="1"/>
      <c r="H4" s="6" t="s">
        <v>173</v>
      </c>
      <c r="I4" s="7" t="n">
        <v>502989.034704295</v>
      </c>
      <c r="J4" s="7" t="n">
        <f aca="false">I4/I$5*100</f>
        <v>40.9267903639457</v>
      </c>
      <c r="K4" s="1" t="s">
        <v>174</v>
      </c>
    </row>
    <row r="5" customFormat="false" ht="12.8" hidden="false" customHeight="false" outlineLevel="0" collapsed="false">
      <c r="A5" s="1" t="n">
        <v>54</v>
      </c>
      <c r="B5" s="2" t="n">
        <v>4300036702</v>
      </c>
      <c r="C5" s="1" t="s">
        <v>175</v>
      </c>
      <c r="H5" s="1" t="s">
        <v>176</v>
      </c>
      <c r="I5" s="7" t="n">
        <f aca="false">SUM(I3:I4)</f>
        <v>1228997.02183194</v>
      </c>
    </row>
    <row r="6" customFormat="false" ht="12.8" hidden="false" customHeight="false" outlineLevel="0" collapsed="false">
      <c r="B6" s="1"/>
      <c r="I6" s="7"/>
    </row>
    <row r="7" customFormat="false" ht="12.8" hidden="false" customHeight="false" outlineLevel="0" collapsed="false">
      <c r="B7" s="1"/>
      <c r="C7" s="1" t="s">
        <v>177</v>
      </c>
      <c r="H7" s="1" t="s">
        <v>178</v>
      </c>
      <c r="I7" s="7"/>
    </row>
    <row r="8" customFormat="false" ht="13.8" hidden="false" customHeight="false" outlineLevel="0" collapsed="false">
      <c r="A8" s="1" t="n">
        <v>55</v>
      </c>
      <c r="B8" s="2" t="n">
        <v>3727197</v>
      </c>
      <c r="C8" s="1" t="s">
        <v>179</v>
      </c>
      <c r="H8" s="6" t="s">
        <v>64</v>
      </c>
      <c r="I8" s="8" t="s">
        <v>7</v>
      </c>
      <c r="J8" s="1" t="s">
        <v>170</v>
      </c>
      <c r="K8" s="6" t="s">
        <v>66</v>
      </c>
    </row>
    <row r="9" customFormat="false" ht="13.8" hidden="false" customHeight="false" outlineLevel="0" collapsed="false">
      <c r="A9" s="1" t="n">
        <v>56</v>
      </c>
      <c r="B9" s="2" t="n">
        <v>4296309505</v>
      </c>
      <c r="C9" s="1" t="s">
        <v>180</v>
      </c>
      <c r="H9" s="6" t="s">
        <v>181</v>
      </c>
      <c r="I9" s="7" t="n">
        <v>1189529.17880413</v>
      </c>
      <c r="J9" s="7" t="n">
        <f aca="false">I9/I$12*100</f>
        <v>50.8111297170546</v>
      </c>
      <c r="K9" s="1" t="s">
        <v>182</v>
      </c>
    </row>
    <row r="10" customFormat="false" ht="13.8" hidden="false" customHeight="false" outlineLevel="0" collapsed="false">
      <c r="A10" s="1" t="n">
        <v>57</v>
      </c>
      <c r="B10" s="2" t="n">
        <v>3681450227</v>
      </c>
      <c r="C10" s="1" t="s">
        <v>1</v>
      </c>
      <c r="H10" s="6" t="s">
        <v>183</v>
      </c>
      <c r="I10" s="7" t="n">
        <v>1037177.37612627</v>
      </c>
      <c r="J10" s="7" t="n">
        <f aca="false">I10/I$12*100</f>
        <v>44.3033724073312</v>
      </c>
      <c r="K10" s="1" t="s">
        <v>184</v>
      </c>
    </row>
    <row r="11" customFormat="false" ht="13.8" hidden="false" customHeight="false" outlineLevel="0" collapsed="false">
      <c r="A11" s="1" t="n">
        <v>58</v>
      </c>
      <c r="B11" s="2" t="n">
        <v>428845528</v>
      </c>
      <c r="C11" s="1" t="s">
        <v>185</v>
      </c>
      <c r="H11" s="6" t="s">
        <v>186</v>
      </c>
      <c r="I11" s="7" t="n">
        <v>114373.412053424</v>
      </c>
      <c r="J11" s="7" t="n">
        <f aca="false">I11/I$12*100</f>
        <v>4.88549787561419</v>
      </c>
      <c r="K11" s="1" t="s">
        <v>187</v>
      </c>
    </row>
    <row r="12" customFormat="false" ht="12.8" hidden="false" customHeight="false" outlineLevel="0" collapsed="false">
      <c r="A12" s="1" t="n">
        <v>59</v>
      </c>
      <c r="B12" s="2" t="n">
        <v>428845528</v>
      </c>
      <c r="C12" s="1" t="s">
        <v>188</v>
      </c>
      <c r="H12" s="1" t="s">
        <v>176</v>
      </c>
      <c r="I12" s="7" t="n">
        <f aca="false">SUM(I9:I11)</f>
        <v>2341079.96698382</v>
      </c>
    </row>
    <row r="13" customFormat="false" ht="12.8" hidden="false" customHeight="false" outlineLevel="0" collapsed="false">
      <c r="A13" s="1" t="n">
        <v>61</v>
      </c>
      <c r="B13" s="2" t="n">
        <v>66067552</v>
      </c>
      <c r="C13" s="1" t="s">
        <v>189</v>
      </c>
      <c r="I13" s="1"/>
    </row>
    <row r="14" customFormat="false" ht="12.8" hidden="false" customHeight="false" outlineLevel="0" collapsed="false">
      <c r="A14" s="1" t="n">
        <v>62</v>
      </c>
      <c r="B14" s="2" t="n">
        <v>119946198</v>
      </c>
      <c r="C14" s="1" t="s">
        <v>190</v>
      </c>
      <c r="I14" s="1"/>
    </row>
    <row r="15" customFormat="false" ht="12.8" hidden="false" customHeight="false" outlineLevel="0" collapsed="false">
      <c r="A15" s="1" t="n">
        <v>63</v>
      </c>
      <c r="B15" s="2" t="n">
        <v>441220240</v>
      </c>
      <c r="C15" s="1" t="s">
        <v>191</v>
      </c>
      <c r="I15" s="1" t="n">
        <f aca="false">I18-I16-I17</f>
        <v>2012814107</v>
      </c>
      <c r="J15" s="7" t="n">
        <f aca="false">I15/I$18*100</f>
        <v>54.6744892063972</v>
      </c>
      <c r="K15" s="1" t="s">
        <v>192</v>
      </c>
      <c r="M15" s="7" t="n">
        <f aca="false">I15/I9/1000</f>
        <v>1.69210990605841</v>
      </c>
      <c r="O15" s="9" t="n">
        <f aca="false">I10*17984312/I16</f>
        <v>14752.6338775055</v>
      </c>
    </row>
    <row r="16" customFormat="false" ht="12.8" hidden="false" customHeight="false" outlineLevel="0" collapsed="false">
      <c r="A16" s="1" t="n">
        <v>64</v>
      </c>
      <c r="B16" s="2" t="n">
        <v>1135145632</v>
      </c>
      <c r="C16" s="1" t="s">
        <v>193</v>
      </c>
      <c r="H16" s="1" t="n">
        <v>69</v>
      </c>
      <c r="I16" s="2" t="n">
        <v>1264379072</v>
      </c>
      <c r="J16" s="7" t="n">
        <f aca="false">I16/I$18*100</f>
        <v>34.3445923219866</v>
      </c>
      <c r="K16" s="1" t="s">
        <v>2</v>
      </c>
      <c r="M16" s="7" t="n">
        <f aca="false">I16/I10/1000</f>
        <v>1.21905770517508</v>
      </c>
    </row>
    <row r="17" customFormat="false" ht="12.8" hidden="false" customHeight="false" outlineLevel="0" collapsed="false">
      <c r="B17" s="1"/>
      <c r="H17" s="1" t="s">
        <v>194</v>
      </c>
      <c r="I17" s="1" t="n">
        <f aca="false">B36-B37+B38</f>
        <v>404257048</v>
      </c>
      <c r="J17" s="7" t="n">
        <f aca="false">I17/I$18*100</f>
        <v>10.9809184716162</v>
      </c>
      <c r="K17" s="1" t="s">
        <v>195</v>
      </c>
      <c r="M17" s="7" t="n">
        <f aca="false">I17/I11/1000</f>
        <v>3.53453692376661</v>
      </c>
    </row>
    <row r="18" customFormat="false" ht="12.8" hidden="false" customHeight="false" outlineLevel="0" collapsed="false">
      <c r="A18" s="1" t="n">
        <v>65</v>
      </c>
      <c r="B18" s="2" t="n">
        <v>4296309505</v>
      </c>
      <c r="C18" s="1" t="s">
        <v>196</v>
      </c>
      <c r="H18" s="1" t="n">
        <v>57</v>
      </c>
      <c r="I18" s="2" t="n">
        <f aca="false">B10</f>
        <v>3681450227</v>
      </c>
      <c r="K18" s="1" t="s">
        <v>1</v>
      </c>
      <c r="M18" s="7" t="n">
        <f aca="false">I18/I12/1000</f>
        <v>1.57254356062987</v>
      </c>
    </row>
    <row r="19" customFormat="false" ht="12.8" hidden="false" customHeight="false" outlineLevel="0" collapsed="false">
      <c r="A19" s="1" t="n">
        <v>66</v>
      </c>
      <c r="B19" s="2" t="n">
        <v>4026990811</v>
      </c>
      <c r="C19" s="1" t="s">
        <v>197</v>
      </c>
      <c r="I19" s="1"/>
    </row>
    <row r="20" customFormat="false" ht="12.8" hidden="false" customHeight="false" outlineLevel="0" collapsed="false">
      <c r="A20" s="1" t="n">
        <v>67</v>
      </c>
      <c r="B20" s="2" t="n">
        <v>371256365</v>
      </c>
      <c r="C20" s="1" t="s">
        <v>185</v>
      </c>
      <c r="I20" s="1"/>
    </row>
    <row r="21" customFormat="false" ht="12.8" hidden="false" customHeight="false" outlineLevel="0" collapsed="false">
      <c r="A21" s="1" t="n">
        <v>68</v>
      </c>
      <c r="B21" s="2" t="n">
        <v>3655734446</v>
      </c>
      <c r="C21" s="1" t="s">
        <v>198</v>
      </c>
      <c r="I21" s="1"/>
    </row>
    <row r="22" customFormat="false" ht="12.8" hidden="false" customHeight="false" outlineLevel="0" collapsed="false">
      <c r="B22" s="1"/>
      <c r="I22" s="1" t="n">
        <f aca="false">B24+B34+I17</f>
        <v>2639588713</v>
      </c>
    </row>
    <row r="23" customFormat="false" ht="12.8" hidden="false" customHeight="false" outlineLevel="0" collapsed="false">
      <c r="B23" s="1"/>
      <c r="C23" s="1" t="s">
        <v>199</v>
      </c>
      <c r="I23" s="1"/>
    </row>
    <row r="24" customFormat="false" ht="12.8" hidden="false" customHeight="false" outlineLevel="0" collapsed="false">
      <c r="A24" s="1" t="n">
        <v>69</v>
      </c>
      <c r="B24" s="2" t="n">
        <v>1264379072</v>
      </c>
      <c r="C24" s="1" t="s">
        <v>2</v>
      </c>
      <c r="E24" s="1" t="n">
        <f aca="false">SUM(B25:B31)</f>
        <v>1513914564</v>
      </c>
      <c r="I24" s="1"/>
    </row>
    <row r="25" customFormat="false" ht="12.8" hidden="false" customHeight="false" outlineLevel="0" collapsed="false">
      <c r="A25" s="1" t="n">
        <v>70</v>
      </c>
      <c r="B25" s="2" t="n">
        <v>118019665</v>
      </c>
      <c r="C25" s="1" t="s">
        <v>200</v>
      </c>
      <c r="E25" s="1" t="n">
        <f aca="false">E24-B25-B27-B29-B31</f>
        <v>1264379072</v>
      </c>
      <c r="I25" s="1"/>
    </row>
    <row r="26" customFormat="false" ht="12.8" hidden="false" customHeight="false" outlineLevel="0" collapsed="false">
      <c r="A26" s="1" t="n">
        <v>71</v>
      </c>
      <c r="B26" s="2" t="n">
        <v>340371795</v>
      </c>
      <c r="C26" s="1" t="s">
        <v>201</v>
      </c>
      <c r="I26" s="1"/>
    </row>
    <row r="27" customFormat="false" ht="12.8" hidden="false" customHeight="false" outlineLevel="0" collapsed="false">
      <c r="A27" s="1" t="n">
        <v>72</v>
      </c>
      <c r="B27" s="2" t="n">
        <v>32626360</v>
      </c>
      <c r="C27" s="1" t="s">
        <v>200</v>
      </c>
      <c r="I27" s="1"/>
    </row>
    <row r="28" customFormat="false" ht="12.8" hidden="false" customHeight="false" outlineLevel="0" collapsed="false">
      <c r="A28" s="1" t="n">
        <v>73</v>
      </c>
      <c r="B28" s="2" t="n">
        <v>832745309</v>
      </c>
      <c r="C28" s="1" t="s">
        <v>202</v>
      </c>
      <c r="I28" s="1"/>
      <c r="L28" s="1" t="s">
        <v>203</v>
      </c>
      <c r="O28" s="1" t="s">
        <v>204</v>
      </c>
    </row>
    <row r="29" customFormat="false" ht="13.8" hidden="false" customHeight="false" outlineLevel="0" collapsed="false">
      <c r="A29" s="1" t="n">
        <v>74</v>
      </c>
      <c r="B29" s="2" t="n">
        <v>84757914</v>
      </c>
      <c r="C29" s="1" t="s">
        <v>200</v>
      </c>
      <c r="H29" s="10" t="s">
        <v>205</v>
      </c>
      <c r="I29" s="10" t="s">
        <v>206</v>
      </c>
      <c r="J29" s="10" t="s">
        <v>207</v>
      </c>
      <c r="K29" s="10" t="s">
        <v>208</v>
      </c>
      <c r="L29" s="1" t="s">
        <v>209</v>
      </c>
      <c r="M29" s="1" t="s">
        <v>210</v>
      </c>
      <c r="N29" s="1" t="s">
        <v>211</v>
      </c>
      <c r="O29" s="1" t="s">
        <v>209</v>
      </c>
      <c r="P29" s="1" t="s">
        <v>210</v>
      </c>
      <c r="Q29" s="1" t="s">
        <v>211</v>
      </c>
    </row>
    <row r="30" customFormat="false" ht="12.8" hidden="false" customHeight="false" outlineLevel="0" collapsed="false">
      <c r="A30" s="1" t="n">
        <v>75</v>
      </c>
      <c r="B30" s="2" t="n">
        <v>91261968</v>
      </c>
      <c r="C30" s="1" t="s">
        <v>212</v>
      </c>
      <c r="H30" s="1" t="s">
        <v>213</v>
      </c>
      <c r="I30" s="1" t="s">
        <v>214</v>
      </c>
      <c r="J30" s="1" t="s">
        <v>213</v>
      </c>
      <c r="K30" s="1" t="s">
        <v>214</v>
      </c>
      <c r="L30" s="1" t="n">
        <v>397841</v>
      </c>
      <c r="M30" s="1" t="n">
        <v>-11939</v>
      </c>
      <c r="N30" s="1" t="n">
        <v>167488</v>
      </c>
      <c r="O30" s="1" t="n">
        <v>5761</v>
      </c>
      <c r="P30" s="1" t="n">
        <v>0</v>
      </c>
      <c r="Q30" s="1" t="n">
        <v>0</v>
      </c>
    </row>
    <row r="31" customFormat="false" ht="12.8" hidden="false" customHeight="false" outlineLevel="0" collapsed="false">
      <c r="A31" s="1" t="n">
        <v>76</v>
      </c>
      <c r="B31" s="2" t="n">
        <v>14131553</v>
      </c>
      <c r="C31" s="1" t="s">
        <v>215</v>
      </c>
      <c r="H31" s="1" t="s">
        <v>216</v>
      </c>
      <c r="I31" s="1" t="s">
        <v>217</v>
      </c>
      <c r="J31" s="1" t="s">
        <v>216</v>
      </c>
      <c r="K31" s="1" t="s">
        <v>217</v>
      </c>
      <c r="L31" s="1" t="n">
        <v>157200</v>
      </c>
      <c r="M31" s="1" t="n">
        <v>0</v>
      </c>
      <c r="N31" s="1" t="n">
        <v>82326</v>
      </c>
      <c r="O31" s="1" t="n">
        <v>32115</v>
      </c>
      <c r="P31" s="1" t="n">
        <v>0</v>
      </c>
      <c r="Q31" s="1" t="n">
        <v>108617</v>
      </c>
    </row>
    <row r="32" customFormat="false" ht="12.8" hidden="false" customHeight="false" outlineLevel="0" collapsed="false">
      <c r="B32" s="1"/>
      <c r="I32" s="1"/>
      <c r="L32" s="9" t="n">
        <f aca="false">L31+O31</f>
        <v>189315</v>
      </c>
      <c r="M32" s="9" t="n">
        <f aca="false">M31+P31</f>
        <v>0</v>
      </c>
      <c r="N32" s="9" t="n">
        <f aca="false">N31+Q31</f>
        <v>190943</v>
      </c>
    </row>
    <row r="33" customFormat="false" ht="12.8" hidden="false" customHeight="false" outlineLevel="0" collapsed="false">
      <c r="B33" s="1"/>
      <c r="C33" s="1" t="s">
        <v>218</v>
      </c>
      <c r="I33" s="1"/>
      <c r="L33" s="9" t="n">
        <f aca="false">L31/L32*100</f>
        <v>83.0362094921163</v>
      </c>
      <c r="M33" s="9" t="e">
        <f aca="false">M31/M32*100</f>
        <v>#DIV/0!</v>
      </c>
      <c r="N33" s="9" t="n">
        <f aca="false">N31/N32*100</f>
        <v>43.1154847258082</v>
      </c>
    </row>
    <row r="34" customFormat="false" ht="12.8" hidden="false" customHeight="false" outlineLevel="0" collapsed="false">
      <c r="A34" s="1" t="n">
        <v>77</v>
      </c>
      <c r="B34" s="2" t="n">
        <v>970952593</v>
      </c>
      <c r="C34" s="1" t="s">
        <v>219</v>
      </c>
      <c r="I34" s="1"/>
    </row>
    <row r="35" customFormat="false" ht="12.8" hidden="false" customHeight="false" outlineLevel="0" collapsed="false">
      <c r="A35" s="1" t="n">
        <v>80</v>
      </c>
      <c r="B35" s="2" t="n">
        <v>970952593</v>
      </c>
      <c r="C35" s="1" t="s">
        <v>220</v>
      </c>
      <c r="I35" s="1"/>
    </row>
    <row r="36" customFormat="false" ht="12.8" hidden="false" customHeight="false" outlineLevel="0" collapsed="false">
      <c r="A36" s="1" t="n">
        <v>81</v>
      </c>
      <c r="B36" s="2" t="n">
        <v>261242199</v>
      </c>
      <c r="C36" s="1" t="s">
        <v>3</v>
      </c>
      <c r="I36" s="1"/>
    </row>
    <row r="37" customFormat="false" ht="12.8" hidden="false" customHeight="false" outlineLevel="0" collapsed="false">
      <c r="A37" s="1" t="n">
        <v>82</v>
      </c>
      <c r="B37" s="2" t="n">
        <v>11246055</v>
      </c>
      <c r="C37" s="1" t="s">
        <v>200</v>
      </c>
      <c r="I37" s="1"/>
    </row>
    <row r="38" customFormat="false" ht="12.8" hidden="false" customHeight="false" outlineLevel="0" collapsed="false">
      <c r="A38" s="1" t="n">
        <v>83</v>
      </c>
      <c r="B38" s="2" t="n">
        <v>154260904</v>
      </c>
      <c r="C38" s="1" t="s">
        <v>4</v>
      </c>
      <c r="I38" s="1"/>
    </row>
    <row r="39" customFormat="false" ht="12.8" hidden="false" customHeight="false" outlineLevel="0" collapsed="false">
      <c r="A39" s="1" t="n">
        <v>84</v>
      </c>
      <c r="B39" s="2" t="n">
        <v>5948530</v>
      </c>
      <c r="C39" s="1" t="s">
        <v>221</v>
      </c>
      <c r="H39" s="11" t="s">
        <v>222</v>
      </c>
      <c r="I39" s="1"/>
    </row>
    <row r="40" customFormat="false" ht="12.8" hidden="false" customHeight="false" outlineLevel="0" collapsed="false">
      <c r="A40" s="1" t="n">
        <v>85</v>
      </c>
      <c r="B40" s="2" t="n">
        <v>1520948</v>
      </c>
      <c r="C40" s="1" t="s">
        <v>223</v>
      </c>
      <c r="I40" s="1"/>
    </row>
    <row r="41" customFormat="false" ht="12.8" hidden="false" customHeight="false" outlineLevel="0" collapsed="false">
      <c r="B41" s="1"/>
      <c r="I41" s="1"/>
    </row>
    <row r="42" customFormat="false" ht="12.8" hidden="false" customHeight="false" outlineLevel="0" collapsed="false">
      <c r="B42" s="1"/>
      <c r="C42" s="1" t="s">
        <v>224</v>
      </c>
      <c r="I42" s="1"/>
    </row>
    <row r="43" customFormat="false" ht="12.8" hidden="false" customHeight="false" outlineLevel="0" collapsed="false">
      <c r="A43" s="1" t="n">
        <v>86</v>
      </c>
      <c r="B43" s="2" t="n">
        <v>210639425</v>
      </c>
      <c r="C43" s="1" t="s">
        <v>225</v>
      </c>
      <c r="I43" s="1"/>
    </row>
    <row r="44" customFormat="false" ht="12.8" hidden="false" customHeight="false" outlineLevel="0" collapsed="false">
      <c r="A44" s="1" t="n">
        <v>87</v>
      </c>
      <c r="B44" s="2" t="n">
        <v>115481077</v>
      </c>
      <c r="C44" s="1" t="s">
        <v>200</v>
      </c>
      <c r="I44" s="1"/>
    </row>
    <row r="45" customFormat="false" ht="12.8" hidden="false" customHeight="false" outlineLevel="0" collapsed="false">
      <c r="A45" s="1" t="n">
        <v>88</v>
      </c>
      <c r="B45" s="2" t="n">
        <v>31308290</v>
      </c>
      <c r="C45" s="1" t="s">
        <v>226</v>
      </c>
      <c r="I45" s="1"/>
    </row>
    <row r="46" customFormat="false" ht="12.8" hidden="false" customHeight="false" outlineLevel="0" collapsed="false">
      <c r="A46" s="1" t="n">
        <v>89</v>
      </c>
      <c r="B46" s="2" t="n">
        <v>2125357</v>
      </c>
      <c r="C46" s="1" t="s">
        <v>227</v>
      </c>
      <c r="I46" s="1"/>
    </row>
    <row r="47" customFormat="false" ht="12.8" hidden="false" customHeight="false" outlineLevel="0" collapsed="false">
      <c r="A47" s="1" t="n">
        <v>90</v>
      </c>
      <c r="B47" s="2" t="n">
        <v>6862486</v>
      </c>
      <c r="C47" s="1" t="s">
        <v>228</v>
      </c>
      <c r="I47" s="1"/>
    </row>
    <row r="48" customFormat="false" ht="12.8" hidden="false" customHeight="false" outlineLevel="0" collapsed="false">
      <c r="B48" s="1"/>
      <c r="I48" s="1"/>
    </row>
    <row r="49" customFormat="false" ht="12.8" hidden="false" customHeight="false" outlineLevel="0" collapsed="false">
      <c r="B49" s="1"/>
      <c r="C49" s="1" t="s">
        <v>229</v>
      </c>
      <c r="I49" s="1"/>
    </row>
    <row r="50" customFormat="false" ht="12.8" hidden="false" customHeight="false" outlineLevel="0" collapsed="false">
      <c r="A50" s="1" t="n">
        <v>92</v>
      </c>
      <c r="B50" s="2" t="n">
        <v>139921086</v>
      </c>
      <c r="C50" s="1" t="s">
        <v>230</v>
      </c>
      <c r="I50" s="1"/>
    </row>
    <row r="51" customFormat="false" ht="12.8" hidden="false" customHeight="false" outlineLevel="0" collapsed="false">
      <c r="A51" s="1" t="n">
        <v>93</v>
      </c>
      <c r="B51" s="2" t="n">
        <v>64034055</v>
      </c>
      <c r="C51" s="1" t="s">
        <v>231</v>
      </c>
      <c r="I51" s="1"/>
    </row>
    <row r="52" customFormat="false" ht="12.8" hidden="false" customHeight="false" outlineLevel="0" collapsed="false">
      <c r="A52" s="1" t="n">
        <v>94</v>
      </c>
      <c r="B52" s="2" t="n">
        <v>91304430</v>
      </c>
      <c r="C52" s="1" t="s">
        <v>232</v>
      </c>
      <c r="I52" s="1"/>
    </row>
    <row r="53" customFormat="false" ht="12.8" hidden="false" customHeight="false" outlineLevel="0" collapsed="false">
      <c r="A53" s="1" t="n">
        <v>95</v>
      </c>
      <c r="B53" s="2" t="n">
        <v>2493584</v>
      </c>
      <c r="C53" s="1" t="s">
        <v>200</v>
      </c>
      <c r="I53" s="1"/>
    </row>
    <row r="54" customFormat="false" ht="12.8" hidden="false" customHeight="false" outlineLevel="0" collapsed="false">
      <c r="A54" s="1" t="n">
        <v>96</v>
      </c>
      <c r="B54" s="2" t="n">
        <v>19104684</v>
      </c>
      <c r="C54" s="1" t="s">
        <v>233</v>
      </c>
      <c r="I54" s="1"/>
    </row>
    <row r="55" customFormat="false" ht="12.8" hidden="false" customHeight="false" outlineLevel="0" collapsed="false">
      <c r="B55" s="1"/>
      <c r="I55" s="1"/>
    </row>
    <row r="56" customFormat="false" ht="12.8" hidden="false" customHeight="false" outlineLevel="0" collapsed="false">
      <c r="B56" s="1"/>
      <c r="C56" s="1" t="s">
        <v>234</v>
      </c>
      <c r="I56" s="1"/>
    </row>
    <row r="57" customFormat="false" ht="12.8" hidden="false" customHeight="false" outlineLevel="0" collapsed="false">
      <c r="A57" s="1" t="n">
        <v>97</v>
      </c>
      <c r="B57" s="2" t="n">
        <v>40804082</v>
      </c>
      <c r="C57" s="1" t="s">
        <v>235</v>
      </c>
      <c r="I57" s="1"/>
    </row>
    <row r="58" customFormat="false" ht="12.8" hidden="false" customHeight="false" outlineLevel="0" collapsed="false">
      <c r="A58" s="1" t="n">
        <v>98</v>
      </c>
      <c r="B58" s="2" t="n">
        <v>7330776</v>
      </c>
      <c r="C58" s="1" t="s">
        <v>200</v>
      </c>
      <c r="I58" s="1"/>
    </row>
    <row r="59" customFormat="false" ht="12.8" hidden="false" customHeight="false" outlineLevel="0" collapsed="false">
      <c r="A59" s="1" t="n">
        <v>99</v>
      </c>
      <c r="B59" s="2" t="n">
        <v>50842940</v>
      </c>
      <c r="C59" s="1" t="s">
        <v>236</v>
      </c>
      <c r="I59" s="1"/>
    </row>
    <row r="60" customFormat="false" ht="12.8" hidden="false" customHeight="false" outlineLevel="0" collapsed="false">
      <c r="A60" s="1" t="n">
        <v>100</v>
      </c>
      <c r="B60" s="2" t="n">
        <v>11410651</v>
      </c>
      <c r="C60" s="1" t="s">
        <v>200</v>
      </c>
      <c r="I60" s="1"/>
    </row>
    <row r="61" customFormat="false" ht="12.8" hidden="false" customHeight="false" outlineLevel="0" collapsed="false">
      <c r="A61" s="1" t="n">
        <v>101</v>
      </c>
      <c r="B61" s="2" t="n">
        <v>73963667</v>
      </c>
      <c r="C61" s="1" t="s">
        <v>237</v>
      </c>
      <c r="I61" s="1"/>
    </row>
    <row r="62" customFormat="false" ht="12.8" hidden="false" customHeight="false" outlineLevel="0" collapsed="false">
      <c r="A62" s="1" t="n">
        <v>102</v>
      </c>
      <c r="B62" s="2" t="n">
        <v>70174828</v>
      </c>
      <c r="C62" s="1" t="s">
        <v>238</v>
      </c>
      <c r="I62" s="1"/>
    </row>
    <row r="63" customFormat="false" ht="12.8" hidden="false" customHeight="false" outlineLevel="0" collapsed="false">
      <c r="A63" s="1" t="n">
        <v>103</v>
      </c>
      <c r="B63" s="2" t="n">
        <v>23513004</v>
      </c>
      <c r="C63" s="1" t="s">
        <v>200</v>
      </c>
      <c r="I63" s="1"/>
    </row>
    <row r="64" customFormat="false" ht="12.8" hidden="false" customHeight="false" outlineLevel="0" collapsed="false">
      <c r="A64" s="1" t="n">
        <v>104</v>
      </c>
      <c r="B64" s="2" t="n">
        <v>29822118</v>
      </c>
      <c r="C64" s="1" t="s">
        <v>239</v>
      </c>
      <c r="I64" s="1"/>
    </row>
    <row r="65" customFormat="false" ht="12.8" hidden="false" customHeight="false" outlineLevel="0" collapsed="false">
      <c r="A65" s="1" t="n">
        <v>105</v>
      </c>
      <c r="B65" s="2" t="n">
        <v>1996993</v>
      </c>
      <c r="C65" s="1" t="s">
        <v>200</v>
      </c>
      <c r="I65" s="1"/>
    </row>
    <row r="66" customFormat="false" ht="12.8" hidden="false" customHeight="false" outlineLevel="0" collapsed="false">
      <c r="B66" s="1"/>
      <c r="I66" s="1"/>
    </row>
    <row r="67" customFormat="false" ht="12.8" hidden="false" customHeight="false" outlineLevel="0" collapsed="false">
      <c r="B67" s="1"/>
      <c r="C67" s="1" t="s">
        <v>240</v>
      </c>
      <c r="I67" s="1"/>
    </row>
    <row r="68" customFormat="false" ht="12.8" hidden="false" customHeight="false" outlineLevel="0" collapsed="false">
      <c r="A68" s="1" t="n">
        <v>106</v>
      </c>
      <c r="B68" s="2" t="n">
        <v>70736763</v>
      </c>
      <c r="C68" s="1" t="s">
        <v>241</v>
      </c>
      <c r="I68" s="1"/>
    </row>
    <row r="69" customFormat="false" ht="12.8" hidden="false" customHeight="false" outlineLevel="0" collapsed="false">
      <c r="A69" s="1" t="n">
        <v>107</v>
      </c>
      <c r="B69" s="2" t="n">
        <v>56822839</v>
      </c>
      <c r="C69" s="1" t="s">
        <v>242</v>
      </c>
      <c r="I69" s="1"/>
    </row>
    <row r="70" customFormat="false" ht="12.8" hidden="false" customHeight="false" outlineLevel="0" collapsed="false">
      <c r="A70" s="1" t="n">
        <v>108</v>
      </c>
      <c r="B70" s="2" t="n">
        <v>17950217</v>
      </c>
      <c r="C70" s="1" t="s">
        <v>243</v>
      </c>
      <c r="I70" s="1"/>
    </row>
    <row r="71" customFormat="false" ht="12.8" hidden="false" customHeight="false" outlineLevel="0" collapsed="false">
      <c r="A71" s="1" t="n">
        <v>109</v>
      </c>
      <c r="B71" s="2" t="n">
        <v>47288342</v>
      </c>
      <c r="C71" s="1" t="s">
        <v>244</v>
      </c>
      <c r="I71" s="1"/>
    </row>
    <row r="72" customFormat="false" ht="12.8" hidden="false" customHeight="false" outlineLevel="0" collapsed="false">
      <c r="A72" s="1" t="n">
        <v>110</v>
      </c>
      <c r="B72" s="2" t="n">
        <v>104294246</v>
      </c>
      <c r="C72" s="1" t="s">
        <v>245</v>
      </c>
      <c r="I72" s="1"/>
    </row>
    <row r="73" customFormat="false" ht="12.8" hidden="false" customHeight="false" outlineLevel="0" collapsed="false">
      <c r="B73" s="1"/>
      <c r="I73" s="1"/>
    </row>
    <row r="74" customFormat="false" ht="12.8" hidden="false" customHeight="false" outlineLevel="0" collapsed="false">
      <c r="B74" s="1"/>
      <c r="C74" s="1" t="s">
        <v>246</v>
      </c>
      <c r="I74" s="1"/>
    </row>
    <row r="75" customFormat="false" ht="12.8" hidden="false" customHeight="false" outlineLevel="0" collapsed="false">
      <c r="A75" s="1" t="n">
        <v>111</v>
      </c>
      <c r="B75" s="2" t="n">
        <v>4637136</v>
      </c>
      <c r="C75" s="1" t="s">
        <v>247</v>
      </c>
      <c r="I75" s="1"/>
    </row>
    <row r="76" customFormat="false" ht="12.8" hidden="false" customHeight="false" outlineLevel="0" collapsed="false">
      <c r="A76" s="1" t="n">
        <v>112</v>
      </c>
      <c r="B76" s="2" t="n">
        <v>221918021</v>
      </c>
      <c r="C76" s="1" t="s">
        <v>248</v>
      </c>
      <c r="I76" s="1"/>
    </row>
    <row r="77" customFormat="false" ht="12.8" hidden="false" customHeight="false" outlineLevel="0" collapsed="false">
      <c r="B77" s="1"/>
      <c r="I77" s="1"/>
    </row>
    <row r="78" customFormat="false" ht="12.8" hidden="false" customHeight="false" outlineLevel="0" collapsed="false">
      <c r="A78" s="1" t="n">
        <v>113</v>
      </c>
      <c r="B78" s="2" t="n">
        <v>258365240</v>
      </c>
      <c r="C78" s="1" t="s">
        <v>249</v>
      </c>
      <c r="I78" s="1"/>
    </row>
    <row r="79" customFormat="false" ht="12.8" hidden="false" customHeight="false" outlineLevel="0" collapsed="false">
      <c r="A79" s="1" t="n">
        <v>114</v>
      </c>
      <c r="B79" s="2" t="n">
        <v>57571921</v>
      </c>
      <c r="C79" s="1" t="s">
        <v>250</v>
      </c>
      <c r="I79" s="1"/>
    </row>
    <row r="80" customFormat="false" ht="12.8" hidden="false" customHeight="false" outlineLevel="0" collapsed="false">
      <c r="A80" s="1" t="n">
        <v>115</v>
      </c>
      <c r="B80" s="2" t="n">
        <v>83016300</v>
      </c>
      <c r="C80" s="1" t="s">
        <v>251</v>
      </c>
      <c r="I80" s="1"/>
    </row>
    <row r="81" customFormat="false" ht="12.8" hidden="false" customHeight="false" outlineLevel="0" collapsed="false">
      <c r="A81" s="1" t="n">
        <v>116</v>
      </c>
      <c r="B81" s="2" t="n">
        <v>84047666</v>
      </c>
      <c r="C81" s="1" t="s">
        <v>252</v>
      </c>
      <c r="I81" s="1"/>
    </row>
    <row r="82" customFormat="false" ht="12.8" hidden="false" customHeight="false" outlineLevel="0" collapsed="false">
      <c r="A82" s="1" t="n">
        <v>117</v>
      </c>
      <c r="B82" s="2" t="n">
        <v>7205635</v>
      </c>
      <c r="C82" s="1" t="s">
        <v>253</v>
      </c>
      <c r="I82" s="1"/>
    </row>
    <row r="83" customFormat="false" ht="12.8" hidden="false" customHeight="false" outlineLevel="0" collapsed="false">
      <c r="A83" s="1" t="n">
        <v>118</v>
      </c>
      <c r="B83" s="2" t="n">
        <v>84095639</v>
      </c>
      <c r="C83" s="1" t="s">
        <v>254</v>
      </c>
      <c r="I83" s="1"/>
    </row>
    <row r="84" customFormat="false" ht="12.8" hidden="false" customHeight="false" outlineLevel="0" collapsed="false">
      <c r="B84" s="1"/>
      <c r="I84" s="1"/>
    </row>
    <row r="85" customFormat="false" ht="12.8" hidden="false" customHeight="false" outlineLevel="0" collapsed="false">
      <c r="A85" s="1" t="n">
        <v>119</v>
      </c>
      <c r="B85" s="2" t="n">
        <v>10953454</v>
      </c>
      <c r="C85" s="1" t="s">
        <v>255</v>
      </c>
      <c r="I85" s="1"/>
    </row>
    <row r="86" customFormat="false" ht="12.8" hidden="false" customHeight="false" outlineLevel="0" collapsed="false">
      <c r="B86" s="1"/>
      <c r="I86" s="1"/>
    </row>
    <row r="87" customFormat="false" ht="12.8" hidden="false" customHeight="false" outlineLevel="0" collapsed="false">
      <c r="A87" s="1" t="n">
        <v>120</v>
      </c>
      <c r="B87" s="2" t="n">
        <v>441220240</v>
      </c>
      <c r="C87" s="1" t="s">
        <v>256</v>
      </c>
      <c r="I87" s="1"/>
    </row>
    <row r="88" customFormat="false" ht="12.8" hidden="false" customHeight="false" outlineLevel="0" collapsed="false">
      <c r="A88" s="1" t="n">
        <v>121</v>
      </c>
      <c r="B88" s="2" t="n">
        <v>44684493</v>
      </c>
      <c r="C88" s="1" t="s">
        <v>257</v>
      </c>
      <c r="I88" s="1"/>
    </row>
    <row r="89" customFormat="false" ht="12.8" hidden="false" customHeight="false" outlineLevel="0" collapsed="false">
      <c r="A89" s="1" t="n">
        <v>122</v>
      </c>
      <c r="B89" s="2" t="n">
        <v>378320653</v>
      </c>
      <c r="C89" s="1" t="s">
        <v>258</v>
      </c>
      <c r="I89" s="1"/>
    </row>
    <row r="90" customFormat="false" ht="12.8" hidden="false" customHeight="false" outlineLevel="0" collapsed="false">
      <c r="A90" s="1" t="n">
        <v>123</v>
      </c>
      <c r="B90" s="2" t="n">
        <v>8987734</v>
      </c>
      <c r="C90" s="1" t="s">
        <v>259</v>
      </c>
      <c r="I90" s="1"/>
    </row>
    <row r="91" customFormat="false" ht="12.8" hidden="false" customHeight="false" outlineLevel="0" collapsed="false">
      <c r="A91" s="1" t="n">
        <v>124</v>
      </c>
      <c r="B91" s="2" t="n">
        <v>9227360</v>
      </c>
      <c r="C91" s="1" t="s">
        <v>260</v>
      </c>
      <c r="I91" s="1"/>
    </row>
    <row r="92" customFormat="false" ht="12.8" hidden="false" customHeight="false" outlineLevel="0" collapsed="false">
      <c r="B92" s="1"/>
      <c r="I92" s="1"/>
    </row>
    <row r="93" customFormat="false" ht="12.8" hidden="false" customHeight="false" outlineLevel="0" collapsed="false">
      <c r="A93" s="1" t="n">
        <v>125</v>
      </c>
      <c r="B93" s="2" t="n">
        <v>3156057807</v>
      </c>
      <c r="C93" s="1" t="s">
        <v>261</v>
      </c>
      <c r="I93" s="1"/>
    </row>
    <row r="94" customFormat="false" ht="12.8" hidden="false" customHeight="false" outlineLevel="0" collapsed="false">
      <c r="B94" s="1"/>
      <c r="I94" s="1"/>
    </row>
    <row r="95" customFormat="false" ht="12.8" hidden="false" customHeight="false" outlineLevel="0" collapsed="false">
      <c r="A95" s="1" t="n">
        <v>126</v>
      </c>
      <c r="B95" s="2" t="n">
        <v>39916091</v>
      </c>
      <c r="C95" s="1" t="s">
        <v>262</v>
      </c>
      <c r="I95" s="1"/>
    </row>
    <row r="96" customFormat="false" ht="12.8" hidden="false" customHeight="false" outlineLevel="0" collapsed="false">
      <c r="A96" s="1" t="n">
        <v>127</v>
      </c>
      <c r="B96" s="2" t="n">
        <v>3116141716</v>
      </c>
      <c r="C96" s="1" t="s">
        <v>263</v>
      </c>
      <c r="I96" s="1"/>
    </row>
    <row r="97" customFormat="false" ht="12.8" hidden="false" customHeight="false" outlineLevel="0" collapsed="false">
      <c r="A97" s="1" t="n">
        <v>134</v>
      </c>
      <c r="B97" s="2" t="n">
        <v>396508756</v>
      </c>
      <c r="C97" s="1" t="s">
        <v>264</v>
      </c>
      <c r="I97" s="1"/>
    </row>
    <row r="98" customFormat="false" ht="12.8" hidden="false" customHeight="false" outlineLevel="0" collapsed="false">
      <c r="A98" s="1" t="n">
        <v>135</v>
      </c>
      <c r="B98" s="2" t="n">
        <v>330870948</v>
      </c>
      <c r="C98" s="1" t="s">
        <v>265</v>
      </c>
      <c r="I98" s="1"/>
    </row>
    <row r="99" customFormat="false" ht="12.8" hidden="false" customHeight="false" outlineLevel="0" collapsed="false">
      <c r="B99" s="1"/>
      <c r="I99" s="1"/>
    </row>
    <row r="100" customFormat="false" ht="12.8" hidden="false" customHeight="false" outlineLevel="0" collapsed="false">
      <c r="A100" s="1" t="n">
        <v>136</v>
      </c>
      <c r="B100" s="2" t="n">
        <v>5597885800</v>
      </c>
      <c r="C100" s="1" t="s">
        <v>266</v>
      </c>
      <c r="I100" s="1"/>
    </row>
    <row r="101" customFormat="false" ht="12.8" hidden="false" customHeight="false" outlineLevel="0" collapsed="false">
      <c r="B101" s="1"/>
      <c r="I101" s="1"/>
    </row>
    <row r="102" customFormat="false" ht="12.8" hidden="false" customHeight="false" outlineLevel="0" collapsed="false">
      <c r="A102" s="1" t="n">
        <v>137</v>
      </c>
      <c r="B102" s="2" t="n">
        <v>5597885800</v>
      </c>
      <c r="C102" s="1" t="s">
        <v>267</v>
      </c>
      <c r="I102" s="1"/>
    </row>
    <row r="103" customFormat="false" ht="12.8" hidden="false" customHeight="false" outlineLevel="0" collapsed="false">
      <c r="A103" s="1" t="n">
        <v>138</v>
      </c>
      <c r="B103" s="2" t="n">
        <v>69163890</v>
      </c>
      <c r="C103" s="1" t="s">
        <v>268</v>
      </c>
      <c r="I103" s="1"/>
    </row>
    <row r="104" customFormat="false" ht="12.8" hidden="false" customHeight="false" outlineLevel="0" collapsed="false">
      <c r="A104" s="1" t="n">
        <v>139</v>
      </c>
      <c r="B104" s="2" t="n">
        <v>5410799375</v>
      </c>
      <c r="C104" s="1" t="s">
        <v>269</v>
      </c>
      <c r="I104" s="1"/>
    </row>
    <row r="105" customFormat="false" ht="12.8" hidden="false" customHeight="false" outlineLevel="0" collapsed="false">
      <c r="A105" s="1" t="n">
        <v>140</v>
      </c>
      <c r="B105" s="2" t="n">
        <v>104899961</v>
      </c>
      <c r="C105" s="1" t="s">
        <v>270</v>
      </c>
      <c r="I105" s="1"/>
    </row>
    <row r="106" customFormat="false" ht="12.8" hidden="false" customHeight="false" outlineLevel="0" collapsed="false">
      <c r="A106" s="1" t="n">
        <v>141</v>
      </c>
      <c r="B106" s="12" t="n">
        <v>13022574</v>
      </c>
      <c r="C106" s="13" t="s">
        <v>271</v>
      </c>
      <c r="I106" s="1"/>
    </row>
    <row r="107" customFormat="false" ht="12.8" hidden="false" customHeight="false" outlineLevel="0" collapsed="false">
      <c r="B107" s="1"/>
      <c r="I107" s="1"/>
    </row>
    <row r="108" customFormat="false" ht="12.8" hidden="false" customHeight="false" outlineLevel="0" collapsed="false">
      <c r="B108" s="1"/>
      <c r="I108" s="1"/>
    </row>
    <row r="109" customFormat="false" ht="12.8" hidden="false" customHeight="false" outlineLevel="0" collapsed="false">
      <c r="B109" s="1"/>
      <c r="I109" s="1"/>
    </row>
    <row r="110" customFormat="false" ht="12.8" hidden="false" customHeight="false" outlineLevel="0" collapsed="false">
      <c r="B110" s="1"/>
      <c r="I110" s="1"/>
    </row>
    <row r="111" customFormat="false" ht="12.8" hidden="false" customHeight="false" outlineLevel="0" collapsed="false">
      <c r="B111" s="1"/>
      <c r="I111" s="1"/>
    </row>
    <row r="112" customFormat="false" ht="12.8" hidden="false" customHeight="false" outlineLevel="0" collapsed="false">
      <c r="B112" s="1"/>
      <c r="I112" s="1"/>
    </row>
    <row r="113" customFormat="false" ht="12.8" hidden="false" customHeight="false" outlineLevel="0" collapsed="false">
      <c r="B113" s="1"/>
      <c r="I113" s="1"/>
    </row>
    <row r="114" customFormat="false" ht="12.8" hidden="false" customHeight="false" outlineLevel="0" collapsed="false">
      <c r="B114" s="1"/>
      <c r="I114" s="1"/>
    </row>
    <row r="115" customFormat="false" ht="12.8" hidden="false" customHeight="false" outlineLevel="0" collapsed="false">
      <c r="B115" s="1"/>
      <c r="I115" s="1"/>
    </row>
    <row r="116" customFormat="false" ht="12.8" hidden="false" customHeight="false" outlineLevel="0" collapsed="false">
      <c r="B116" s="1"/>
      <c r="I116" s="1"/>
    </row>
    <row r="117" customFormat="false" ht="12.8" hidden="false" customHeight="false" outlineLevel="0" collapsed="false">
      <c r="B117" s="1"/>
      <c r="I117"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53515625" defaultRowHeight="12.8" zeroHeight="false" outlineLevelRow="0" outlineLevelCol="0"/>
  <sheetData>
    <row r="4" customFormat="false" ht="12.8" hidden="false" customHeight="false" outlineLevel="0" collapsed="false">
      <c r="A4" s="1" t="s">
        <v>272</v>
      </c>
    </row>
    <row r="5" customFormat="false" ht="12.8" hidden="false" customHeight="false" outlineLevel="0" collapsed="false">
      <c r="A5" s="1" t="s">
        <v>273</v>
      </c>
    </row>
    <row r="7" customFormat="false" ht="12.8" hidden="false" customHeight="false" outlineLevel="0" collapsed="false">
      <c r="A7" s="1" t="s">
        <v>274</v>
      </c>
    </row>
    <row r="9" customFormat="false" ht="12.8" hidden="false" customHeight="false" outlineLevel="0" collapsed="false">
      <c r="A9" s="1" t="s">
        <v>275</v>
      </c>
    </row>
    <row r="11" customFormat="false" ht="12.8" hidden="false" customHeight="false" outlineLevel="0" collapsed="false">
      <c r="A11" s="1" t="s">
        <v>276</v>
      </c>
    </row>
    <row r="13" customFormat="false" ht="12.8" hidden="false" customHeight="false" outlineLevel="0" collapsed="false">
      <c r="A13" s="1" t="s">
        <v>277</v>
      </c>
    </row>
    <row r="15" customFormat="false" ht="12.8" hidden="false" customHeight="false" outlineLevel="0" collapsed="false">
      <c r="A15" s="1" t="s">
        <v>278</v>
      </c>
    </row>
    <row r="16" customFormat="false" ht="12.8" hidden="false" customHeight="false" outlineLevel="0" collapsed="false">
      <c r="A16" s="1" t="s">
        <v>279</v>
      </c>
    </row>
    <row r="17" customFormat="false" ht="12.8" hidden="false" customHeight="false" outlineLevel="0" collapsed="false">
      <c r="A17" s="1" t="s">
        <v>280</v>
      </c>
    </row>
    <row r="19" customFormat="false" ht="12.8" hidden="false" customHeight="false" outlineLevel="0" collapsed="false">
      <c r="A19" s="1" t="s">
        <v>281</v>
      </c>
    </row>
    <row r="21" customFormat="false" ht="12.8" hidden="false" customHeight="false" outlineLevel="0" collapsed="false">
      <c r="A21" s="1" t="s">
        <v>282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2025-07-31T12:39:42Z</dcterms:created>
  <dc:creator/>
  <dc:description/>
  <dc:language>en-US</dc:language>
  <cp:lastModifiedBy/>
  <dcterms:modified xsi:type="dcterms:W3CDTF">2025-07-31T15:04:43Z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