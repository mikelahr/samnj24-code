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static" sheetId="2" state="visible" r:id="rId2"/>
    <sheet xmlns:r="http://schemas.openxmlformats.org/officeDocument/2006/relationships" name="explore" sheetId="3" state="visible" r:id="rId3"/>
    <sheet xmlns:r="http://schemas.openxmlformats.org/officeDocument/2006/relationships" name="naics31" sheetId="4" state="visible" r:id="rId4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bottom" textRotation="60"/>
    </xf>
    <xf numFmtId="1" fontId="0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0" fontId="0" fillId="0" borderId="3" applyAlignment="1" pivotButton="0" quotePrefix="0" xfId="0">
      <alignment horizontal="general" vertical="bottom"/>
    </xf>
    <xf numFmtId="0" fontId="0" fillId="0" borderId="4" applyAlignment="1" pivotButton="0" quotePrefix="0" xfId="0">
      <alignment horizontal="general" vertical="bottom"/>
    </xf>
    <xf numFmtId="0" fontId="0" fillId="0" borderId="5" applyAlignment="1" pivotButton="0" quotePrefix="0" xfId="0">
      <alignment horizontal="general" vertical="bottom"/>
    </xf>
    <xf numFmtId="0" fontId="0" fillId="0" borderId="6" applyAlignment="1" pivotButton="0" quotePrefix="0" xfId="0">
      <alignment horizontal="general" vertical="bottom"/>
    </xf>
    <xf numFmtId="0" fontId="0" fillId="0" borderId="7" applyAlignment="1" pivotButton="0" quotePrefix="0" xfId="0">
      <alignment horizontal="general" vertical="bottom"/>
    </xf>
    <xf numFmtId="0" fontId="0" fillId="0" borderId="7" applyAlignment="1" pivotButton="0" quotePrefix="0" xfId="0">
      <alignment horizontal="general" vertical="bottom"/>
    </xf>
    <xf numFmtId="0" fontId="0" fillId="0" borderId="8" applyAlignment="1" pivotButton="0" quotePrefix="0" xfId="0">
      <alignment horizontal="general" vertical="bottom"/>
    </xf>
    <xf numFmtId="2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bottom" textRotation="60"/>
    </xf>
    <xf numFmtId="1" fontId="0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0" fontId="0" fillId="0" borderId="3" applyAlignment="1" pivotButton="0" quotePrefix="0" xfId="0">
      <alignment horizontal="general" vertical="bottom"/>
    </xf>
    <xf numFmtId="0" fontId="0" fillId="0" borderId="4" applyAlignment="1" pivotButton="0" quotePrefix="0" xfId="0">
      <alignment horizontal="general" vertical="bottom"/>
    </xf>
    <xf numFmtId="0" fontId="0" fillId="0" borderId="5" applyAlignment="1" pivotButton="0" quotePrefix="0" xfId="0">
      <alignment horizontal="general" vertical="bottom"/>
    </xf>
    <xf numFmtId="0" fontId="0" fillId="0" borderId="6" applyAlignment="1" pivotButton="0" quotePrefix="0" xfId="0">
      <alignment horizontal="general" vertical="bottom"/>
    </xf>
    <xf numFmtId="0" fontId="0" fillId="0" borderId="7" applyAlignment="1" pivotButton="0" quotePrefix="0" xfId="0">
      <alignment horizontal="general" vertical="bottom"/>
    </xf>
    <xf numFmtId="0" fontId="0" fillId="0" borderId="8" applyAlignment="1" pivotButton="0" quotePrefix="0" xfId="0">
      <alignment horizontal="general" vertical="bottom"/>
    </xf>
    <xf numFmtId="2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C15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selection pane="topLeft" activeCell="B8" activeCellId="0" sqref="B8"/>
    </sheetView>
  </sheetViews>
  <sheetFormatPr baseColWidth="8" defaultColWidth="11.53515625" defaultRowHeight="12.8" zeroHeight="0" outlineLevelRow="0"/>
  <sheetData>
    <row r="2" ht="12.8" customHeight="1" s="18">
      <c r="B2" s="19" t="inlineStr">
        <is>
          <t>Parameters for bridging QCEW to benchmark SUT construction sectors</t>
        </is>
      </c>
    </row>
    <row r="4" ht="12.8" customHeight="1" s="18">
      <c r="B4" s="19" t="inlineStr">
        <is>
          <t>for a given quantitative variable (establishments, employment, wages) benchmark value is obtained from QCEW values as:</t>
        </is>
      </c>
    </row>
    <row r="6" ht="12.8" customHeight="1" s="18">
      <c r="B6" s="19" t="inlineStr">
        <is>
          <t>val_benchmark = static  dot val_qcew</t>
        </is>
      </c>
    </row>
    <row r="8" ht="12.8" customHeight="1" s="18">
      <c r="B8" s="19" t="n"/>
      <c r="C8" s="19" t="n"/>
    </row>
    <row r="9" ht="12.8" customHeight="1" s="18">
      <c r="C9" s="19" t="n"/>
    </row>
    <row r="10" ht="12.8" customHeight="1" s="18">
      <c r="C10" s="19" t="n"/>
    </row>
    <row r="11" ht="12.8" customHeight="1" s="18">
      <c r="C11" s="19" t="n"/>
    </row>
    <row r="12" ht="12.8" customHeight="1" s="18">
      <c r="C12" s="19" t="n"/>
    </row>
    <row r="13" ht="12.8" customHeight="1" s="18">
      <c r="C13" s="19" t="n"/>
    </row>
    <row r="14" ht="12.8" customHeight="1" s="18">
      <c r="C14" s="19" t="n"/>
    </row>
    <row r="15" ht="12.8" customHeight="1" s="18">
      <c r="C15" s="19" t="n"/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P55"/>
  <sheetViews>
    <sheetView showFormulas="0" showGridLines="1" showRowColHeaders="1" showZeros="1" rightToLeft="0" tabSelected="1" showOutlineSymbols="1" defaultGridColor="1" view="normal" topLeftCell="A1" colorId="64" zoomScale="120" zoomScaleNormal="12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D18" activeCellId="0" sqref="D18"/>
    </sheetView>
  </sheetViews>
  <sheetFormatPr baseColWidth="8" defaultColWidth="11.53515625" defaultRowHeight="12.8" zeroHeight="0" outlineLevelRow="0"/>
  <cols>
    <col width="11.53" customWidth="1" style="20" min="1" max="1"/>
    <col width="7.06" customWidth="1" style="19" min="2" max="2"/>
    <col width="41.49" customWidth="1" style="19" min="3" max="3"/>
  </cols>
  <sheetData>
    <row r="1" ht="12.8" customHeight="1" s="18">
      <c r="B1" s="19" t="n"/>
      <c r="C1" s="19">
        <f>SUM(D1:O1)</f>
        <v/>
      </c>
      <c r="D1" s="20" t="n">
        <v>18.1780974322811</v>
      </c>
      <c r="E1" s="20" t="n">
        <v>4.93656122039187</v>
      </c>
      <c r="F1" s="20" t="n">
        <v>10.0831439040934</v>
      </c>
      <c r="G1" s="20" t="n">
        <v>5.36640386762307</v>
      </c>
      <c r="H1" s="20" t="n">
        <v>3.89663792722459</v>
      </c>
      <c r="I1" s="20" t="n">
        <v>6.63748527640016</v>
      </c>
      <c r="J1" s="20" t="n">
        <v>10.3930840873674</v>
      </c>
      <c r="K1" s="20" t="n">
        <v>4.5236278950008</v>
      </c>
      <c r="L1" s="20" t="n">
        <v>8.239835672135939</v>
      </c>
      <c r="M1" s="20" t="n">
        <v>7.45758738564591</v>
      </c>
      <c r="N1" s="20" t="n">
        <v>8.55323458033177</v>
      </c>
      <c r="O1" s="20" t="n">
        <v>11.7343007515041</v>
      </c>
      <c r="P1" s="19">
        <f>SUM(D1:O1)</f>
        <v/>
      </c>
    </row>
    <row r="2" hidden="1" ht="12.8" customHeight="1" s="18">
      <c r="C2" s="19">
        <f>SUM(D2:O2)</f>
        <v/>
      </c>
      <c r="D2" s="19" t="n">
        <v>94603</v>
      </c>
      <c r="E2" s="19" t="n">
        <v>25691</v>
      </c>
      <c r="F2" s="19" t="n">
        <v>52475</v>
      </c>
      <c r="G2" s="19" t="n">
        <v>27928</v>
      </c>
      <c r="H2" s="19" t="n">
        <v>20279</v>
      </c>
      <c r="I2" s="19" t="n">
        <v>34543</v>
      </c>
      <c r="J2" s="19" t="n">
        <v>54088</v>
      </c>
      <c r="K2" s="19" t="n">
        <v>23542</v>
      </c>
      <c r="L2" s="19" t="n">
        <v>42882</v>
      </c>
      <c r="M2" s="19" t="n">
        <v>38811</v>
      </c>
      <c r="N2" s="19" t="n">
        <v>44513</v>
      </c>
      <c r="O2" s="19" t="n">
        <v>61068</v>
      </c>
    </row>
    <row r="3" ht="12.8" customHeight="1" s="18">
      <c r="C3" s="19" t="inlineStr">
        <is>
          <t>total</t>
        </is>
      </c>
      <c r="D3" s="19" t="inlineStr">
        <is>
          <t>233411</t>
        </is>
      </c>
      <c r="E3" s="19" t="inlineStr">
        <is>
          <t>233412</t>
        </is>
      </c>
      <c r="F3" s="19" t="inlineStr">
        <is>
          <t>2334A0</t>
        </is>
      </c>
      <c r="G3" s="19" t="inlineStr">
        <is>
          <t>230302</t>
        </is>
      </c>
      <c r="H3" s="19" t="inlineStr">
        <is>
          <t>233210</t>
        </is>
      </c>
      <c r="I3" s="19" t="inlineStr">
        <is>
          <t>233262</t>
        </is>
      </c>
      <c r="J3" s="19" t="inlineStr">
        <is>
          <t>2332A0</t>
        </is>
      </c>
      <c r="K3" s="19" t="inlineStr">
        <is>
          <t>233230</t>
        </is>
      </c>
      <c r="L3" s="19" t="inlineStr">
        <is>
          <t>2332D0</t>
        </is>
      </c>
      <c r="M3" s="19" t="inlineStr">
        <is>
          <t>233240</t>
        </is>
      </c>
      <c r="N3" s="19" t="inlineStr">
        <is>
          <t>2332C0</t>
        </is>
      </c>
      <c r="O3" s="19" t="inlineStr">
        <is>
          <t>230301</t>
        </is>
      </c>
      <c r="P3" s="19">
        <f>SUM(D3:O3)</f>
        <v/>
      </c>
    </row>
    <row r="4" ht="125.6" customHeight="1" s="18">
      <c r="A4" s="20" t="inlineStr">
        <is>
          <t>fraction</t>
        </is>
      </c>
      <c r="B4" s="19" t="inlineStr">
        <is>
          <t>code</t>
        </is>
      </c>
      <c r="C4" s="19" t="inlineStr">
        <is>
          <t>description</t>
        </is>
      </c>
      <c r="D4" s="21" t="inlineStr">
        <is>
          <t>Single-family residential structures</t>
        </is>
      </c>
      <c r="E4" s="21" t="inlineStr">
        <is>
          <t>Multifamily residential structures</t>
        </is>
      </c>
      <c r="F4" s="21" t="inlineStr">
        <is>
          <t>Other residential structures</t>
        </is>
      </c>
      <c r="G4" s="21" t="inlineStr">
        <is>
          <t>Residential maintenance and repair</t>
        </is>
      </c>
      <c r="H4" s="21" t="inlineStr">
        <is>
          <t>Health care structures</t>
        </is>
      </c>
      <c r="I4" s="21" t="inlineStr">
        <is>
          <t>Educational and vocational structures</t>
        </is>
      </c>
      <c r="J4" s="21" t="inlineStr">
        <is>
          <t>Office and commercial structures</t>
        </is>
      </c>
      <c r="K4" s="21" t="inlineStr">
        <is>
          <t>Manufacturing structures</t>
        </is>
      </c>
      <c r="L4" s="21" t="inlineStr">
        <is>
          <t>Other nonresidential structures</t>
        </is>
      </c>
      <c r="M4" s="21" t="inlineStr">
        <is>
          <t>Power and communication structures</t>
        </is>
      </c>
      <c r="N4" s="21" t="inlineStr">
        <is>
          <t>Transportation struct, highways, streets</t>
        </is>
      </c>
      <c r="O4" s="21" t="inlineStr">
        <is>
          <t>Nonresidential maintenance and repair</t>
        </is>
      </c>
    </row>
    <row r="5" ht="12.8" customHeight="1" s="18">
      <c r="A5" s="20" t="n">
        <v>5.01018611452977</v>
      </c>
      <c r="B5" s="22" t="n">
        <v>236115</v>
      </c>
      <c r="C5" s="19" t="inlineStr">
        <is>
          <t xml:space="preserve">New single-family housing construction (except for-sale builders) </t>
        </is>
      </c>
      <c r="D5" s="23" t="n">
        <v>1</v>
      </c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5" t="n"/>
    </row>
    <row r="6" ht="12.8" customHeight="1" s="18">
      <c r="A6" s="20" t="n">
        <v>0.716848528552351</v>
      </c>
      <c r="B6" s="22" t="n">
        <v>236116</v>
      </c>
      <c r="C6" s="19" t="inlineStr">
        <is>
          <t xml:space="preserve">New multifamily housing construction (except for-sale builders) </t>
        </is>
      </c>
      <c r="D6" s="26" t="n"/>
      <c r="E6" s="19" t="n">
        <v>1</v>
      </c>
      <c r="O6" s="27" t="n"/>
    </row>
    <row r="7" ht="12.8" customHeight="1" s="18">
      <c r="A7" s="20" t="n">
        <v>1.11289267259326</v>
      </c>
      <c r="B7" s="22" t="n">
        <v>236117</v>
      </c>
      <c r="C7" s="19" t="inlineStr">
        <is>
          <t>New housing for-sale builders</t>
        </is>
      </c>
      <c r="D7" s="26" t="n">
        <v>0.4</v>
      </c>
      <c r="E7" s="19" t="n">
        <v>0.1</v>
      </c>
      <c r="F7" s="19" t="n">
        <v>0.3</v>
      </c>
      <c r="G7" s="19" t="n">
        <v>0.2</v>
      </c>
      <c r="O7" s="27" t="n"/>
    </row>
    <row r="8" ht="12.8" customHeight="1" s="18">
      <c r="A8" s="20" t="n">
        <v>4.26457821361736</v>
      </c>
      <c r="B8" s="22" t="n">
        <v>236118</v>
      </c>
      <c r="C8" s="19" t="inlineStr">
        <is>
          <t>Residential remodelers</t>
        </is>
      </c>
      <c r="D8" s="26" t="n">
        <v>0.4</v>
      </c>
      <c r="E8" s="19" t="n">
        <v>0.1</v>
      </c>
      <c r="F8" s="19" t="n">
        <v>0.3</v>
      </c>
      <c r="G8" s="19" t="n">
        <v>0.2</v>
      </c>
      <c r="O8" s="27" t="n"/>
    </row>
    <row r="9" ht="12.8" customHeight="1" s="18">
      <c r="A9" s="20" t="n">
        <v>1.20986987318312</v>
      </c>
      <c r="B9" s="22" t="n">
        <v>238111</v>
      </c>
      <c r="C9" s="19" t="inlineStr">
        <is>
          <t>Residential poured foundation contractors</t>
        </is>
      </c>
      <c r="D9" s="26" t="n">
        <v>0.4</v>
      </c>
      <c r="E9" s="19" t="n">
        <v>0.1</v>
      </c>
      <c r="F9" s="19" t="n">
        <v>0.3</v>
      </c>
      <c r="G9" s="19" t="n">
        <v>0.2</v>
      </c>
      <c r="O9" s="27" t="n"/>
    </row>
    <row r="10" ht="12.8" customHeight="1" s="18">
      <c r="A10" s="20" t="n">
        <v>0.156735567020619</v>
      </c>
      <c r="B10" s="22" t="n">
        <v>238121</v>
      </c>
      <c r="C10" s="19" t="inlineStr">
        <is>
          <t>Residential structural steel contractors</t>
        </is>
      </c>
      <c r="D10" s="26" t="n">
        <v>0.4</v>
      </c>
      <c r="E10" s="19" t="n">
        <v>0.1</v>
      </c>
      <c r="F10" s="19" t="n">
        <v>0.3</v>
      </c>
      <c r="G10" s="19" t="n">
        <v>0.2</v>
      </c>
      <c r="O10" s="27" t="n"/>
    </row>
    <row r="11" ht="12.8" customHeight="1" s="18">
      <c r="A11" s="20" t="n">
        <v>0.619396279161187</v>
      </c>
      <c r="B11" s="22" t="n">
        <v>238131</v>
      </c>
      <c r="C11" s="19" t="inlineStr">
        <is>
          <t xml:space="preserve">Residential framing contractors </t>
        </is>
      </c>
      <c r="D11" s="26" t="n">
        <v>0.4</v>
      </c>
      <c r="E11" s="19" t="n">
        <v>0.1</v>
      </c>
      <c r="F11" s="19" t="n">
        <v>0.3</v>
      </c>
      <c r="G11" s="19" t="n">
        <v>0.2</v>
      </c>
      <c r="O11" s="27" t="n"/>
    </row>
    <row r="12" ht="12.8" customHeight="1" s="18">
      <c r="A12" s="20" t="n">
        <v>0.6348826238883239</v>
      </c>
      <c r="B12" s="22" t="n">
        <v>238141</v>
      </c>
      <c r="C12" s="19" t="inlineStr">
        <is>
          <t xml:space="preserve">Residential masonry contractors </t>
        </is>
      </c>
      <c r="D12" s="26" t="n">
        <v>0.4</v>
      </c>
      <c r="E12" s="19" t="n">
        <v>0.1</v>
      </c>
      <c r="F12" s="19" t="n">
        <v>0.3</v>
      </c>
      <c r="G12" s="19" t="n">
        <v>0.2</v>
      </c>
      <c r="O12" s="27" t="n"/>
    </row>
    <row r="13" ht="12.8" customHeight="1" s="18">
      <c r="A13" s="20" t="n">
        <v>0.259217553744938</v>
      </c>
      <c r="B13" s="22" t="n">
        <v>238151</v>
      </c>
      <c r="C13" s="19" t="inlineStr">
        <is>
          <t xml:space="preserve">Residential glass and glazing contractors </t>
        </is>
      </c>
      <c r="D13" s="26" t="n">
        <v>0.4</v>
      </c>
      <c r="E13" s="19" t="n">
        <v>0.1</v>
      </c>
      <c r="F13" s="19" t="n">
        <v>0.3</v>
      </c>
      <c r="G13" s="19" t="n">
        <v>0.2</v>
      </c>
      <c r="O13" s="27" t="n"/>
    </row>
    <row r="14" ht="12.8" customHeight="1" s="18">
      <c r="A14" s="20" t="n">
        <v>1.20763585107467</v>
      </c>
      <c r="B14" s="22" t="n">
        <v>238161</v>
      </c>
      <c r="C14" s="19" t="inlineStr">
        <is>
          <t xml:space="preserve">Residential roofing contractors </t>
        </is>
      </c>
      <c r="D14" s="26" t="n">
        <v>0.4</v>
      </c>
      <c r="E14" s="19" t="n">
        <v>0.1</v>
      </c>
      <c r="F14" s="19" t="n">
        <v>0.3</v>
      </c>
      <c r="G14" s="19" t="n">
        <v>0.2</v>
      </c>
      <c r="O14" s="27" t="n"/>
    </row>
    <row r="15" ht="12.8" customHeight="1" s="18">
      <c r="A15" s="20" t="n">
        <v>0.345450317512425</v>
      </c>
      <c r="B15" s="22" t="n">
        <v>238171</v>
      </c>
      <c r="C15" s="19" t="inlineStr">
        <is>
          <t xml:space="preserve">Residential siding contractors </t>
        </is>
      </c>
      <c r="D15" s="26" t="n">
        <v>0.4</v>
      </c>
      <c r="E15" s="19" t="n">
        <v>0.1</v>
      </c>
      <c r="F15" s="19" t="n">
        <v>0.3</v>
      </c>
      <c r="G15" s="19" t="n">
        <v>0.2</v>
      </c>
      <c r="O15" s="27" t="n"/>
    </row>
    <row r="16" ht="12.8" customHeight="1" s="18">
      <c r="A16" s="20" t="n">
        <v>0.218586130561038</v>
      </c>
      <c r="B16" s="22" t="n">
        <v>238191</v>
      </c>
      <c r="C16" s="19" t="inlineStr">
        <is>
          <t>Other residential exterior contractors</t>
        </is>
      </c>
      <c r="D16" s="26" t="n">
        <v>0.4</v>
      </c>
      <c r="E16" s="19" t="n">
        <v>0.1</v>
      </c>
      <c r="F16" s="19" t="n">
        <v>0.3</v>
      </c>
      <c r="G16" s="19" t="n">
        <v>0.2</v>
      </c>
      <c r="O16" s="27" t="n"/>
    </row>
    <row r="17" ht="12.8" customHeight="1" s="18">
      <c r="A17" s="20" t="n">
        <v>3.6895064219375</v>
      </c>
      <c r="B17" s="22" t="n">
        <v>238211</v>
      </c>
      <c r="C17" s="19" t="inlineStr">
        <is>
          <t xml:space="preserve">Residential electrical contractors </t>
        </is>
      </c>
      <c r="D17" s="26" t="n">
        <v>0.4</v>
      </c>
      <c r="E17" s="19" t="n">
        <v>0.1</v>
      </c>
      <c r="F17" s="19" t="n">
        <v>0.3</v>
      </c>
      <c r="G17" s="19" t="n">
        <v>0.2</v>
      </c>
      <c r="O17" s="27" t="n"/>
    </row>
    <row r="18" ht="12.8" customHeight="1" s="18">
      <c r="A18" s="20" t="n">
        <v>6.81806487822265</v>
      </c>
      <c r="B18" s="22" t="n">
        <v>238221</v>
      </c>
      <c r="C18" s="19" t="inlineStr">
        <is>
          <t xml:space="preserve">Residential plumbing and hvac contractors </t>
        </is>
      </c>
      <c r="D18" s="26" t="n">
        <v>0.4</v>
      </c>
      <c r="E18" s="19" t="n">
        <v>0.1</v>
      </c>
      <c r="F18" s="19" t="n">
        <v>0.3</v>
      </c>
      <c r="G18" s="19" t="n">
        <v>0.2</v>
      </c>
      <c r="O18" s="27" t="n"/>
    </row>
    <row r="19" ht="12.8" customHeight="1" s="18">
      <c r="A19" s="20" t="n">
        <v>0.170288310549416</v>
      </c>
      <c r="B19" s="22" t="n">
        <v>238291</v>
      </c>
      <c r="C19" s="19" t="inlineStr">
        <is>
          <t>Other residential equipment contractors</t>
        </is>
      </c>
      <c r="D19" s="26" t="n">
        <v>0.4</v>
      </c>
      <c r="E19" s="19" t="n">
        <v>0.1</v>
      </c>
      <c r="F19" s="19" t="n">
        <v>0.3</v>
      </c>
      <c r="G19" s="19" t="n">
        <v>0.2</v>
      </c>
      <c r="O19" s="27" t="n"/>
    </row>
    <row r="20" ht="12.8" customHeight="1" s="18">
      <c r="A20" s="20" t="n">
        <v>1.14412961372023</v>
      </c>
      <c r="B20" s="22" t="n">
        <v>238311</v>
      </c>
      <c r="C20" s="19" t="inlineStr">
        <is>
          <t xml:space="preserve">Residential drywall contractors </t>
        </is>
      </c>
      <c r="D20" s="26" t="n">
        <v>0.4</v>
      </c>
      <c r="E20" s="19" t="n">
        <v>0.1</v>
      </c>
      <c r="F20" s="19" t="n">
        <v>0.3</v>
      </c>
      <c r="G20" s="19" t="n">
        <v>0.2</v>
      </c>
      <c r="O20" s="27" t="n"/>
    </row>
    <row r="21" ht="12.8" customHeight="1" s="18">
      <c r="A21" s="20" t="n">
        <v>1.03896267474402</v>
      </c>
      <c r="B21" s="22" t="n">
        <v>238321</v>
      </c>
      <c r="C21" s="19" t="inlineStr">
        <is>
          <t xml:space="preserve">Residential painting contractors </t>
        </is>
      </c>
      <c r="D21" s="26" t="n">
        <v>0.4</v>
      </c>
      <c r="E21" s="19" t="n">
        <v>0.1</v>
      </c>
      <c r="F21" s="19" t="n">
        <v>0.3</v>
      </c>
      <c r="G21" s="19" t="n">
        <v>0.2</v>
      </c>
      <c r="O21" s="27" t="n"/>
    </row>
    <row r="22" ht="12.8" customHeight="1" s="18">
      <c r="A22" s="20" t="n">
        <v>0.498898761768195</v>
      </c>
      <c r="B22" s="22" t="n">
        <v>238331</v>
      </c>
      <c r="C22" s="19" t="inlineStr">
        <is>
          <t xml:space="preserve">Residential flooring contractors </t>
        </is>
      </c>
      <c r="D22" s="26" t="n">
        <v>0.4</v>
      </c>
      <c r="E22" s="19" t="n">
        <v>0.1</v>
      </c>
      <c r="F22" s="19" t="n">
        <v>0.3</v>
      </c>
      <c r="G22" s="19" t="n">
        <v>0.2</v>
      </c>
      <c r="O22" s="27" t="n"/>
    </row>
    <row r="23" ht="12.8" customHeight="1" s="18">
      <c r="A23" s="20" t="n">
        <v>0.402666444448796</v>
      </c>
      <c r="B23" s="22" t="n">
        <v>238341</v>
      </c>
      <c r="C23" s="19" t="inlineStr">
        <is>
          <t xml:space="preserve">Residential tile and terrazzo contractors </t>
        </is>
      </c>
      <c r="D23" s="26" t="n">
        <v>0.4</v>
      </c>
      <c r="E23" s="19" t="n">
        <v>0.1</v>
      </c>
      <c r="F23" s="19" t="n">
        <v>0.3</v>
      </c>
      <c r="G23" s="19" t="n">
        <v>0.2</v>
      </c>
      <c r="O23" s="27" t="n"/>
    </row>
    <row r="24" ht="12.8" customHeight="1" s="18">
      <c r="A24" s="20" t="n">
        <v>1.21253575629467</v>
      </c>
      <c r="B24" s="22" t="n">
        <v>238351</v>
      </c>
      <c r="C24" s="19" t="inlineStr">
        <is>
          <t>Residential finish carpentry contractors</t>
        </is>
      </c>
      <c r="D24" s="26" t="n">
        <v>0.4</v>
      </c>
      <c r="E24" s="19" t="n">
        <v>0.1</v>
      </c>
      <c r="F24" s="19" t="n">
        <v>0.3</v>
      </c>
      <c r="G24" s="19" t="n">
        <v>0.2</v>
      </c>
      <c r="O24" s="27" t="n"/>
    </row>
    <row r="25" ht="12.8" customHeight="1" s="18">
      <c r="A25" s="20" t="n">
        <v>0.375193506540032</v>
      </c>
      <c r="B25" s="22" t="n">
        <v>238391</v>
      </c>
      <c r="C25" s="19" t="inlineStr">
        <is>
          <t>Other residential finishing contractors</t>
        </is>
      </c>
      <c r="D25" s="26" t="n">
        <v>0.4</v>
      </c>
      <c r="E25" s="19" t="n">
        <v>0.1</v>
      </c>
      <c r="F25" s="19" t="n">
        <v>0.3</v>
      </c>
      <c r="G25" s="19" t="n">
        <v>0.2</v>
      </c>
      <c r="O25" s="27" t="n"/>
    </row>
    <row r="26" ht="12.8" customHeight="1" s="18">
      <c r="A26" s="20" t="n">
        <v>1.45057948799826</v>
      </c>
      <c r="B26" s="22" t="n">
        <v>238911</v>
      </c>
      <c r="C26" s="19" t="inlineStr">
        <is>
          <t>Residential site preparation contractors</t>
        </is>
      </c>
      <c r="D26" s="26" t="n">
        <v>0.4</v>
      </c>
      <c r="E26" s="19" t="n">
        <v>0.1</v>
      </c>
      <c r="F26" s="19" t="n">
        <v>0.3</v>
      </c>
      <c r="G26" s="19" t="n">
        <v>0.2</v>
      </c>
      <c r="O26" s="27" t="n"/>
    </row>
    <row r="27" ht="12.8" customHeight="1" s="18">
      <c r="A27" s="20" t="n">
        <v>1.83510008870929</v>
      </c>
      <c r="B27" s="22" t="n">
        <v>238991</v>
      </c>
      <c r="C27" s="19" t="inlineStr">
        <is>
          <t xml:space="preserve">All other residential trade contractors </t>
        </is>
      </c>
      <c r="D27" s="26" t="n">
        <v>0.4</v>
      </c>
      <c r="E27" s="19" t="n">
        <v>0.1</v>
      </c>
      <c r="F27" s="19" t="n">
        <v>0.3</v>
      </c>
      <c r="G27" s="19" t="n">
        <v>0.2</v>
      </c>
      <c r="O27" s="27" t="n"/>
    </row>
    <row r="28" ht="12.8" customHeight="1" s="18">
      <c r="A28" s="20" t="n">
        <v>10.9321998561935</v>
      </c>
      <c r="B28" s="22" t="n">
        <v>236220</v>
      </c>
      <c r="C28" s="19" t="inlineStr">
        <is>
          <t xml:space="preserve">Commercial and institutional building construction </t>
        </is>
      </c>
      <c r="D28" s="26" t="n"/>
      <c r="H28" s="19" t="n">
        <v>0.2</v>
      </c>
      <c r="I28" s="19" t="n">
        <v>0.3</v>
      </c>
      <c r="J28" s="19" t="n">
        <v>0.5</v>
      </c>
      <c r="O28" s="27" t="n"/>
    </row>
    <row r="29" ht="12.8" customHeight="1" s="18">
      <c r="A29" s="20" t="n">
        <v>2.33975670709877</v>
      </c>
      <c r="B29" s="22" t="n">
        <v>236210</v>
      </c>
      <c r="C29" s="19" t="inlineStr">
        <is>
          <t xml:space="preserve">Industrial building construction </t>
        </is>
      </c>
      <c r="D29" s="26" t="n"/>
      <c r="K29" s="19" t="n">
        <v>1</v>
      </c>
      <c r="O29" s="27" t="n"/>
    </row>
    <row r="30" ht="12.8" customHeight="1" s="18">
      <c r="A30" s="20" t="n">
        <v>2.59982997933432</v>
      </c>
      <c r="B30" s="22" t="n">
        <v>237110</v>
      </c>
      <c r="C30" s="19" t="inlineStr">
        <is>
          <t>Water and sewer line and related structures construction</t>
        </is>
      </c>
      <c r="D30" s="26" t="n"/>
      <c r="L30" s="19" t="n">
        <v>1</v>
      </c>
      <c r="O30" s="27" t="n"/>
    </row>
    <row r="31" ht="12.8" customHeight="1" s="18">
      <c r="A31" s="20" t="n">
        <v>2.05239553591296</v>
      </c>
      <c r="B31" s="22" t="n">
        <v>237120</v>
      </c>
      <c r="C31" s="19" t="inlineStr">
        <is>
          <t>Oil and gas pipeline and related structures construction</t>
        </is>
      </c>
      <c r="D31" s="26" t="n"/>
      <c r="L31" s="19" t="n">
        <v>1</v>
      </c>
      <c r="O31" s="27" t="n"/>
    </row>
    <row r="32" ht="12.8" customHeight="1" s="18">
      <c r="A32" s="20" t="n">
        <v>0.744786087909134</v>
      </c>
      <c r="B32" s="22" t="n">
        <v>237210</v>
      </c>
      <c r="C32" s="19" t="inlineStr">
        <is>
          <t>Land subdivision</t>
        </is>
      </c>
      <c r="D32" s="26" t="n"/>
      <c r="L32" s="19" t="n">
        <v>1</v>
      </c>
      <c r="O32" s="27" t="n"/>
    </row>
    <row r="33" ht="12.8" customHeight="1" s="18">
      <c r="A33" s="20" t="n">
        <v>1.92455247387366</v>
      </c>
      <c r="B33" s="22" t="n">
        <v>237990</v>
      </c>
      <c r="C33" s="19" t="inlineStr">
        <is>
          <t>Other heavy and civil engineering construction</t>
        </is>
      </c>
      <c r="D33" s="26" t="n"/>
      <c r="L33" s="19" t="n">
        <v>1</v>
      </c>
      <c r="O33" s="27" t="n"/>
    </row>
    <row r="34" ht="12.8" customHeight="1" s="18">
      <c r="A34" s="20" t="n">
        <v>3.69722213909806</v>
      </c>
      <c r="B34" s="22" t="n">
        <v>237130</v>
      </c>
      <c r="C34" s="19" t="inlineStr">
        <is>
          <t>Power and communication line and related structures construction</t>
        </is>
      </c>
      <c r="D34" s="26" t="n"/>
      <c r="M34" s="19" t="n">
        <v>1</v>
      </c>
      <c r="O34" s="27" t="n"/>
    </row>
    <row r="35" ht="12.8" customHeight="1" s="18">
      <c r="A35" s="20" t="n">
        <v>6.78302787638954</v>
      </c>
      <c r="B35" s="22" t="n">
        <v>237310</v>
      </c>
      <c r="C35" s="19" t="inlineStr">
        <is>
          <t xml:space="preserve">Highway, street, and bridge construction </t>
        </is>
      </c>
      <c r="D35" s="26" t="n"/>
      <c r="N35" s="19" t="n">
        <v>1</v>
      </c>
      <c r="O35" s="27" t="n"/>
    </row>
    <row r="36" ht="12.8" customHeight="1" s="18">
      <c r="A36" s="20" t="n">
        <v>1.58273084792981</v>
      </c>
      <c r="B36" s="22" t="n">
        <v>238112</v>
      </c>
      <c r="C36" s="19" t="inlineStr">
        <is>
          <t>Nonresidential poured foundation contractors</t>
        </is>
      </c>
      <c r="D36" s="26" t="n"/>
      <c r="H36" s="19" t="n">
        <v>0.1</v>
      </c>
      <c r="I36" s="19" t="n">
        <v>0.2</v>
      </c>
      <c r="J36" s="19" t="n">
        <v>0.3</v>
      </c>
      <c r="K36" s="19" t="n">
        <v>0.1</v>
      </c>
      <c r="O36" s="27" t="n">
        <v>0.3</v>
      </c>
    </row>
    <row r="37" ht="12.8" customHeight="1" s="18">
      <c r="A37" s="20" t="n">
        <v>0.956916440910465</v>
      </c>
      <c r="B37" s="22" t="n">
        <v>238122</v>
      </c>
      <c r="C37" s="19" t="inlineStr">
        <is>
          <t>Nonresidential structural steel contractors</t>
        </is>
      </c>
      <c r="D37" s="26" t="n"/>
      <c r="H37" s="19" t="n">
        <v>0.1</v>
      </c>
      <c r="I37" s="19" t="n">
        <v>0.2</v>
      </c>
      <c r="J37" s="19" t="n">
        <v>0.3</v>
      </c>
      <c r="K37" s="19" t="n">
        <v>0.1</v>
      </c>
      <c r="O37" s="27" t="n">
        <v>0.3</v>
      </c>
    </row>
    <row r="38" ht="12.8" customHeight="1" s="18">
      <c r="A38" s="20" t="n">
        <v>0.201477565138371</v>
      </c>
      <c r="B38" s="22" t="n">
        <v>238132</v>
      </c>
      <c r="C38" s="19" t="inlineStr">
        <is>
          <t xml:space="preserve">Nonresidential framing contractors </t>
        </is>
      </c>
      <c r="D38" s="26" t="n"/>
      <c r="H38" s="19" t="n">
        <v>0.1</v>
      </c>
      <c r="I38" s="19" t="n">
        <v>0.2</v>
      </c>
      <c r="J38" s="19" t="n">
        <v>0.3</v>
      </c>
      <c r="K38" s="19" t="n">
        <v>0.1</v>
      </c>
      <c r="O38" s="27" t="n">
        <v>0.3</v>
      </c>
    </row>
    <row r="39" ht="12.8" customHeight="1" s="18">
      <c r="A39" s="20" t="n">
        <v>0.773626310416561</v>
      </c>
      <c r="B39" s="22" t="n">
        <v>238142</v>
      </c>
      <c r="C39" s="19" t="inlineStr">
        <is>
          <t xml:space="preserve">Nonresidential masonry contractors </t>
        </is>
      </c>
      <c r="D39" s="26" t="n"/>
      <c r="H39" s="19" t="n">
        <v>0.1</v>
      </c>
      <c r="I39" s="19" t="n">
        <v>0.2</v>
      </c>
      <c r="J39" s="19" t="n">
        <v>0.3</v>
      </c>
      <c r="K39" s="19" t="n">
        <v>0.1</v>
      </c>
      <c r="O39" s="27" t="n">
        <v>0.3</v>
      </c>
    </row>
    <row r="40" ht="12.8" customHeight="1" s="18">
      <c r="A40" s="20" t="n">
        <v>0.582834016724554</v>
      </c>
      <c r="B40" s="22" t="n">
        <v>238152</v>
      </c>
      <c r="C40" s="19" t="inlineStr">
        <is>
          <t xml:space="preserve">Nonresidential glass and glazing contractors </t>
        </is>
      </c>
      <c r="D40" s="26" t="n"/>
      <c r="H40" s="19" t="n">
        <v>0.1</v>
      </c>
      <c r="I40" s="19" t="n">
        <v>0.2</v>
      </c>
      <c r="J40" s="19" t="n">
        <v>0.3</v>
      </c>
      <c r="K40" s="19" t="n">
        <v>0.1</v>
      </c>
      <c r="O40" s="27" t="n">
        <v>0.3</v>
      </c>
    </row>
    <row r="41" ht="12.8" customHeight="1" s="18">
      <c r="A41" s="20" t="n">
        <v>1.27040375246579</v>
      </c>
      <c r="B41" s="22" t="n">
        <v>238162</v>
      </c>
      <c r="C41" s="19" t="inlineStr">
        <is>
          <t xml:space="preserve">Nonresidential roofing contractors </t>
        </is>
      </c>
      <c r="D41" s="26" t="n"/>
      <c r="H41" s="19" t="n">
        <v>0.1</v>
      </c>
      <c r="I41" s="19" t="n">
        <v>0.2</v>
      </c>
      <c r="J41" s="19" t="n">
        <v>0.3</v>
      </c>
      <c r="K41" s="19" t="n">
        <v>0.1</v>
      </c>
      <c r="O41" s="27" t="n">
        <v>0.3</v>
      </c>
    </row>
    <row r="42" ht="12.8" customHeight="1" s="18">
      <c r="A42" s="20" t="n">
        <v>0.06368914804829789</v>
      </c>
      <c r="B42" s="22" t="n">
        <v>238172</v>
      </c>
      <c r="C42" s="19" t="inlineStr">
        <is>
          <t xml:space="preserve">Nonresidential siding contractors </t>
        </is>
      </c>
      <c r="D42" s="26" t="n"/>
      <c r="H42" s="19" t="n">
        <v>0.1</v>
      </c>
      <c r="I42" s="19" t="n">
        <v>0.2</v>
      </c>
      <c r="J42" s="19" t="n">
        <v>0.3</v>
      </c>
      <c r="K42" s="19" t="n">
        <v>0.1</v>
      </c>
      <c r="O42" s="27" t="n">
        <v>0.3</v>
      </c>
    </row>
    <row r="43" ht="12.8" customHeight="1" s="18">
      <c r="A43" s="20" t="n">
        <v>0.357362812814515</v>
      </c>
      <c r="B43" s="22" t="n">
        <v>238192</v>
      </c>
      <c r="C43" s="19" t="inlineStr">
        <is>
          <t>Other nonresidential exterior contractors</t>
        </is>
      </c>
      <c r="D43" s="26" t="n"/>
      <c r="H43" s="19" t="n">
        <v>0.1</v>
      </c>
      <c r="I43" s="19" t="n">
        <v>0.2</v>
      </c>
      <c r="J43" s="19" t="n">
        <v>0.3</v>
      </c>
      <c r="K43" s="19" t="n">
        <v>0.1</v>
      </c>
      <c r="O43" s="27" t="n">
        <v>0.3</v>
      </c>
    </row>
    <row r="44" ht="12.8" customHeight="1" s="18">
      <c r="A44" s="20" t="n">
        <v>9.24819966598533</v>
      </c>
      <c r="B44" s="22" t="n">
        <v>238212</v>
      </c>
      <c r="C44" s="19" t="inlineStr">
        <is>
          <t xml:space="preserve">Nonresidential electrical contractors </t>
        </is>
      </c>
      <c r="D44" s="26" t="n"/>
      <c r="H44" s="19" t="n">
        <v>0.1</v>
      </c>
      <c r="I44" s="19" t="n">
        <v>0.2</v>
      </c>
      <c r="J44" s="19" t="n">
        <v>0.3</v>
      </c>
      <c r="K44" s="19" t="n">
        <v>0.1</v>
      </c>
      <c r="O44" s="27" t="n">
        <v>0.3</v>
      </c>
    </row>
    <row r="45" ht="12.8" customHeight="1" s="18">
      <c r="A45" s="20" t="n">
        <v>7.99288537379344</v>
      </c>
      <c r="B45" s="22" t="n">
        <v>238222</v>
      </c>
      <c r="C45" s="19" t="inlineStr">
        <is>
          <t xml:space="preserve">Nonresidential plumbing and hvac contractors </t>
        </is>
      </c>
      <c r="D45" s="26" t="n"/>
      <c r="H45" s="19" t="n">
        <v>0.1</v>
      </c>
      <c r="I45" s="19" t="n">
        <v>0.2</v>
      </c>
      <c r="J45" s="19" t="n">
        <v>0.3</v>
      </c>
      <c r="K45" s="19" t="n">
        <v>0.1</v>
      </c>
      <c r="O45" s="27" t="n">
        <v>0.3</v>
      </c>
    </row>
    <row r="46" ht="12.8" customHeight="1" s="18">
      <c r="A46" s="20" t="n">
        <v>2.15888691161597</v>
      </c>
      <c r="B46" s="22" t="n">
        <v>238292</v>
      </c>
      <c r="C46" s="19" t="inlineStr">
        <is>
          <t>Other nonresidential equipment contractors</t>
        </is>
      </c>
      <c r="D46" s="26" t="n"/>
      <c r="H46" s="19" t="n">
        <v>0.1</v>
      </c>
      <c r="I46" s="19" t="n">
        <v>0.2</v>
      </c>
      <c r="J46" s="19" t="n">
        <v>0.3</v>
      </c>
      <c r="K46" s="19" t="n">
        <v>0.1</v>
      </c>
      <c r="O46" s="27" t="n">
        <v>0.3</v>
      </c>
    </row>
    <row r="47" ht="12.8" customHeight="1" s="18">
      <c r="A47" s="20" t="n">
        <v>1.62099535668871</v>
      </c>
      <c r="B47" s="22" t="n">
        <v>238312</v>
      </c>
      <c r="C47" s="19" t="inlineStr">
        <is>
          <t xml:space="preserve">Nonresidential drywall contractors </t>
        </is>
      </c>
      <c r="D47" s="26" t="n"/>
      <c r="H47" s="19" t="n">
        <v>0.1</v>
      </c>
      <c r="I47" s="19" t="n">
        <v>0.2</v>
      </c>
      <c r="J47" s="19" t="n">
        <v>0.3</v>
      </c>
      <c r="K47" s="19" t="n">
        <v>0.1</v>
      </c>
      <c r="O47" s="27" t="n">
        <v>0.3</v>
      </c>
    </row>
    <row r="48" ht="12.8" customHeight="1" s="18">
      <c r="A48" s="20" t="n">
        <v>0.8651970223194519</v>
      </c>
      <c r="B48" s="22" t="n">
        <v>238322</v>
      </c>
      <c r="C48" s="19" t="inlineStr">
        <is>
          <t xml:space="preserve">Nonresidential painting contractors </t>
        </is>
      </c>
      <c r="D48" s="26" t="n"/>
      <c r="H48" s="19" t="n">
        <v>0.1</v>
      </c>
      <c r="I48" s="19" t="n">
        <v>0.2</v>
      </c>
      <c r="J48" s="19" t="n">
        <v>0.3</v>
      </c>
      <c r="K48" s="19" t="n">
        <v>0.1</v>
      </c>
      <c r="O48" s="27" t="n">
        <v>0.3</v>
      </c>
    </row>
    <row r="49" ht="12.8" customHeight="1" s="18">
      <c r="A49" s="20" t="n">
        <v>0.347108479268508</v>
      </c>
      <c r="B49" s="22" t="n">
        <v>238332</v>
      </c>
      <c r="C49" s="19" t="inlineStr">
        <is>
          <t xml:space="preserve">Nonresidential flooring contractors </t>
        </is>
      </c>
      <c r="D49" s="26" t="n"/>
      <c r="H49" s="19" t="n">
        <v>0.1</v>
      </c>
      <c r="I49" s="19" t="n">
        <v>0.2</v>
      </c>
      <c r="J49" s="19" t="n">
        <v>0.3</v>
      </c>
      <c r="K49" s="19" t="n">
        <v>0.1</v>
      </c>
      <c r="O49" s="27" t="n">
        <v>0.3</v>
      </c>
    </row>
    <row r="50" ht="12.8" customHeight="1" s="18">
      <c r="A50" s="20" t="n">
        <v>0.159647224157147</v>
      </c>
      <c r="B50" s="22" t="n">
        <v>238342</v>
      </c>
      <c r="C50" s="19" t="inlineStr">
        <is>
          <t xml:space="preserve">Nonresidential tile and terrazzo contractors </t>
        </is>
      </c>
      <c r="D50" s="26" t="n"/>
      <c r="H50" s="19" t="n">
        <v>0.1</v>
      </c>
      <c r="I50" s="19" t="n">
        <v>0.2</v>
      </c>
      <c r="J50" s="19" t="n">
        <v>0.3</v>
      </c>
      <c r="K50" s="19" t="n">
        <v>0.1</v>
      </c>
      <c r="O50" s="27" t="n">
        <v>0.3</v>
      </c>
    </row>
    <row r="51" ht="12.8" customHeight="1" s="18">
      <c r="A51" s="20" t="n">
        <v>0.425221739115522</v>
      </c>
      <c r="B51" s="22" t="n">
        <v>238352</v>
      </c>
      <c r="C51" s="19" t="inlineStr">
        <is>
          <t>Nonresidential finish carpentry contractors</t>
        </is>
      </c>
      <c r="D51" s="26" t="n"/>
      <c r="H51" s="19" t="n">
        <v>0.1</v>
      </c>
      <c r="I51" s="19" t="n">
        <v>0.2</v>
      </c>
      <c r="J51" s="19" t="n">
        <v>0.3</v>
      </c>
      <c r="K51" s="19" t="n">
        <v>0.1</v>
      </c>
      <c r="O51" s="27" t="n">
        <v>0.3</v>
      </c>
    </row>
    <row r="52" ht="12.8" customHeight="1" s="18">
      <c r="A52" s="20" t="n">
        <v>0.543446116015728</v>
      </c>
      <c r="B52" s="22" t="n">
        <v>238392</v>
      </c>
      <c r="C52" s="19" t="inlineStr">
        <is>
          <t>Other nonresidential finishing contractors</t>
        </is>
      </c>
      <c r="D52" s="26" t="n"/>
      <c r="H52" s="19" t="n">
        <v>0.1</v>
      </c>
      <c r="I52" s="19" t="n">
        <v>0.2</v>
      </c>
      <c r="J52" s="19" t="n">
        <v>0.3</v>
      </c>
      <c r="K52" s="19" t="n">
        <v>0.1</v>
      </c>
      <c r="O52" s="27" t="n">
        <v>0.3</v>
      </c>
    </row>
    <row r="53" ht="12.8" customHeight="1" s="18">
      <c r="A53" s="20" t="n">
        <v>2.99633696688025</v>
      </c>
      <c r="B53" s="22" t="n">
        <v>238912</v>
      </c>
      <c r="C53" s="19" t="inlineStr">
        <is>
          <t>Nonresidential site preparation contractors</t>
        </is>
      </c>
      <c r="D53" s="26" t="n"/>
      <c r="H53" s="19" t="n">
        <v>0.1</v>
      </c>
      <c r="I53" s="19" t="n">
        <v>0.2</v>
      </c>
      <c r="J53" s="19" t="n">
        <v>0.3</v>
      </c>
      <c r="K53" s="19" t="n">
        <v>0.1</v>
      </c>
      <c r="O53" s="27" t="n">
        <v>0.3</v>
      </c>
    </row>
    <row r="54" ht="12.8" customHeight="1" s="18">
      <c r="A54" s="20" t="n">
        <v>2.3723068855749</v>
      </c>
      <c r="B54" s="22" t="n">
        <v>238992</v>
      </c>
      <c r="C54" s="19" t="inlineStr">
        <is>
          <t xml:space="preserve">All other nonresidential trade contractors </t>
        </is>
      </c>
      <c r="D54" s="28" t="n"/>
      <c r="E54" s="29" t="n"/>
      <c r="F54" s="29" t="n"/>
      <c r="G54" s="29" t="n"/>
      <c r="H54" s="29" t="n">
        <v>0.1</v>
      </c>
      <c r="I54" s="29" t="n">
        <v>0.2</v>
      </c>
      <c r="J54" s="29" t="n">
        <v>0.3</v>
      </c>
      <c r="K54" s="29" t="n">
        <v>0.1</v>
      </c>
      <c r="L54" s="29" t="n"/>
      <c r="M54" s="29" t="n"/>
      <c r="N54" s="29" t="n"/>
      <c r="O54" s="30" t="n">
        <v>0.3</v>
      </c>
    </row>
    <row r="55" ht="12.8" customHeight="1" s="18">
      <c r="A55" s="20">
        <f>SUM(A5:A54)</f>
        <v/>
      </c>
      <c r="D55" s="19">
        <f>SUM(D5:D54)</f>
        <v/>
      </c>
      <c r="E55" s="19">
        <f>SUM(E5:E54)</f>
        <v/>
      </c>
      <c r="F55" s="19">
        <f>SUM(F5:F54)</f>
        <v/>
      </c>
      <c r="G55" s="19">
        <f>SUM(G5:G54)</f>
        <v/>
      </c>
      <c r="H55" s="19">
        <f>SUM(H5:H54)</f>
        <v/>
      </c>
      <c r="I55" s="19">
        <f>SUM(I5:I54)</f>
        <v/>
      </c>
      <c r="J55" s="19">
        <f>SUM(J5:J54)</f>
        <v/>
      </c>
      <c r="K55" s="19">
        <f>SUM(K5:K54)</f>
        <v/>
      </c>
      <c r="L55" s="19">
        <f>SUM(L5:L54)</f>
        <v/>
      </c>
      <c r="M55" s="19">
        <f>SUM(M5:M54)</f>
        <v/>
      </c>
      <c r="N55" s="19">
        <f>SUM(N5:N54)</f>
        <v/>
      </c>
      <c r="O55" s="19">
        <f>SUM(O5:O54)</f>
        <v/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2:M90"/>
  <sheetViews>
    <sheetView showFormulas="0" showGridLines="1" showRowColHeaders="1" showZeros="1" rightToLeft="0" tabSelected="0" showOutlineSymbols="1" defaultGridColor="1" view="normal" topLeftCell="E9" colorId="64" zoomScale="120" zoomScaleNormal="120" zoomScalePageLayoutView="100" workbookViewId="0">
      <selection pane="topLeft" activeCell="H32" activeCellId="0" sqref="H32"/>
    </sheetView>
  </sheetViews>
  <sheetFormatPr baseColWidth="8" defaultColWidth="11.53515625" defaultRowHeight="12.8" zeroHeight="0" outlineLevelRow="0"/>
  <cols>
    <col width="47.3" customWidth="1" style="19" min="3" max="3"/>
    <col width="4.87" customWidth="1" style="19" min="5" max="5"/>
    <col width="32.58" customWidth="1" style="19" min="12" max="12"/>
  </cols>
  <sheetData>
    <row r="2" ht="12.8" customHeight="1" s="18">
      <c r="A2" s="20" t="n">
        <v>5.01018611452977</v>
      </c>
      <c r="B2" s="22" t="n">
        <v>236115</v>
      </c>
      <c r="C2" s="19" t="inlineStr">
        <is>
          <t xml:space="preserve">New single-family housing construction (except for-sale builders) </t>
        </is>
      </c>
      <c r="D2" s="19" t="inlineStr">
        <is>
          <t>residential</t>
        </is>
      </c>
      <c r="E2" s="19" t="n">
        <v>1</v>
      </c>
      <c r="G2" s="19" t="inlineStr">
        <is>
          <t>x</t>
        </is>
      </c>
      <c r="H2" s="19" t="inlineStr">
        <is>
          <t>x</t>
        </is>
      </c>
      <c r="I2" s="20" t="n">
        <v>18.1780974322811</v>
      </c>
      <c r="J2" s="19" t="n">
        <v>94603</v>
      </c>
      <c r="K2" s="19" t="inlineStr">
        <is>
          <t>233411</t>
        </is>
      </c>
      <c r="L2" s="19" t="inlineStr">
        <is>
          <t>Single-family residential structures</t>
        </is>
      </c>
      <c r="M2" s="19" t="inlineStr">
        <is>
          <t>residential</t>
        </is>
      </c>
    </row>
    <row r="3" ht="12.8" customHeight="1" s="18">
      <c r="A3" s="20" t="n">
        <v>0.716848528552351</v>
      </c>
      <c r="B3" s="22" t="n">
        <v>236116</v>
      </c>
      <c r="C3" s="19" t="inlineStr">
        <is>
          <t xml:space="preserve">New multifamily housing construction (except for-sale builders) </t>
        </is>
      </c>
      <c r="D3" s="19" t="inlineStr">
        <is>
          <t>residential</t>
        </is>
      </c>
      <c r="E3" s="19" t="n">
        <v>2</v>
      </c>
      <c r="G3" s="31" t="inlineStr">
        <is>
          <t>y</t>
        </is>
      </c>
      <c r="H3" s="31" t="inlineStr">
        <is>
          <t>y</t>
        </is>
      </c>
      <c r="I3" s="20" t="n">
        <v>4.93656122039187</v>
      </c>
      <c r="J3" s="19" t="n">
        <v>25691</v>
      </c>
      <c r="K3" s="19" t="inlineStr">
        <is>
          <t>233412</t>
        </is>
      </c>
      <c r="L3" s="19" t="inlineStr">
        <is>
          <t>Multifamily residential structures</t>
        </is>
      </c>
      <c r="M3" s="19" t="inlineStr">
        <is>
          <t>residential</t>
        </is>
      </c>
    </row>
    <row r="4" ht="12.8" customHeight="1" s="18">
      <c r="A4" s="20">
        <f>A3/(A2+A3)*100</f>
        <v/>
      </c>
    </row>
    <row r="6" ht="12.8" customHeight="1" s="18">
      <c r="A6" s="20" t="n">
        <v>1.11289267259326</v>
      </c>
      <c r="B6" s="22" t="n">
        <v>236117</v>
      </c>
      <c r="C6" s="19" t="inlineStr">
        <is>
          <t>New housing for-sale builders</t>
        </is>
      </c>
      <c r="D6" s="19" t="inlineStr">
        <is>
          <t>residential</t>
        </is>
      </c>
      <c r="E6" s="19" t="n">
        <v>3</v>
      </c>
      <c r="H6" s="20">
        <f>I6/$I$8</f>
        <v/>
      </c>
      <c r="I6" s="20" t="n">
        <v>10.0831439040934</v>
      </c>
      <c r="J6" s="19" t="n">
        <v>52475</v>
      </c>
      <c r="K6" s="19" t="inlineStr">
        <is>
          <t>2334A0</t>
        </is>
      </c>
      <c r="L6" s="19" t="inlineStr">
        <is>
          <t>Other residential structures</t>
        </is>
      </c>
      <c r="M6" s="19" t="inlineStr">
        <is>
          <t>residential</t>
        </is>
      </c>
    </row>
    <row r="7" ht="12.8" customHeight="1" s="18">
      <c r="A7" s="20" t="n">
        <v>4.26457821361736</v>
      </c>
      <c r="B7" s="22" t="n">
        <v>236118</v>
      </c>
      <c r="C7" s="19" t="inlineStr">
        <is>
          <t>Residential remodelers</t>
        </is>
      </c>
      <c r="D7" s="19" t="inlineStr">
        <is>
          <t>residential</t>
        </is>
      </c>
      <c r="E7" s="19" t="n">
        <v>4</v>
      </c>
      <c r="H7" s="20">
        <f>I7/$I$8</f>
        <v/>
      </c>
      <c r="I7" s="20" t="n">
        <v>5.36640386762307</v>
      </c>
      <c r="J7" s="19" t="n">
        <v>27928</v>
      </c>
      <c r="K7" s="19" t="inlineStr">
        <is>
          <t>230302</t>
        </is>
      </c>
      <c r="L7" s="19" t="inlineStr">
        <is>
          <t>Residential maintenance and repair</t>
        </is>
      </c>
      <c r="M7" s="19" t="inlineStr">
        <is>
          <t>residential</t>
        </is>
      </c>
    </row>
    <row r="8" ht="12.8" customHeight="1" s="18">
      <c r="A8" s="20" t="n">
        <v>1.20986987318312</v>
      </c>
      <c r="B8" s="22" t="n">
        <v>238111</v>
      </c>
      <c r="C8" s="19" t="inlineStr">
        <is>
          <t>Residential poured foundation contractors</t>
        </is>
      </c>
      <c r="D8" s="19" t="inlineStr">
        <is>
          <t>residential</t>
        </is>
      </c>
      <c r="E8" s="19" t="n">
        <v>5</v>
      </c>
      <c r="I8" s="20">
        <f>SUM(I4:I7)</f>
        <v/>
      </c>
    </row>
    <row r="9" ht="12.8" customHeight="1" s="18">
      <c r="A9" s="20" t="n">
        <v>0.156735567020619</v>
      </c>
      <c r="B9" s="22" t="n">
        <v>238121</v>
      </c>
      <c r="C9" s="19" t="inlineStr">
        <is>
          <t>Residential structural steel contractors</t>
        </is>
      </c>
      <c r="D9" s="19" t="inlineStr">
        <is>
          <t>residential</t>
        </is>
      </c>
      <c r="E9" s="19" t="n">
        <v>6</v>
      </c>
    </row>
    <row r="10" ht="12.8" customHeight="1" s="18">
      <c r="A10" s="20" t="n">
        <v>0.619396279161187</v>
      </c>
      <c r="B10" s="22" t="n">
        <v>238131</v>
      </c>
      <c r="C10" s="19" t="inlineStr">
        <is>
          <t xml:space="preserve">Residential framing contractors </t>
        </is>
      </c>
      <c r="D10" s="19" t="inlineStr">
        <is>
          <t>residential</t>
        </is>
      </c>
      <c r="E10" s="19" t="n">
        <v>7</v>
      </c>
      <c r="L10" s="19" t="inlineStr">
        <is>
          <t>fraction of z allocated</t>
        </is>
      </c>
    </row>
    <row r="11" ht="12.8" customHeight="1" s="18">
      <c r="A11" s="20" t="n">
        <v>0.6348826238883239</v>
      </c>
      <c r="B11" s="22" t="n">
        <v>238141</v>
      </c>
      <c r="C11" s="19" t="inlineStr">
        <is>
          <t xml:space="preserve">Residential masonry contractors </t>
        </is>
      </c>
      <c r="D11" s="19" t="inlineStr">
        <is>
          <t>residential</t>
        </is>
      </c>
      <c r="E11" s="19" t="n">
        <v>8</v>
      </c>
      <c r="H11" s="19" t="inlineStr">
        <is>
          <t>single</t>
        </is>
      </c>
      <c r="I11" s="19" t="inlineStr">
        <is>
          <t>x</t>
        </is>
      </c>
      <c r="L11" s="19" t="inlineStr">
        <is>
          <t>0.5 * x / (x + y)</t>
        </is>
      </c>
      <c r="M11" s="19" t="inlineStr">
        <is>
          <t>single</t>
        </is>
      </c>
    </row>
    <row r="12" ht="12.8" customHeight="1" s="18">
      <c r="A12" s="20" t="n">
        <v>0.259217553744938</v>
      </c>
      <c r="B12" s="22" t="n">
        <v>238151</v>
      </c>
      <c r="C12" s="19" t="inlineStr">
        <is>
          <t xml:space="preserve">Residential glass and glazing contractors </t>
        </is>
      </c>
      <c r="D12" s="19" t="inlineStr">
        <is>
          <t>residential</t>
        </is>
      </c>
      <c r="E12" s="19" t="n">
        <v>9</v>
      </c>
      <c r="H12" s="19" t="inlineStr">
        <is>
          <t>multi</t>
        </is>
      </c>
      <c r="I12" s="19" t="inlineStr">
        <is>
          <t>y</t>
        </is>
      </c>
      <c r="L12" s="19" t="inlineStr">
        <is>
          <t>0.5 * y / (x + y)</t>
        </is>
      </c>
      <c r="M12" s="19" t="inlineStr">
        <is>
          <t>multi</t>
        </is>
      </c>
    </row>
    <row r="13" ht="12.8" customHeight="1" s="18">
      <c r="A13" s="20" t="n">
        <v>1.20763585107467</v>
      </c>
      <c r="B13" s="22" t="n">
        <v>238161</v>
      </c>
      <c r="C13" s="19" t="inlineStr">
        <is>
          <t xml:space="preserve">Residential roofing contractors </t>
        </is>
      </c>
      <c r="D13" s="19" t="inlineStr">
        <is>
          <t>residential</t>
        </is>
      </c>
      <c r="E13" s="19" t="n">
        <v>10</v>
      </c>
      <c r="H13" s="19" t="inlineStr">
        <is>
          <t>other</t>
        </is>
      </c>
      <c r="I13" s="19" t="inlineStr">
        <is>
          <t>z</t>
        </is>
      </c>
      <c r="L13" s="19" t="n">
        <v>0.3</v>
      </c>
      <c r="M13" s="19" t="inlineStr">
        <is>
          <t>other</t>
        </is>
      </c>
    </row>
    <row r="14" ht="12.8" customHeight="1" s="18">
      <c r="A14" s="20" t="n">
        <v>0.345450317512425</v>
      </c>
      <c r="B14" s="22" t="n">
        <v>238171</v>
      </c>
      <c r="C14" s="19" t="inlineStr">
        <is>
          <t xml:space="preserve">Residential siding contractors </t>
        </is>
      </c>
      <c r="D14" s="19" t="inlineStr">
        <is>
          <t>residential</t>
        </is>
      </c>
      <c r="E14" s="19" t="n">
        <v>11</v>
      </c>
      <c r="L14" s="19" t="n">
        <v>0.2</v>
      </c>
      <c r="M14" s="19" t="inlineStr">
        <is>
          <t>maintenance</t>
        </is>
      </c>
    </row>
    <row r="15" ht="12.8" customHeight="1" s="18">
      <c r="A15" s="20" t="n">
        <v>0.218586130561038</v>
      </c>
      <c r="B15" s="22" t="n">
        <v>238191</v>
      </c>
      <c r="C15" s="19" t="inlineStr">
        <is>
          <t>Other residential exterior contractors</t>
        </is>
      </c>
      <c r="D15" s="19" t="inlineStr">
        <is>
          <t>residential</t>
        </is>
      </c>
      <c r="E15" s="19" t="n">
        <v>12</v>
      </c>
    </row>
    <row r="16" ht="12.8" customHeight="1" s="18">
      <c r="A16" s="20" t="n">
        <v>3.6895064219375</v>
      </c>
      <c r="B16" s="22" t="n">
        <v>238211</v>
      </c>
      <c r="C16" s="19" t="inlineStr">
        <is>
          <t xml:space="preserve">Residential electrical contractors </t>
        </is>
      </c>
      <c r="D16" s="19" t="inlineStr">
        <is>
          <t>residential</t>
        </is>
      </c>
      <c r="E16" s="19" t="n">
        <v>13</v>
      </c>
    </row>
    <row r="17" ht="12.8" customHeight="1" s="18">
      <c r="A17" s="20" t="n">
        <v>6.81806487822265</v>
      </c>
      <c r="B17" s="22" t="n">
        <v>238221</v>
      </c>
      <c r="C17" s="19" t="inlineStr">
        <is>
          <t xml:space="preserve">Residential plumbing and hvac contractors </t>
        </is>
      </c>
      <c r="D17" s="19" t="inlineStr">
        <is>
          <t>residential</t>
        </is>
      </c>
      <c r="E17" s="19" t="n">
        <v>14</v>
      </c>
    </row>
    <row r="18" ht="12.8" customHeight="1" s="18">
      <c r="A18" s="20" t="n">
        <v>0.170288310549416</v>
      </c>
      <c r="B18" s="22" t="n">
        <v>238291</v>
      </c>
      <c r="C18" s="19" t="inlineStr">
        <is>
          <t>Other residential equipment contractors</t>
        </is>
      </c>
      <c r="D18" s="19" t="inlineStr">
        <is>
          <t>residential</t>
        </is>
      </c>
      <c r="E18" s="19" t="n">
        <v>15</v>
      </c>
    </row>
    <row r="19" ht="12.8" customHeight="1" s="18">
      <c r="A19" s="20" t="n">
        <v>1.14412961372023</v>
      </c>
      <c r="B19" s="22" t="n">
        <v>238311</v>
      </c>
      <c r="C19" s="19" t="inlineStr">
        <is>
          <t xml:space="preserve">Residential drywall contractors </t>
        </is>
      </c>
      <c r="D19" s="19" t="inlineStr">
        <is>
          <t>residential</t>
        </is>
      </c>
      <c r="E19" s="19" t="n">
        <v>16</v>
      </c>
    </row>
    <row r="20" ht="12.8" customHeight="1" s="18">
      <c r="A20" s="20" t="n">
        <v>1.03896267474402</v>
      </c>
      <c r="B20" s="22" t="n">
        <v>238321</v>
      </c>
      <c r="C20" s="19" t="inlineStr">
        <is>
          <t xml:space="preserve">Residential painting contractors </t>
        </is>
      </c>
      <c r="D20" s="19" t="inlineStr">
        <is>
          <t>residential</t>
        </is>
      </c>
      <c r="E20" s="19" t="n">
        <v>17</v>
      </c>
    </row>
    <row r="21" ht="12.8" customHeight="1" s="18">
      <c r="A21" s="20" t="n">
        <v>0.498898761768195</v>
      </c>
      <c r="B21" s="22" t="n">
        <v>238331</v>
      </c>
      <c r="C21" s="19" t="inlineStr">
        <is>
          <t xml:space="preserve">Residential flooring contractors </t>
        </is>
      </c>
      <c r="D21" s="19" t="inlineStr">
        <is>
          <t>residential</t>
        </is>
      </c>
      <c r="E21" s="19" t="n">
        <v>18</v>
      </c>
    </row>
    <row r="22" ht="12.8" customHeight="1" s="18">
      <c r="A22" s="20" t="n">
        <v>0.402666444448796</v>
      </c>
      <c r="B22" s="22" t="n">
        <v>238341</v>
      </c>
      <c r="C22" s="19" t="inlineStr">
        <is>
          <t xml:space="preserve">Residential tile and terrazzo contractors </t>
        </is>
      </c>
      <c r="D22" s="19" t="inlineStr">
        <is>
          <t>residential</t>
        </is>
      </c>
      <c r="E22" s="19" t="n">
        <v>19</v>
      </c>
    </row>
    <row r="23" ht="12.8" customHeight="1" s="18">
      <c r="A23" s="20" t="n">
        <v>1.21253575629467</v>
      </c>
      <c r="B23" s="22" t="n">
        <v>238351</v>
      </c>
      <c r="C23" s="19" t="inlineStr">
        <is>
          <t>Residential finish carpentry contractors</t>
        </is>
      </c>
      <c r="D23" s="19" t="inlineStr">
        <is>
          <t>residential</t>
        </is>
      </c>
      <c r="E23" s="19" t="n">
        <v>20</v>
      </c>
    </row>
    <row r="24" ht="12.8" customHeight="1" s="18">
      <c r="A24" s="20" t="n">
        <v>0.375193506540032</v>
      </c>
      <c r="B24" s="22" t="n">
        <v>238391</v>
      </c>
      <c r="C24" s="19" t="inlineStr">
        <is>
          <t>Other residential finishing contractors</t>
        </is>
      </c>
      <c r="D24" s="19" t="inlineStr">
        <is>
          <t>residential</t>
        </is>
      </c>
      <c r="E24" s="19" t="n">
        <v>21</v>
      </c>
    </row>
    <row r="25" ht="12.8" customHeight="1" s="18">
      <c r="A25" s="20" t="n">
        <v>1.45057948799826</v>
      </c>
      <c r="B25" s="22" t="n">
        <v>238911</v>
      </c>
      <c r="C25" s="19" t="inlineStr">
        <is>
          <t>Residential site preparation contractors</t>
        </is>
      </c>
      <c r="D25" s="19" t="inlineStr">
        <is>
          <t>residential</t>
        </is>
      </c>
      <c r="E25" s="19" t="n">
        <v>22</v>
      </c>
    </row>
    <row r="26" ht="12.8" customHeight="1" s="18">
      <c r="A26" s="20" t="n">
        <v>1.83510008870929</v>
      </c>
      <c r="B26" s="22" t="n">
        <v>238991</v>
      </c>
      <c r="C26" s="19" t="inlineStr">
        <is>
          <t xml:space="preserve">All other residential trade contractors </t>
        </is>
      </c>
      <c r="D26" s="19" t="inlineStr">
        <is>
          <t>residential</t>
        </is>
      </c>
      <c r="E26" s="19" t="n">
        <v>23</v>
      </c>
    </row>
    <row r="27" ht="12.8" customHeight="1" s="18">
      <c r="A27" s="20">
        <f>SUM(A4:A26)</f>
        <v/>
      </c>
    </row>
    <row r="29" ht="12.8" customHeight="1" s="18">
      <c r="A29" s="20" t="n">
        <v>6.78302787638954</v>
      </c>
      <c r="B29" s="22" t="n">
        <v>237310</v>
      </c>
      <c r="C29" s="19" t="inlineStr">
        <is>
          <t xml:space="preserve">Highway, street, and bridge construction </t>
        </is>
      </c>
      <c r="D29" s="19" t="inlineStr">
        <is>
          <t>nonresidential</t>
        </is>
      </c>
      <c r="E29" s="19" t="n">
        <v>30</v>
      </c>
      <c r="F29" s="19" t="inlineStr">
        <is>
          <t>x</t>
        </is>
      </c>
      <c r="G29" s="20">
        <f>A29</f>
        <v/>
      </c>
      <c r="H29" s="19" t="inlineStr">
        <is>
          <t>x</t>
        </is>
      </c>
      <c r="I29" s="20" t="n">
        <v>8.55323458033177</v>
      </c>
      <c r="J29" s="19" t="n">
        <v>44513</v>
      </c>
      <c r="K29" s="19" t="inlineStr">
        <is>
          <t>2332C0</t>
        </is>
      </c>
      <c r="L29" s="19" t="inlineStr">
        <is>
          <t>Transportation struct, highways, streets</t>
        </is>
      </c>
    </row>
    <row r="30" ht="12.8" customHeight="1" s="18">
      <c r="A30" s="20" t="n">
        <v>3.69722213909806</v>
      </c>
      <c r="B30" s="22" t="n">
        <v>237130</v>
      </c>
      <c r="C30" s="19" t="inlineStr">
        <is>
          <t>Power and communication line and related structures construction</t>
        </is>
      </c>
      <c r="D30" s="19" t="inlineStr">
        <is>
          <t>nonresidential</t>
        </is>
      </c>
      <c r="E30" s="19" t="n">
        <v>28</v>
      </c>
      <c r="F30" s="19" t="inlineStr">
        <is>
          <t>y</t>
        </is>
      </c>
      <c r="G30" s="20">
        <f>A30</f>
        <v/>
      </c>
      <c r="H30" s="19" t="inlineStr">
        <is>
          <t>y</t>
        </is>
      </c>
      <c r="I30" s="20" t="n">
        <v>7.45758738564591</v>
      </c>
      <c r="J30" s="19" t="n">
        <v>38811</v>
      </c>
      <c r="K30" s="19" t="inlineStr">
        <is>
          <t>233240</t>
        </is>
      </c>
      <c r="L30" s="19" t="inlineStr">
        <is>
          <t>Power and communication structures</t>
        </is>
      </c>
    </row>
    <row r="31" ht="12.8" customHeight="1" s="18">
      <c r="A31" s="20" t="n">
        <v>2.33975670709877</v>
      </c>
      <c r="B31" s="22" t="n">
        <v>236210</v>
      </c>
      <c r="C31" s="19" t="inlineStr">
        <is>
          <t xml:space="preserve">Industrial building construction </t>
        </is>
      </c>
      <c r="D31" s="19" t="inlineStr">
        <is>
          <t>nonresidential</t>
        </is>
      </c>
      <c r="E31" s="19" t="n">
        <v>24</v>
      </c>
      <c r="F31" s="19" t="inlineStr">
        <is>
          <t>z</t>
        </is>
      </c>
      <c r="G31" s="20">
        <f>A31</f>
        <v/>
      </c>
      <c r="H31" s="19" t="inlineStr">
        <is>
          <t>z</t>
        </is>
      </c>
      <c r="I31" s="20" t="n">
        <v>4.5236278950008</v>
      </c>
      <c r="J31" s="19" t="n">
        <v>23542</v>
      </c>
      <c r="K31" s="19" t="inlineStr">
        <is>
          <t>233230</t>
        </is>
      </c>
      <c r="L31" s="19" t="inlineStr">
        <is>
          <t>Manufacturing structures</t>
        </is>
      </c>
    </row>
    <row r="32" ht="12.8" customHeight="1" s="18">
      <c r="A32" s="20" t="n">
        <v>10.9321998561935</v>
      </c>
      <c r="B32" s="22" t="n">
        <v>236220</v>
      </c>
      <c r="C32" s="19" t="inlineStr">
        <is>
          <t xml:space="preserve">Commercial and institutional building construction </t>
        </is>
      </c>
      <c r="D32" s="19" t="inlineStr">
        <is>
          <t>nonresidential</t>
        </is>
      </c>
      <c r="E32" s="19" t="n">
        <v>25</v>
      </c>
      <c r="F32" s="19" t="inlineStr">
        <is>
          <t>w</t>
        </is>
      </c>
      <c r="G32" s="20">
        <f>A32</f>
        <v/>
      </c>
      <c r="H32" s="19" t="inlineStr">
        <is>
          <t>w</t>
        </is>
      </c>
      <c r="I32" s="20" t="n">
        <v>3.89663792722459</v>
      </c>
      <c r="J32" s="19" t="n">
        <v>20279</v>
      </c>
      <c r="K32" s="19" t="inlineStr">
        <is>
          <t>233210</t>
        </is>
      </c>
      <c r="L32" s="19" t="inlineStr">
        <is>
          <t>Health care structures</t>
        </is>
      </c>
      <c r="M32" s="19" t="n">
        <v>0.2</v>
      </c>
    </row>
    <row r="33" ht="12.8" customHeight="1" s="18">
      <c r="A33" s="20">
        <f>A32/(A31+A32)*100</f>
        <v/>
      </c>
      <c r="H33" s="19" t="inlineStr">
        <is>
          <t>w</t>
        </is>
      </c>
      <c r="I33" s="20" t="n">
        <v>6.63748527640016</v>
      </c>
      <c r="J33" s="19" t="n">
        <v>34543</v>
      </c>
      <c r="K33" s="19" t="inlineStr">
        <is>
          <t>233262</t>
        </is>
      </c>
      <c r="L33" s="19" t="inlineStr">
        <is>
          <t>Educational and vocational structures</t>
        </is>
      </c>
      <c r="M33" s="19" t="n">
        <v>0.3</v>
      </c>
    </row>
    <row r="34" ht="12.8" customHeight="1" s="18">
      <c r="A34" s="20">
        <f>A31/(A31+A32)*100</f>
        <v/>
      </c>
      <c r="H34" s="19" t="inlineStr">
        <is>
          <t>w</t>
        </is>
      </c>
      <c r="I34" s="20" t="n">
        <v>10.3930840873674</v>
      </c>
      <c r="J34" s="19" t="n">
        <v>54088</v>
      </c>
      <c r="K34" s="19" t="inlineStr">
        <is>
          <t>2332A0</t>
        </is>
      </c>
      <c r="L34" s="19" t="inlineStr">
        <is>
          <t>Office and commercial structures</t>
        </is>
      </c>
      <c r="M34" s="19" t="n">
        <v>0.5</v>
      </c>
    </row>
    <row r="35" ht="12.8" customHeight="1" s="18">
      <c r="A35" s="20" t="n">
        <v>2.59982997933432</v>
      </c>
      <c r="B35" s="22" t="n">
        <v>237110</v>
      </c>
      <c r="C35" s="19" t="inlineStr">
        <is>
          <t>Water and sewer line and related structures construction</t>
        </is>
      </c>
      <c r="D35" s="19" t="inlineStr">
        <is>
          <t>nonresidential</t>
        </is>
      </c>
      <c r="E35" s="19" t="n">
        <v>26</v>
      </c>
      <c r="F35" s="19" t="inlineStr">
        <is>
          <t>u</t>
        </is>
      </c>
      <c r="G35" s="20">
        <f>SUM(A35:A38)</f>
        <v/>
      </c>
      <c r="H35" s="19" t="inlineStr">
        <is>
          <t>u</t>
        </is>
      </c>
      <c r="I35" s="20" t="n">
        <v>8.239835672135939</v>
      </c>
      <c r="J35" s="19" t="n">
        <v>42882</v>
      </c>
      <c r="K35" s="19" t="inlineStr">
        <is>
          <t>2332D0</t>
        </is>
      </c>
      <c r="L35" s="19" t="inlineStr">
        <is>
          <t>Other nonresidential structures</t>
        </is>
      </c>
    </row>
    <row r="36" ht="12.8" customHeight="1" s="18">
      <c r="A36" s="20" t="n">
        <v>2.05239553591296</v>
      </c>
      <c r="B36" s="22" t="n">
        <v>237120</v>
      </c>
      <c r="C36" s="19" t="inlineStr">
        <is>
          <t>Oil and gas pipeline and related structures construction</t>
        </is>
      </c>
      <c r="D36" s="19" t="inlineStr">
        <is>
          <t>nonresidential</t>
        </is>
      </c>
      <c r="E36" s="19" t="n">
        <v>27</v>
      </c>
      <c r="F36" s="19" t="inlineStr">
        <is>
          <t>u</t>
        </is>
      </c>
    </row>
    <row r="37" ht="12.8" customHeight="1" s="18">
      <c r="A37" s="20" t="n">
        <v>0.744786087909134</v>
      </c>
      <c r="B37" s="22" t="n">
        <v>237210</v>
      </c>
      <c r="C37" s="19" t="inlineStr">
        <is>
          <t>Land subdivision</t>
        </is>
      </c>
      <c r="D37" s="19" t="inlineStr">
        <is>
          <t>nonresidential</t>
        </is>
      </c>
      <c r="E37" s="19" t="n">
        <v>29</v>
      </c>
      <c r="F37" s="19" t="inlineStr">
        <is>
          <t>u</t>
        </is>
      </c>
    </row>
    <row r="38" ht="12.8" customHeight="1" s="18">
      <c r="A38" s="20" t="n">
        <v>1.92455247387366</v>
      </c>
      <c r="B38" s="22" t="n">
        <v>237990</v>
      </c>
      <c r="C38" s="19" t="inlineStr">
        <is>
          <t>Other heavy and civil engineering construction</t>
        </is>
      </c>
      <c r="D38" s="19" t="inlineStr">
        <is>
          <t>nonresidential</t>
        </is>
      </c>
      <c r="E38" s="19" t="n">
        <v>31</v>
      </c>
      <c r="F38" s="19" t="inlineStr">
        <is>
          <t>u</t>
        </is>
      </c>
      <c r="G38" s="20" t="n"/>
    </row>
    <row r="40" ht="12.8" customHeight="1" s="18">
      <c r="A40" s="20" t="n">
        <v>1.58273084792981</v>
      </c>
      <c r="B40" s="22" t="n">
        <v>238112</v>
      </c>
      <c r="C40" s="19" t="inlineStr">
        <is>
          <t>Nonresidential poured foundation contractors</t>
        </is>
      </c>
      <c r="D40" s="19" t="inlineStr">
        <is>
          <t>nonresidential</t>
        </is>
      </c>
      <c r="E40" s="19" t="n">
        <v>32</v>
      </c>
      <c r="F40" s="19" t="inlineStr">
        <is>
          <t>v</t>
        </is>
      </c>
      <c r="G40" s="20">
        <f>SUM(A29:A38)</f>
        <v/>
      </c>
      <c r="I40" s="20" t="n">
        <v>11.7343007515041</v>
      </c>
      <c r="J40" s="19" t="n">
        <v>61068</v>
      </c>
      <c r="K40" s="19" t="inlineStr">
        <is>
          <t>230301</t>
        </is>
      </c>
      <c r="L40" s="19" t="inlineStr">
        <is>
          <t>Nonresidential maintenance and repair</t>
        </is>
      </c>
    </row>
    <row r="41" ht="12.8" customHeight="1" s="18">
      <c r="A41" s="20" t="n">
        <v>0.956916440910465</v>
      </c>
      <c r="B41" s="22" t="n">
        <v>238122</v>
      </c>
      <c r="C41" s="19" t="inlineStr">
        <is>
          <t>Nonresidential structural steel contractors</t>
        </is>
      </c>
      <c r="D41" s="19" t="inlineStr">
        <is>
          <t>nonresidential</t>
        </is>
      </c>
      <c r="E41" s="19" t="n">
        <v>33</v>
      </c>
    </row>
    <row r="42" ht="12.8" customHeight="1" s="18">
      <c r="A42" s="20" t="n">
        <v>0.201477565138371</v>
      </c>
      <c r="B42" s="22" t="n">
        <v>238132</v>
      </c>
      <c r="C42" s="19" t="inlineStr">
        <is>
          <t xml:space="preserve">Nonresidential framing contractors </t>
        </is>
      </c>
      <c r="D42" s="19" t="inlineStr">
        <is>
          <t>nonresidential</t>
        </is>
      </c>
      <c r="E42" s="19" t="n">
        <v>34</v>
      </c>
      <c r="I42" s="20">
        <f>SUM(I29:I40)</f>
        <v/>
      </c>
    </row>
    <row r="43" ht="12.8" customHeight="1" s="18">
      <c r="A43" s="20" t="n">
        <v>0.773626310416561</v>
      </c>
      <c r="B43" s="22" t="n">
        <v>238142</v>
      </c>
      <c r="C43" s="19" t="inlineStr">
        <is>
          <t xml:space="preserve">Nonresidential masonry contractors </t>
        </is>
      </c>
      <c r="D43" s="19" t="inlineStr">
        <is>
          <t>nonresidential</t>
        </is>
      </c>
      <c r="E43" s="19" t="n">
        <v>35</v>
      </c>
    </row>
    <row r="44" ht="12.8" customHeight="1" s="18">
      <c r="A44" s="20" t="n">
        <v>0.582834016724554</v>
      </c>
      <c r="B44" s="22" t="n">
        <v>238152</v>
      </c>
      <c r="C44" s="19" t="inlineStr">
        <is>
          <t xml:space="preserve">Nonresidential glass and glazing contractors </t>
        </is>
      </c>
      <c r="D44" s="19" t="inlineStr">
        <is>
          <t>nonresidential</t>
        </is>
      </c>
      <c r="E44" s="19" t="n">
        <v>36</v>
      </c>
      <c r="H44" s="19" t="inlineStr">
        <is>
          <t>sum of w</t>
        </is>
      </c>
    </row>
    <row r="45" ht="12.8" customHeight="1" s="18">
      <c r="A45" s="20" t="n">
        <v>1.27040375246579</v>
      </c>
      <c r="B45" s="22" t="n">
        <v>238162</v>
      </c>
      <c r="C45" s="19" t="inlineStr">
        <is>
          <t xml:space="preserve">Nonresidential roofing contractors </t>
        </is>
      </c>
      <c r="D45" s="19" t="inlineStr">
        <is>
          <t>nonresidential</t>
        </is>
      </c>
      <c r="E45" s="19" t="n">
        <v>37</v>
      </c>
      <c r="H45" s="20">
        <f>SUM(I32:I34)</f>
        <v/>
      </c>
    </row>
    <row r="46" ht="12.8" customHeight="1" s="18">
      <c r="A46" s="20" t="n">
        <v>0.06368914804829789</v>
      </c>
      <c r="B46" s="22" t="n">
        <v>238172</v>
      </c>
      <c r="C46" s="19" t="inlineStr">
        <is>
          <t xml:space="preserve">Nonresidential siding contractors </t>
        </is>
      </c>
      <c r="D46" s="19" t="inlineStr">
        <is>
          <t>nonresidential</t>
        </is>
      </c>
      <c r="E46" s="19" t="n">
        <v>38</v>
      </c>
    </row>
    <row r="47" ht="12.8" customHeight="1" s="18">
      <c r="A47" s="20" t="n">
        <v>0.357362812814515</v>
      </c>
      <c r="B47" s="22" t="n">
        <v>238192</v>
      </c>
      <c r="C47" s="19" t="inlineStr">
        <is>
          <t>Other nonresidential exterior contractors</t>
        </is>
      </c>
      <c r="D47" s="19" t="inlineStr">
        <is>
          <t>nonresidential</t>
        </is>
      </c>
      <c r="E47" s="19" t="n">
        <v>39</v>
      </c>
      <c r="L47" s="19" t="inlineStr">
        <is>
          <t>Transportation struct, highways, streets</t>
        </is>
      </c>
    </row>
    <row r="48" ht="12.8" customHeight="1" s="18">
      <c r="A48" s="20" t="n">
        <v>9.24819966598533</v>
      </c>
      <c r="B48" s="22" t="n">
        <v>238212</v>
      </c>
      <c r="C48" s="19" t="inlineStr">
        <is>
          <t xml:space="preserve">Nonresidential electrical contractors </t>
        </is>
      </c>
      <c r="D48" s="19" t="inlineStr">
        <is>
          <t>nonresidential</t>
        </is>
      </c>
      <c r="E48" s="19" t="n">
        <v>40</v>
      </c>
      <c r="L48" s="19" t="inlineStr">
        <is>
          <t>Power and communication structures</t>
        </is>
      </c>
    </row>
    <row r="49" ht="12.8" customHeight="1" s="18">
      <c r="A49" s="20" t="n">
        <v>7.99288537379344</v>
      </c>
      <c r="B49" s="22" t="n">
        <v>238222</v>
      </c>
      <c r="C49" s="19" t="inlineStr">
        <is>
          <t xml:space="preserve">Nonresidential plumbing and hvac contractors </t>
        </is>
      </c>
      <c r="D49" s="19" t="inlineStr">
        <is>
          <t>nonresidential</t>
        </is>
      </c>
      <c r="E49" s="19" t="n">
        <v>41</v>
      </c>
      <c r="L49" s="19" t="inlineStr">
        <is>
          <t>Manufacturing structures</t>
        </is>
      </c>
    </row>
    <row r="50" ht="12.8" customHeight="1" s="18">
      <c r="A50" s="20" t="n">
        <v>2.15888691161597</v>
      </c>
      <c r="B50" s="22" t="n">
        <v>238292</v>
      </c>
      <c r="C50" s="19" t="inlineStr">
        <is>
          <t>Other nonresidential equipment contractors</t>
        </is>
      </c>
      <c r="D50" s="19" t="inlineStr">
        <is>
          <t>nonresidential</t>
        </is>
      </c>
      <c r="E50" s="19" t="n">
        <v>42</v>
      </c>
      <c r="L50" s="19" t="inlineStr">
        <is>
          <t>Health care structures</t>
        </is>
      </c>
    </row>
    <row r="51" ht="12.8" customHeight="1" s="18">
      <c r="A51" s="20" t="n">
        <v>1.62099535668871</v>
      </c>
      <c r="B51" s="22" t="n">
        <v>238312</v>
      </c>
      <c r="C51" s="19" t="inlineStr">
        <is>
          <t xml:space="preserve">Nonresidential drywall contractors </t>
        </is>
      </c>
      <c r="D51" s="19" t="inlineStr">
        <is>
          <t>nonresidential</t>
        </is>
      </c>
      <c r="E51" s="19" t="n">
        <v>43</v>
      </c>
      <c r="L51" s="19" t="inlineStr">
        <is>
          <t>Educational and vocational structures</t>
        </is>
      </c>
    </row>
    <row r="52" ht="12.8" customHeight="1" s="18">
      <c r="A52" s="20" t="n">
        <v>0.8651970223194519</v>
      </c>
      <c r="B52" s="22" t="n">
        <v>238322</v>
      </c>
      <c r="C52" s="19" t="inlineStr">
        <is>
          <t xml:space="preserve">Nonresidential painting contractors </t>
        </is>
      </c>
      <c r="D52" s="19" t="inlineStr">
        <is>
          <t>nonresidential</t>
        </is>
      </c>
      <c r="E52" s="19" t="n">
        <v>44</v>
      </c>
      <c r="L52" s="19" t="inlineStr">
        <is>
          <t>Office and commercial structures</t>
        </is>
      </c>
    </row>
    <row r="53" ht="12.8" customHeight="1" s="18">
      <c r="A53" s="20" t="n">
        <v>0.347108479268508</v>
      </c>
      <c r="B53" s="22" t="n">
        <v>238332</v>
      </c>
      <c r="C53" s="19" t="inlineStr">
        <is>
          <t xml:space="preserve">Nonresidential flooring contractors </t>
        </is>
      </c>
      <c r="D53" s="19" t="inlineStr">
        <is>
          <t>nonresidential</t>
        </is>
      </c>
      <c r="E53" s="19" t="n">
        <v>45</v>
      </c>
      <c r="L53" s="19" t="inlineStr">
        <is>
          <t>Other nonresidential structures</t>
        </is>
      </c>
    </row>
    <row r="54" ht="12.8" customHeight="1" s="18">
      <c r="A54" s="20" t="n">
        <v>0.159647224157147</v>
      </c>
      <c r="B54" s="22" t="n">
        <v>238342</v>
      </c>
      <c r="C54" s="19" t="inlineStr">
        <is>
          <t xml:space="preserve">Nonresidential tile and terrazzo contractors </t>
        </is>
      </c>
      <c r="D54" s="19" t="inlineStr">
        <is>
          <t>nonresidential</t>
        </is>
      </c>
      <c r="E54" s="19" t="n">
        <v>46</v>
      </c>
      <c r="H54" s="20">
        <f>(1-K54)*A60</f>
        <v/>
      </c>
      <c r="K54" s="19" t="n">
        <v>0.35</v>
      </c>
      <c r="L54" s="19" t="inlineStr">
        <is>
          <t>Nonresidential maintenance and repair</t>
        </is>
      </c>
    </row>
    <row r="55" ht="12.8" customHeight="1" s="18">
      <c r="A55" s="20" t="n">
        <v>0.425221739115522</v>
      </c>
      <c r="B55" s="22" t="n">
        <v>238352</v>
      </c>
      <c r="C55" s="19" t="inlineStr">
        <is>
          <t>Nonresidential finish carpentry contractors</t>
        </is>
      </c>
      <c r="D55" s="19" t="inlineStr">
        <is>
          <t>nonresidential</t>
        </is>
      </c>
      <c r="E55" s="19" t="n">
        <v>47</v>
      </c>
    </row>
    <row r="56" ht="12.8" customHeight="1" s="18">
      <c r="A56" s="20" t="n">
        <v>0.543446116015728</v>
      </c>
      <c r="B56" s="22" t="n">
        <v>238392</v>
      </c>
      <c r="C56" s="19" t="inlineStr">
        <is>
          <t>Other nonresidential finishing contractors</t>
        </is>
      </c>
      <c r="D56" s="19" t="inlineStr">
        <is>
          <t>nonresidential</t>
        </is>
      </c>
      <c r="E56" s="19" t="n">
        <v>48</v>
      </c>
      <c r="H56" s="20">
        <f>K54*A60</f>
        <v/>
      </c>
    </row>
    <row r="57" ht="12.8" customHeight="1" s="18">
      <c r="A57" s="20" t="n">
        <v>2.99633696688025</v>
      </c>
      <c r="B57" s="22" t="n">
        <v>238912</v>
      </c>
      <c r="C57" s="19" t="inlineStr">
        <is>
          <t>Nonresidential site preparation contractors</t>
        </is>
      </c>
      <c r="D57" s="19" t="inlineStr">
        <is>
          <t>nonresidential</t>
        </is>
      </c>
      <c r="E57" s="19" t="n">
        <v>49</v>
      </c>
    </row>
    <row r="58" ht="12.8" customHeight="1" s="18">
      <c r="A58" s="20" t="n">
        <v>2.3723068855749</v>
      </c>
      <c r="B58" s="22" t="n">
        <v>238992</v>
      </c>
      <c r="C58" s="19" t="inlineStr">
        <is>
          <t xml:space="preserve">All other nonresidential trade contractors </t>
        </is>
      </c>
      <c r="D58" s="19" t="inlineStr">
        <is>
          <t>nonresidential</t>
        </is>
      </c>
      <c r="E58" s="19" t="n">
        <v>50</v>
      </c>
    </row>
    <row r="60" ht="12.8" customHeight="1" s="18">
      <c r="A60" s="20">
        <f>SUM(A40:A58)</f>
        <v/>
      </c>
      <c r="B60" s="20" t="n"/>
    </row>
    <row r="61" ht="12.8" customHeight="1" s="18">
      <c r="B61" s="20" t="n"/>
    </row>
    <row r="62" ht="12.8" customHeight="1" s="18">
      <c r="B62" s="20" t="n"/>
    </row>
    <row r="63" ht="12.8" customHeight="1" s="18">
      <c r="B63" s="20" t="n"/>
    </row>
    <row r="64" ht="12.8" customHeight="1" s="18">
      <c r="B64" s="20" t="n"/>
    </row>
    <row r="65" ht="12.8" customHeight="1" s="18">
      <c r="B65" s="20" t="n"/>
    </row>
    <row r="66" ht="12.8" customHeight="1" s="18">
      <c r="B66" s="20" t="n"/>
    </row>
    <row r="67" ht="12.8" customHeight="1" s="18">
      <c r="B67" s="20" t="n"/>
    </row>
    <row r="68" ht="12.8" customHeight="1" s="18">
      <c r="B68" s="20" t="n"/>
    </row>
    <row r="69" ht="12.8" customHeight="1" s="18">
      <c r="B69" s="20" t="n"/>
    </row>
    <row r="70" ht="12.8" customHeight="1" s="18">
      <c r="B70" s="20" t="n"/>
    </row>
    <row r="71" ht="12.8" customHeight="1" s="18">
      <c r="A71" s="20" t="n">
        <v>6.78302787638954</v>
      </c>
      <c r="B71" s="22" t="n">
        <v>237310</v>
      </c>
      <c r="C71" s="19" t="inlineStr">
        <is>
          <t xml:space="preserve">Highway, street, and bridge construction </t>
        </is>
      </c>
      <c r="D71" s="19" t="inlineStr">
        <is>
          <t>nonresidential</t>
        </is>
      </c>
      <c r="E71" s="19" t="n">
        <v>30</v>
      </c>
      <c r="F71" s="19" t="inlineStr">
        <is>
          <t>x</t>
        </is>
      </c>
      <c r="G71" s="20">
        <f>A71</f>
        <v/>
      </c>
      <c r="H71" s="19" t="inlineStr">
        <is>
          <t>x</t>
        </is>
      </c>
      <c r="I71" s="20" t="n">
        <v>8.55323458033177</v>
      </c>
      <c r="J71" s="19" t="n">
        <v>44513</v>
      </c>
      <c r="K71" s="19" t="inlineStr">
        <is>
          <t>2332C0</t>
        </is>
      </c>
      <c r="L71" s="19" t="inlineStr">
        <is>
          <t>Transportation struct, highways, streets</t>
        </is>
      </c>
    </row>
    <row r="72" ht="12.8" customHeight="1" s="18">
      <c r="A72" s="20" t="n">
        <v>3.69722213909806</v>
      </c>
      <c r="B72" s="22" t="n">
        <v>237130</v>
      </c>
      <c r="C72" s="19" t="inlineStr">
        <is>
          <t>Power and communication line and related structures construction</t>
        </is>
      </c>
      <c r="D72" s="19" t="inlineStr">
        <is>
          <t>nonresidential</t>
        </is>
      </c>
      <c r="E72" s="19" t="n">
        <v>28</v>
      </c>
      <c r="F72" s="19" t="inlineStr">
        <is>
          <t>y</t>
        </is>
      </c>
      <c r="G72" s="20" t="n">
        <v>3.69722213909806</v>
      </c>
      <c r="H72" s="31">
        <f>I79/I$84</f>
        <v/>
      </c>
      <c r="I72" s="20" t="n">
        <v>7.45758738564591</v>
      </c>
      <c r="J72" s="19" t="n">
        <v>38811</v>
      </c>
      <c r="K72" s="19" t="inlineStr">
        <is>
          <t>233240</t>
        </is>
      </c>
      <c r="L72" s="19" t="inlineStr">
        <is>
          <t>Power and communication structures</t>
        </is>
      </c>
    </row>
    <row r="73" ht="12.8" customHeight="1" s="18">
      <c r="A73" s="20" t="n">
        <v>2.33975670709877</v>
      </c>
      <c r="B73" s="22" t="n">
        <v>236210</v>
      </c>
      <c r="C73" s="19" t="inlineStr">
        <is>
          <t xml:space="preserve">Industrial building construction </t>
        </is>
      </c>
      <c r="D73" s="19" t="inlineStr">
        <is>
          <t>nonresidential</t>
        </is>
      </c>
      <c r="E73" s="19" t="n">
        <v>24</v>
      </c>
      <c r="F73" s="19" t="inlineStr">
        <is>
          <t>z</t>
        </is>
      </c>
      <c r="G73" s="20" t="n">
        <v>2.33975670709877</v>
      </c>
      <c r="H73" s="31">
        <f>I80/I$84</f>
        <v/>
      </c>
      <c r="I73" s="20" t="n">
        <v>4.5236278950008</v>
      </c>
      <c r="J73" s="19" t="n">
        <v>23542</v>
      </c>
      <c r="K73" s="19" t="inlineStr">
        <is>
          <t>233230</t>
        </is>
      </c>
      <c r="L73" s="19" t="inlineStr">
        <is>
          <t>Manufacturing structures</t>
        </is>
      </c>
    </row>
    <row r="74" ht="12.8" customHeight="1" s="18">
      <c r="A74" s="20" t="n">
        <v>10.9321998561935</v>
      </c>
      <c r="B74" s="22" t="n">
        <v>236220</v>
      </c>
      <c r="C74" s="19" t="inlineStr">
        <is>
          <t xml:space="preserve">Commercial and institutional building construction </t>
        </is>
      </c>
      <c r="D74" s="19" t="inlineStr">
        <is>
          <t>nonresidential</t>
        </is>
      </c>
      <c r="E74" s="19" t="n">
        <v>25</v>
      </c>
      <c r="F74" s="19" t="inlineStr">
        <is>
          <t>w</t>
        </is>
      </c>
      <c r="G74" s="20" t="n">
        <v>10.9321998561935</v>
      </c>
      <c r="H74" s="31">
        <f>I81/I$84</f>
        <v/>
      </c>
      <c r="I74" s="20" t="n">
        <v>20.9272072909921</v>
      </c>
      <c r="J74" s="19" t="n">
        <v>20279</v>
      </c>
      <c r="K74" s="19" t="inlineStr">
        <is>
          <t>233210</t>
        </is>
      </c>
      <c r="L74" s="19" t="inlineStr">
        <is>
          <t>Health care structures</t>
        </is>
      </c>
    </row>
    <row r="75" ht="12.8" customHeight="1" s="18">
      <c r="A75" s="20" t="n">
        <v>7.3</v>
      </c>
      <c r="B75" s="22" t="n">
        <v>237110</v>
      </c>
      <c r="C75" s="19" t="inlineStr">
        <is>
          <t>Water and sewer line and related structures construction</t>
        </is>
      </c>
      <c r="D75" s="19" t="inlineStr">
        <is>
          <t>nonresidential</t>
        </is>
      </c>
      <c r="E75" s="19" t="n">
        <v>26</v>
      </c>
      <c r="F75" s="19" t="inlineStr">
        <is>
          <t>u</t>
        </is>
      </c>
      <c r="G75" s="20">
        <f>A75</f>
        <v/>
      </c>
      <c r="H75" s="19" t="inlineStr">
        <is>
          <t>u</t>
        </is>
      </c>
      <c r="I75" s="20" t="n">
        <v>8.239835672135939</v>
      </c>
      <c r="J75" s="19" t="n">
        <v>42882</v>
      </c>
      <c r="K75" s="19" t="inlineStr">
        <is>
          <t>2332D0</t>
        </is>
      </c>
      <c r="L75" s="19" t="inlineStr">
        <is>
          <t>Other nonresidential structures</t>
        </is>
      </c>
    </row>
    <row r="76" ht="12.8" customHeight="1" s="18">
      <c r="A76" s="20" t="n"/>
      <c r="B76" s="22" t="n"/>
      <c r="G76" s="20">
        <f>SUM(G71:G75)</f>
        <v/>
      </c>
      <c r="I76" s="20" t="n"/>
    </row>
    <row r="78" ht="12.8" customHeight="1" s="18">
      <c r="A78" s="20" t="n"/>
      <c r="B78" s="22" t="n"/>
      <c r="D78" s="31">
        <f>G71/G$76</f>
        <v/>
      </c>
      <c r="F78" s="19" t="n">
        <v>0</v>
      </c>
      <c r="G78" s="31">
        <f>D78*F78*G$84</f>
        <v/>
      </c>
      <c r="H78" s="31" t="n"/>
      <c r="I78" s="20">
        <f>I71-G71</f>
        <v/>
      </c>
      <c r="J78" s="19" t="n">
        <v>44513</v>
      </c>
      <c r="K78" s="19" t="inlineStr">
        <is>
          <t>2332C0</t>
        </is>
      </c>
      <c r="L78" s="19" t="inlineStr">
        <is>
          <t>Transportation struct, highways, streets</t>
        </is>
      </c>
    </row>
    <row r="79" ht="12.8" customHeight="1" s="18">
      <c r="A79" s="20" t="n"/>
      <c r="B79" s="22" t="n"/>
      <c r="D79" s="31">
        <f>G72/G$76</f>
        <v/>
      </c>
      <c r="F79" s="19" t="n">
        <v>1</v>
      </c>
      <c r="G79" s="31">
        <f>D79*F79*G$84</f>
        <v/>
      </c>
      <c r="H79" s="31">
        <f>I79/G72</f>
        <v/>
      </c>
      <c r="I79" s="20">
        <f>I72-G72</f>
        <v/>
      </c>
      <c r="J79" s="19" t="n">
        <v>38811</v>
      </c>
      <c r="K79" s="19" t="inlineStr">
        <is>
          <t>233240</t>
        </is>
      </c>
      <c r="L79" s="19" t="inlineStr">
        <is>
          <t>Power and communication structures</t>
        </is>
      </c>
    </row>
    <row r="80" ht="12.8" customHeight="1" s="18">
      <c r="A80" s="20" t="n"/>
      <c r="B80" s="22" t="n"/>
      <c r="D80" s="31">
        <f>G73/G$76</f>
        <v/>
      </c>
      <c r="F80" s="19" t="n">
        <v>1</v>
      </c>
      <c r="G80" s="31">
        <f>D80*F80*G$84</f>
        <v/>
      </c>
      <c r="H80" s="31">
        <f>I80/G73</f>
        <v/>
      </c>
      <c r="I80" s="20">
        <f>I73-G73</f>
        <v/>
      </c>
      <c r="J80" s="19" t="n">
        <v>23542</v>
      </c>
      <c r="K80" s="19" t="inlineStr">
        <is>
          <t>233230</t>
        </is>
      </c>
      <c r="L80" s="19" t="inlineStr">
        <is>
          <t>Manufacturing structures</t>
        </is>
      </c>
    </row>
    <row r="81" ht="12.8" customHeight="1" s="18">
      <c r="B81" s="20" t="n"/>
      <c r="D81" s="31">
        <f>G74/G$76</f>
        <v/>
      </c>
      <c r="F81" s="19" t="n">
        <v>1</v>
      </c>
      <c r="G81" s="31">
        <f>D81*F81*G$84</f>
        <v/>
      </c>
      <c r="H81" s="31">
        <f>I81/G74</f>
        <v/>
      </c>
      <c r="I81" s="20">
        <f>I74-G74</f>
        <v/>
      </c>
      <c r="J81" s="19" t="n">
        <v>20279</v>
      </c>
      <c r="K81" s="19" t="inlineStr">
        <is>
          <t>233210</t>
        </is>
      </c>
      <c r="L81" s="19" t="inlineStr">
        <is>
          <t>Health care structures</t>
        </is>
      </c>
    </row>
    <row r="82" ht="12.8" customHeight="1" s="18">
      <c r="B82" s="20" t="n"/>
      <c r="D82" s="31">
        <f>G75/G$76</f>
        <v/>
      </c>
      <c r="F82" s="19" t="n">
        <v>0</v>
      </c>
      <c r="G82" s="31">
        <f>D82*F82*G$84</f>
        <v/>
      </c>
      <c r="H82" s="31" t="n"/>
      <c r="I82" s="20">
        <f>I75-G75</f>
        <v/>
      </c>
      <c r="J82" s="19" t="n">
        <v>42882</v>
      </c>
      <c r="K82" s="19" t="inlineStr">
        <is>
          <t>2332D0</t>
        </is>
      </c>
      <c r="L82" s="19" t="inlineStr">
        <is>
          <t>Other nonresidential structures</t>
        </is>
      </c>
    </row>
    <row r="83" ht="12.8" customHeight="1" s="18">
      <c r="B83" s="20" t="n"/>
    </row>
    <row r="84" ht="12.8" customHeight="1" s="18">
      <c r="B84" s="20" t="n"/>
      <c r="D84" s="19">
        <f>SUM(D78:D82)</f>
        <v/>
      </c>
      <c r="F84" s="20">
        <f>SUM(G78:G82)</f>
        <v/>
      </c>
      <c r="G84" s="20">
        <f>H54</f>
        <v/>
      </c>
      <c r="I84" s="20">
        <f>SUM(I78:I82)</f>
        <v/>
      </c>
    </row>
    <row r="85" ht="12.8" customHeight="1" s="18">
      <c r="B85" s="20" t="n"/>
    </row>
    <row r="86" ht="12.8" customHeight="1" s="18">
      <c r="B86" s="20" t="n"/>
    </row>
    <row r="87" ht="12.8" customHeight="1" s="18">
      <c r="B87" s="20" t="n"/>
    </row>
    <row r="88" ht="12.8" customHeight="1" s="18">
      <c r="B88" s="20" t="n"/>
    </row>
    <row r="89" ht="12.8" customHeight="1" s="18">
      <c r="B89" s="20" t="n"/>
    </row>
    <row r="90" ht="12.8" customHeight="1" s="18">
      <c r="B90" s="31" t="n"/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AH54"/>
  <sheetViews>
    <sheetView workbookViewId="0">
      <selection activeCell="A1" sqref="A1"/>
    </sheetView>
  </sheetViews>
  <sheetFormatPr baseColWidth="8" defaultRowHeight="15"/>
  <sheetData>
    <row r="3">
      <c r="C3" t="inlineStr">
        <is>
          <t>total</t>
        </is>
      </c>
      <c r="D3" t="inlineStr">
        <is>
          <t>236115</t>
        </is>
      </c>
      <c r="E3" t="inlineStr">
        <is>
          <t>236116</t>
        </is>
      </c>
      <c r="F3" t="inlineStr">
        <is>
          <t>236117</t>
        </is>
      </c>
      <c r="G3" t="inlineStr">
        <is>
          <t>236118</t>
        </is>
      </c>
      <c r="H3" t="inlineStr">
        <is>
          <t>236210</t>
        </is>
      </c>
      <c r="I3" t="inlineStr">
        <is>
          <t>236220</t>
        </is>
      </c>
      <c r="J3" t="inlineStr">
        <is>
          <t>237110</t>
        </is>
      </c>
      <c r="K3" t="inlineStr">
        <is>
          <t>237120</t>
        </is>
      </c>
      <c r="L3" t="inlineStr">
        <is>
          <t>237130</t>
        </is>
      </c>
      <c r="M3" t="inlineStr">
        <is>
          <t>237210</t>
        </is>
      </c>
      <c r="N3" t="inlineStr">
        <is>
          <t>237310</t>
        </is>
      </c>
      <c r="O3" t="inlineStr">
        <is>
          <t>237990</t>
        </is>
      </c>
      <c r="P3" t="inlineStr">
        <is>
          <t>238110</t>
        </is>
      </c>
      <c r="Q3" t="inlineStr">
        <is>
          <t>238120</t>
        </is>
      </c>
      <c r="R3" t="inlineStr">
        <is>
          <t>238130</t>
        </is>
      </c>
      <c r="S3" t="inlineStr">
        <is>
          <t>238140</t>
        </is>
      </c>
      <c r="T3" t="inlineStr">
        <is>
          <t>238150</t>
        </is>
      </c>
      <c r="U3" t="inlineStr">
        <is>
          <t>238160</t>
        </is>
      </c>
      <c r="V3" t="inlineStr">
        <is>
          <t>238170</t>
        </is>
      </c>
      <c r="W3" t="inlineStr">
        <is>
          <t>238190</t>
        </is>
      </c>
      <c r="X3" t="inlineStr">
        <is>
          <t>238210</t>
        </is>
      </c>
      <c r="Y3" t="inlineStr">
        <is>
          <t>238220</t>
        </is>
      </c>
      <c r="Z3" t="inlineStr">
        <is>
          <t>238290</t>
        </is>
      </c>
      <c r="AA3" t="inlineStr">
        <is>
          <t>238310</t>
        </is>
      </c>
      <c r="AB3" t="inlineStr">
        <is>
          <t>238320</t>
        </is>
      </c>
      <c r="AC3" t="inlineStr">
        <is>
          <t>238330</t>
        </is>
      </c>
      <c r="AD3" t="inlineStr">
        <is>
          <t>238340</t>
        </is>
      </c>
      <c r="AE3" t="inlineStr">
        <is>
          <t>238350</t>
        </is>
      </c>
      <c r="AF3" t="inlineStr">
        <is>
          <t>238390</t>
        </is>
      </c>
      <c r="AG3" t="inlineStr">
        <is>
          <t>238910</t>
        </is>
      </c>
      <c r="AH3" t="inlineStr">
        <is>
          <t>238990</t>
        </is>
      </c>
    </row>
    <row r="4">
      <c r="A4" t="inlineStr">
        <is>
          <t>fraction</t>
        </is>
      </c>
      <c r="B4" t="inlineStr">
        <is>
          <t>code</t>
        </is>
      </c>
      <c r="C4" t="inlineStr">
        <is>
          <t>description</t>
        </is>
      </c>
      <c r="D4" t="inlineStr">
        <is>
          <t>New single-family housing construction (except for-sale builders)</t>
        </is>
      </c>
      <c r="E4" t="inlineStr">
        <is>
          <t>New multifamily housing construction (except for-sale builders)</t>
        </is>
      </c>
      <c r="F4" t="inlineStr">
        <is>
          <t>New housing for-sale builders</t>
        </is>
      </c>
      <c r="G4" t="inlineStr">
        <is>
          <t>Residential remodelers</t>
        </is>
      </c>
      <c r="H4" t="inlineStr">
        <is>
          <t>Industrial building construction</t>
        </is>
      </c>
      <c r="I4" t="inlineStr">
        <is>
          <t>Commercial and institutional building construction</t>
        </is>
      </c>
      <c r="J4" t="inlineStr">
        <is>
          <t>Water and sewer line and related structures construction</t>
        </is>
      </c>
      <c r="K4" t="inlineStr">
        <is>
          <t>Oil and gas pipeline and related structures construction</t>
        </is>
      </c>
      <c r="L4" t="inlineStr">
        <is>
          <t>Power and communication line and related structures construction</t>
        </is>
      </c>
      <c r="M4" t="inlineStr">
        <is>
          <t>Land subdivision</t>
        </is>
      </c>
      <c r="N4" t="inlineStr">
        <is>
          <t>Highway, street, and bridge construction</t>
        </is>
      </c>
      <c r="O4" t="inlineStr">
        <is>
          <t>Other heavy and civil engineering construction</t>
        </is>
      </c>
      <c r="P4" t="inlineStr">
        <is>
          <t>Poured concrete foundation and structure contractors</t>
        </is>
      </c>
      <c r="Q4" t="inlineStr">
        <is>
          <t>Structural steel and precast concrete contractors</t>
        </is>
      </c>
      <c r="R4" t="inlineStr">
        <is>
          <t>Framing contractors</t>
        </is>
      </c>
      <c r="S4" t="inlineStr">
        <is>
          <t>Masonry contractors</t>
        </is>
      </c>
      <c r="T4" t="inlineStr">
        <is>
          <t>Glass and glazing contractors</t>
        </is>
      </c>
      <c r="U4" t="inlineStr">
        <is>
          <t>Roofing contractors</t>
        </is>
      </c>
      <c r="V4" t="inlineStr">
        <is>
          <t>Siding contractors</t>
        </is>
      </c>
      <c r="W4" t="inlineStr">
        <is>
          <t>Other foundation, structure, and building exterior contractors</t>
        </is>
      </c>
      <c r="X4" t="inlineStr">
        <is>
          <t>Electrical contractors and other wiring installation contractors</t>
        </is>
      </c>
      <c r="Y4" t="inlineStr">
        <is>
          <t>Plumbing, heating, and air-conditioning contractors</t>
        </is>
      </c>
      <c r="Z4" t="inlineStr">
        <is>
          <t>Other building equipment contractors</t>
        </is>
      </c>
      <c r="AA4" t="inlineStr">
        <is>
          <t>Drywall and insulation contractors</t>
        </is>
      </c>
      <c r="AB4" t="inlineStr">
        <is>
          <t>Painting and wall covering contractors</t>
        </is>
      </c>
      <c r="AC4" t="inlineStr">
        <is>
          <t>Flooring contractors</t>
        </is>
      </c>
      <c r="AD4" t="inlineStr">
        <is>
          <t>Tile and terrazzo contractors</t>
        </is>
      </c>
      <c r="AE4" t="inlineStr">
        <is>
          <t>Finish carpentry contractors</t>
        </is>
      </c>
      <c r="AF4" t="inlineStr">
        <is>
          <t>Other building finishing contractors</t>
        </is>
      </c>
      <c r="AG4" t="inlineStr">
        <is>
          <t>Site preparation contractors</t>
        </is>
      </c>
      <c r="AH4" t="inlineStr">
        <is>
          <t>All other specialty trade contractors</t>
        </is>
      </c>
    </row>
    <row r="5">
      <c r="A5" t="n">
        <v>5.01018611452977</v>
      </c>
      <c r="B5" t="inlineStr">
        <is>
          <t>236115</t>
        </is>
      </c>
      <c r="C5" t="inlineStr">
        <is>
          <t xml:space="preserve">New single-family housing construction (except for-sale builders) </t>
        </is>
      </c>
      <c r="D5" t="n">
        <v>1</v>
      </c>
    </row>
    <row r="6">
      <c r="A6" t="n">
        <v>0.716848528552351</v>
      </c>
      <c r="B6" t="inlineStr">
        <is>
          <t>236116</t>
        </is>
      </c>
      <c r="C6" t="inlineStr">
        <is>
          <t xml:space="preserve">New multifamily housing construction (except for-sale builders) </t>
        </is>
      </c>
      <c r="E6" t="n">
        <v>1</v>
      </c>
    </row>
    <row r="7">
      <c r="A7" t="n">
        <v>1.11289267259326</v>
      </c>
      <c r="B7" t="inlineStr">
        <is>
          <t>236117</t>
        </is>
      </c>
      <c r="C7" t="inlineStr">
        <is>
          <t>New housing for-sale builders</t>
        </is>
      </c>
      <c r="F7" t="n">
        <v>1</v>
      </c>
    </row>
    <row r="8">
      <c r="A8" t="n">
        <v>4.26457821361736</v>
      </c>
      <c r="B8" t="inlineStr">
        <is>
          <t>236118</t>
        </is>
      </c>
      <c r="C8" t="inlineStr">
        <is>
          <t>Residential remodelers</t>
        </is>
      </c>
      <c r="G8" t="n">
        <v>1</v>
      </c>
    </row>
    <row r="9">
      <c r="A9" t="n">
        <v>1.20986987318312</v>
      </c>
      <c r="B9" t="inlineStr">
        <is>
          <t>238111</t>
        </is>
      </c>
      <c r="C9" t="inlineStr">
        <is>
          <t>Residential poured foundation contractors</t>
        </is>
      </c>
      <c r="P9" t="n">
        <v>1</v>
      </c>
    </row>
    <row r="10">
      <c r="A10" t="n">
        <v>0.156735567020619</v>
      </c>
      <c r="B10" t="inlineStr">
        <is>
          <t>238121</t>
        </is>
      </c>
      <c r="C10" t="inlineStr">
        <is>
          <t>Residential structural steel contractors</t>
        </is>
      </c>
      <c r="Q10" t="n">
        <v>1</v>
      </c>
    </row>
    <row r="11">
      <c r="A11" t="n">
        <v>0.619396279161187</v>
      </c>
      <c r="B11" t="inlineStr">
        <is>
          <t>238131</t>
        </is>
      </c>
      <c r="C11" t="inlineStr">
        <is>
          <t xml:space="preserve">Residential framing contractors </t>
        </is>
      </c>
      <c r="R11" t="n">
        <v>1</v>
      </c>
    </row>
    <row r="12">
      <c r="A12" t="n">
        <v>0.6348826238883239</v>
      </c>
      <c r="B12" t="inlineStr">
        <is>
          <t>238141</t>
        </is>
      </c>
      <c r="C12" t="inlineStr">
        <is>
          <t xml:space="preserve">Residential masonry contractors </t>
        </is>
      </c>
      <c r="S12" t="n">
        <v>1</v>
      </c>
    </row>
    <row r="13">
      <c r="A13" t="n">
        <v>0.259217553744938</v>
      </c>
      <c r="B13" t="inlineStr">
        <is>
          <t>238151</t>
        </is>
      </c>
      <c r="C13" t="inlineStr">
        <is>
          <t xml:space="preserve">Residential glass and glazing contractors </t>
        </is>
      </c>
      <c r="T13" t="n">
        <v>1</v>
      </c>
    </row>
    <row r="14">
      <c r="A14" t="n">
        <v>1.20763585107467</v>
      </c>
      <c r="B14" t="inlineStr">
        <is>
          <t>238161</t>
        </is>
      </c>
      <c r="C14" t="inlineStr">
        <is>
          <t xml:space="preserve">Residential roofing contractors </t>
        </is>
      </c>
      <c r="U14" t="n">
        <v>1</v>
      </c>
    </row>
    <row r="15">
      <c r="A15" t="n">
        <v>0.345450317512425</v>
      </c>
      <c r="B15" t="inlineStr">
        <is>
          <t>238171</t>
        </is>
      </c>
      <c r="C15" t="inlineStr">
        <is>
          <t xml:space="preserve">Residential siding contractors </t>
        </is>
      </c>
      <c r="V15" t="n">
        <v>1</v>
      </c>
    </row>
    <row r="16">
      <c r="A16" t="n">
        <v>0.218586130561038</v>
      </c>
      <c r="B16" t="inlineStr">
        <is>
          <t>238191</t>
        </is>
      </c>
      <c r="C16" t="inlineStr">
        <is>
          <t>Other residential exterior contractors</t>
        </is>
      </c>
      <c r="W16" t="n">
        <v>1</v>
      </c>
    </row>
    <row r="17">
      <c r="A17" t="n">
        <v>3.6895064219375</v>
      </c>
      <c r="B17" t="inlineStr">
        <is>
          <t>238211</t>
        </is>
      </c>
      <c r="C17" t="inlineStr">
        <is>
          <t xml:space="preserve">Residential electrical contractors </t>
        </is>
      </c>
      <c r="X17" t="n">
        <v>1</v>
      </c>
    </row>
    <row r="18">
      <c r="A18" t="n">
        <v>6.81806487822265</v>
      </c>
      <c r="B18" t="inlineStr">
        <is>
          <t>238221</t>
        </is>
      </c>
      <c r="C18" t="inlineStr">
        <is>
          <t xml:space="preserve">Residential plumbing and hvac contractors </t>
        </is>
      </c>
      <c r="Y18" t="n">
        <v>1</v>
      </c>
    </row>
    <row r="19">
      <c r="A19" t="n">
        <v>0.170288310549416</v>
      </c>
      <c r="B19" t="inlineStr">
        <is>
          <t>238291</t>
        </is>
      </c>
      <c r="C19" t="inlineStr">
        <is>
          <t>Other residential equipment contractors</t>
        </is>
      </c>
      <c r="Z19" t="n">
        <v>1</v>
      </c>
    </row>
    <row r="20">
      <c r="A20" t="n">
        <v>1.14412961372023</v>
      </c>
      <c r="B20" t="inlineStr">
        <is>
          <t>238311</t>
        </is>
      </c>
      <c r="C20" t="inlineStr">
        <is>
          <t xml:space="preserve">Residential drywall contractors </t>
        </is>
      </c>
      <c r="AA20" t="n">
        <v>1</v>
      </c>
    </row>
    <row r="21">
      <c r="A21" t="n">
        <v>1.03896267474402</v>
      </c>
      <c r="B21" t="inlineStr">
        <is>
          <t>238321</t>
        </is>
      </c>
      <c r="C21" t="inlineStr">
        <is>
          <t xml:space="preserve">Residential painting contractors </t>
        </is>
      </c>
      <c r="AB21" t="n">
        <v>1</v>
      </c>
    </row>
    <row r="22">
      <c r="A22" t="n">
        <v>0.498898761768195</v>
      </c>
      <c r="B22" t="inlineStr">
        <is>
          <t>238331</t>
        </is>
      </c>
      <c r="C22" t="inlineStr">
        <is>
          <t xml:space="preserve">Residential flooring contractors </t>
        </is>
      </c>
      <c r="AC22" t="n">
        <v>1</v>
      </c>
    </row>
    <row r="23">
      <c r="A23" t="n">
        <v>0.402666444448796</v>
      </c>
      <c r="B23" t="inlineStr">
        <is>
          <t>238341</t>
        </is>
      </c>
      <c r="C23" t="inlineStr">
        <is>
          <t xml:space="preserve">Residential tile and terrazzo contractors </t>
        </is>
      </c>
      <c r="AD23" t="n">
        <v>1</v>
      </c>
    </row>
    <row r="24">
      <c r="A24" t="n">
        <v>1.21253575629467</v>
      </c>
      <c r="B24" t="inlineStr">
        <is>
          <t>238351</t>
        </is>
      </c>
      <c r="C24" t="inlineStr">
        <is>
          <t>Residential finish carpentry contractors</t>
        </is>
      </c>
      <c r="AE24" t="n">
        <v>1</v>
      </c>
    </row>
    <row r="25">
      <c r="A25" t="n">
        <v>0.375193506540032</v>
      </c>
      <c r="B25" t="inlineStr">
        <is>
          <t>238391</t>
        </is>
      </c>
      <c r="C25" t="inlineStr">
        <is>
          <t>Other residential finishing contractors</t>
        </is>
      </c>
      <c r="AF25" t="n">
        <v>1</v>
      </c>
    </row>
    <row r="26">
      <c r="A26" t="n">
        <v>1.45057948799826</v>
      </c>
      <c r="B26" t="inlineStr">
        <is>
          <t>238911</t>
        </is>
      </c>
      <c r="C26" t="inlineStr">
        <is>
          <t>Residential site preparation contractors</t>
        </is>
      </c>
      <c r="AG26" t="n">
        <v>1</v>
      </c>
    </row>
    <row r="27">
      <c r="A27" t="n">
        <v>1.83510008870929</v>
      </c>
      <c r="B27" t="inlineStr">
        <is>
          <t>238991</t>
        </is>
      </c>
      <c r="C27" t="inlineStr">
        <is>
          <t xml:space="preserve">All other residential trade contractors </t>
        </is>
      </c>
      <c r="AH27" t="n">
        <v>1</v>
      </c>
    </row>
    <row r="28">
      <c r="A28" t="n">
        <v>10.9321998561935</v>
      </c>
      <c r="B28" t="inlineStr">
        <is>
          <t>236220</t>
        </is>
      </c>
      <c r="C28" t="inlineStr">
        <is>
          <t xml:space="preserve">Commercial and institutional building construction </t>
        </is>
      </c>
      <c r="I28" t="n">
        <v>1</v>
      </c>
    </row>
    <row r="29">
      <c r="A29" t="n">
        <v>2.33975670709877</v>
      </c>
      <c r="B29" t="inlineStr">
        <is>
          <t>236210</t>
        </is>
      </c>
      <c r="C29" t="inlineStr">
        <is>
          <t xml:space="preserve">Industrial building construction </t>
        </is>
      </c>
      <c r="H29" t="n">
        <v>1</v>
      </c>
    </row>
    <row r="30">
      <c r="A30" t="n">
        <v>2.59982997933432</v>
      </c>
      <c r="B30" t="inlineStr">
        <is>
          <t>237110</t>
        </is>
      </c>
      <c r="C30" t="inlineStr">
        <is>
          <t>Water and sewer line and related structures construction</t>
        </is>
      </c>
      <c r="J30" t="n">
        <v>1</v>
      </c>
    </row>
    <row r="31">
      <c r="A31" t="n">
        <v>2.05239553591296</v>
      </c>
      <c r="B31" t="inlineStr">
        <is>
          <t>237120</t>
        </is>
      </c>
      <c r="C31" t="inlineStr">
        <is>
          <t>Oil and gas pipeline and related structures construction</t>
        </is>
      </c>
      <c r="K31" t="n">
        <v>1</v>
      </c>
    </row>
    <row r="32">
      <c r="A32" t="n">
        <v>0.744786087909134</v>
      </c>
      <c r="B32" t="inlineStr">
        <is>
          <t>237210</t>
        </is>
      </c>
      <c r="C32" t="inlineStr">
        <is>
          <t>Land subdivision</t>
        </is>
      </c>
      <c r="M32" t="n">
        <v>1</v>
      </c>
    </row>
    <row r="33">
      <c r="A33" t="n">
        <v>1.92455247387366</v>
      </c>
      <c r="B33" t="inlineStr">
        <is>
          <t>237990</t>
        </is>
      </c>
      <c r="C33" t="inlineStr">
        <is>
          <t>Other heavy and civil engineering construction</t>
        </is>
      </c>
      <c r="O33" t="n">
        <v>1</v>
      </c>
    </row>
    <row r="34">
      <c r="A34" t="n">
        <v>3.69722213909806</v>
      </c>
      <c r="B34" t="inlineStr">
        <is>
          <t>237130</t>
        </is>
      </c>
      <c r="C34" t="inlineStr">
        <is>
          <t>Power and communication line and related structures construction</t>
        </is>
      </c>
      <c r="L34" t="n">
        <v>1</v>
      </c>
    </row>
    <row r="35">
      <c r="A35" t="n">
        <v>6.78302787638954</v>
      </c>
      <c r="B35" t="inlineStr">
        <is>
          <t>237310</t>
        </is>
      </c>
      <c r="C35" t="inlineStr">
        <is>
          <t xml:space="preserve">Highway, street, and bridge construction </t>
        </is>
      </c>
      <c r="N35" t="n">
        <v>1</v>
      </c>
    </row>
    <row r="36">
      <c r="A36" t="n">
        <v>1.58273084792981</v>
      </c>
      <c r="B36" t="inlineStr">
        <is>
          <t>238112</t>
        </is>
      </c>
      <c r="C36" t="inlineStr">
        <is>
          <t>Nonresidential poured foundation contractors</t>
        </is>
      </c>
      <c r="P36" t="n">
        <v>1</v>
      </c>
    </row>
    <row r="37">
      <c r="A37" t="n">
        <v>0.956916440910465</v>
      </c>
      <c r="B37" t="inlineStr">
        <is>
          <t>238122</t>
        </is>
      </c>
      <c r="C37" t="inlineStr">
        <is>
          <t>Nonresidential structural steel contractors</t>
        </is>
      </c>
      <c r="Q37" t="n">
        <v>1</v>
      </c>
    </row>
    <row r="38">
      <c r="A38" t="n">
        <v>0.201477565138371</v>
      </c>
      <c r="B38" t="inlineStr">
        <is>
          <t>238132</t>
        </is>
      </c>
      <c r="C38" t="inlineStr">
        <is>
          <t xml:space="preserve">Nonresidential framing contractors </t>
        </is>
      </c>
      <c r="R38" t="n">
        <v>1</v>
      </c>
    </row>
    <row r="39">
      <c r="A39" t="n">
        <v>0.773626310416561</v>
      </c>
      <c r="B39" t="inlineStr">
        <is>
          <t>238142</t>
        </is>
      </c>
      <c r="C39" t="inlineStr">
        <is>
          <t xml:space="preserve">Nonresidential masonry contractors </t>
        </is>
      </c>
      <c r="S39" t="n">
        <v>1</v>
      </c>
    </row>
    <row r="40">
      <c r="A40" t="n">
        <v>0.582834016724554</v>
      </c>
      <c r="B40" t="inlineStr">
        <is>
          <t>238152</t>
        </is>
      </c>
      <c r="C40" t="inlineStr">
        <is>
          <t xml:space="preserve">Nonresidential glass and glazing contractors </t>
        </is>
      </c>
      <c r="T40" t="n">
        <v>1</v>
      </c>
    </row>
    <row r="41">
      <c r="A41" t="n">
        <v>1.27040375246579</v>
      </c>
      <c r="B41" t="inlineStr">
        <is>
          <t>238162</t>
        </is>
      </c>
      <c r="C41" t="inlineStr">
        <is>
          <t xml:space="preserve">Nonresidential roofing contractors </t>
        </is>
      </c>
      <c r="U41" t="n">
        <v>1</v>
      </c>
    </row>
    <row r="42">
      <c r="A42" t="n">
        <v>0.06368914804829789</v>
      </c>
      <c r="B42" t="inlineStr">
        <is>
          <t>238172</t>
        </is>
      </c>
      <c r="C42" t="inlineStr">
        <is>
          <t xml:space="preserve">Nonresidential siding contractors </t>
        </is>
      </c>
      <c r="V42" t="n">
        <v>1</v>
      </c>
    </row>
    <row r="43">
      <c r="A43" t="n">
        <v>0.357362812814515</v>
      </c>
      <c r="B43" t="inlineStr">
        <is>
          <t>238192</t>
        </is>
      </c>
      <c r="C43" t="inlineStr">
        <is>
          <t>Other nonresidential exterior contractors</t>
        </is>
      </c>
      <c r="W43" t="n">
        <v>1</v>
      </c>
    </row>
    <row r="44">
      <c r="A44" t="n">
        <v>9.24819966598533</v>
      </c>
      <c r="B44" t="inlineStr">
        <is>
          <t>238212</t>
        </is>
      </c>
      <c r="C44" t="inlineStr">
        <is>
          <t xml:space="preserve">Nonresidential electrical contractors </t>
        </is>
      </c>
      <c r="X44" t="n">
        <v>1</v>
      </c>
    </row>
    <row r="45">
      <c r="A45" t="n">
        <v>7.99288537379344</v>
      </c>
      <c r="B45" t="inlineStr">
        <is>
          <t>238222</t>
        </is>
      </c>
      <c r="C45" t="inlineStr">
        <is>
          <t xml:space="preserve">Nonresidential plumbing and hvac contractors </t>
        </is>
      </c>
      <c r="Y45" t="n">
        <v>1</v>
      </c>
    </row>
    <row r="46">
      <c r="A46" t="n">
        <v>2.15888691161597</v>
      </c>
      <c r="B46" t="inlineStr">
        <is>
          <t>238292</t>
        </is>
      </c>
      <c r="C46" t="inlineStr">
        <is>
          <t>Other nonresidential equipment contractors</t>
        </is>
      </c>
      <c r="Z46" t="n">
        <v>1</v>
      </c>
    </row>
    <row r="47">
      <c r="A47" t="n">
        <v>1.62099535668871</v>
      </c>
      <c r="B47" t="inlineStr">
        <is>
          <t>238312</t>
        </is>
      </c>
      <c r="C47" t="inlineStr">
        <is>
          <t xml:space="preserve">Nonresidential drywall contractors </t>
        </is>
      </c>
      <c r="AA47" t="n">
        <v>1</v>
      </c>
    </row>
    <row r="48">
      <c r="A48" t="n">
        <v>0.8651970223194519</v>
      </c>
      <c r="B48" t="inlineStr">
        <is>
          <t>238322</t>
        </is>
      </c>
      <c r="C48" t="inlineStr">
        <is>
          <t xml:space="preserve">Nonresidential painting contractors </t>
        </is>
      </c>
      <c r="AB48" t="n">
        <v>1</v>
      </c>
    </row>
    <row r="49">
      <c r="A49" t="n">
        <v>0.347108479268508</v>
      </c>
      <c r="B49" t="inlineStr">
        <is>
          <t>238332</t>
        </is>
      </c>
      <c r="C49" t="inlineStr">
        <is>
          <t xml:space="preserve">Nonresidential flooring contractors </t>
        </is>
      </c>
      <c r="AC49" t="n">
        <v>1</v>
      </c>
    </row>
    <row r="50">
      <c r="A50" t="n">
        <v>0.159647224157147</v>
      </c>
      <c r="B50" t="inlineStr">
        <is>
          <t>238342</t>
        </is>
      </c>
      <c r="C50" t="inlineStr">
        <is>
          <t xml:space="preserve">Nonresidential tile and terrazzo contractors </t>
        </is>
      </c>
      <c r="AD50" t="n">
        <v>1</v>
      </c>
    </row>
    <row r="51">
      <c r="A51" t="n">
        <v>0.425221739115522</v>
      </c>
      <c r="B51" t="inlineStr">
        <is>
          <t>238352</t>
        </is>
      </c>
      <c r="C51" t="inlineStr">
        <is>
          <t>Nonresidential finish carpentry contractors</t>
        </is>
      </c>
      <c r="AE51" t="n">
        <v>1</v>
      </c>
    </row>
    <row r="52">
      <c r="A52" t="n">
        <v>0.543446116015728</v>
      </c>
      <c r="B52" t="inlineStr">
        <is>
          <t>238392</t>
        </is>
      </c>
      <c r="C52" t="inlineStr">
        <is>
          <t>Other nonresidential finishing contractors</t>
        </is>
      </c>
      <c r="AF52" t="n">
        <v>1</v>
      </c>
    </row>
    <row r="53">
      <c r="A53" t="n">
        <v>2.99633696688025</v>
      </c>
      <c r="B53" t="inlineStr">
        <is>
          <t>238912</t>
        </is>
      </c>
      <c r="C53" t="inlineStr">
        <is>
          <t>Nonresidential site preparation contractors</t>
        </is>
      </c>
      <c r="AG53" t="n">
        <v>1</v>
      </c>
    </row>
    <row r="54">
      <c r="A54" t="n">
        <v>2.3723068855749</v>
      </c>
      <c r="B54" t="inlineStr">
        <is>
          <t>238992</t>
        </is>
      </c>
      <c r="C54" t="inlineStr">
        <is>
          <t xml:space="preserve">All other nonresidential trade contractors </t>
        </is>
      </c>
      <c r="AH5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en-US</dc:language>
  <dcterms:created xmlns:dcterms="http://purl.org/dc/terms/" xmlns:xsi="http://www.w3.org/2001/XMLSchema-instance" xsi:type="dcterms:W3CDTF">2024-09-29T09:50:56Z</dcterms:created>
  <dcterms:modified xmlns:dcterms="http://purl.org/dc/terms/" xmlns:xsi="http://www.w3.org/2001/XMLSchema-instance" xsi:type="dcterms:W3CDTF">2026-09-20T13:08:31Z</dcterms:modified>
  <cp:revision>11</cp:revision>
</cp:coreProperties>
</file>